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05" yWindow="-105" windowWidth="19440" windowHeight="13275" activeTab="1"/>
  </bookViews>
  <sheets>
    <sheet name="ReadME" sheetId="8" r:id="rId1"/>
    <sheet name="EPITOPIA Classe 2" sheetId="2" r:id="rId2"/>
    <sheet name="translator (sans deux points)" sheetId="7" r:id="rId3"/>
    <sheet name="translator" sheetId="4" r:id="rId4"/>
    <sheet name="BASE" sheetId="3" state="hidden" r:id="rId5"/>
    <sheet name="Feuil1" sheetId="5" state="hidden" r:id="rId6"/>
    <sheet name="Feuil2" sheetId="6" state="hidden" r:id="rId7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R21" i="2" l="1"/>
  <c r="AM150" i="7"/>
  <c r="AM149" i="7"/>
  <c r="AM148" i="7"/>
  <c r="AM147" i="7"/>
  <c r="AM146" i="7"/>
  <c r="AM145" i="7"/>
  <c r="AM144" i="7"/>
  <c r="AM143" i="7"/>
  <c r="AM142" i="7"/>
  <c r="AM141" i="7"/>
  <c r="AM140" i="7"/>
  <c r="AM139" i="7"/>
  <c r="AM138" i="7"/>
  <c r="AM137" i="7"/>
  <c r="AM136" i="7"/>
  <c r="AM135" i="7"/>
  <c r="AM134" i="7"/>
  <c r="AM133" i="7"/>
  <c r="AM132" i="7"/>
  <c r="AM131" i="7"/>
  <c r="AM130" i="7"/>
  <c r="AM129" i="7"/>
  <c r="AM128" i="7"/>
  <c r="AM127" i="7"/>
  <c r="AM126" i="7"/>
  <c r="AM125" i="7"/>
  <c r="AM124" i="7"/>
  <c r="AM123" i="7"/>
  <c r="AM122" i="7"/>
  <c r="AM121" i="7"/>
  <c r="AM120" i="7"/>
  <c r="AM119" i="7"/>
  <c r="AM118" i="7"/>
  <c r="AM117" i="7"/>
  <c r="AM116" i="7"/>
  <c r="AM115" i="7"/>
  <c r="AM114" i="7"/>
  <c r="AM113" i="7"/>
  <c r="AM112" i="7"/>
  <c r="AM111" i="7"/>
  <c r="AM110" i="7"/>
  <c r="AM109" i="7"/>
  <c r="AM108" i="7"/>
  <c r="AM107" i="7"/>
  <c r="AM106" i="7"/>
  <c r="AM105" i="7"/>
  <c r="AM104" i="7"/>
  <c r="AM103" i="7"/>
  <c r="AM102" i="7"/>
  <c r="P102" i="7"/>
  <c r="AM101" i="7"/>
  <c r="P101" i="7"/>
  <c r="AM100" i="7"/>
  <c r="P100" i="7"/>
  <c r="AM99" i="7"/>
  <c r="P99" i="7"/>
  <c r="AM98" i="7"/>
  <c r="P98" i="7"/>
  <c r="AM97" i="7"/>
  <c r="P97" i="7"/>
  <c r="AM96" i="7"/>
  <c r="P96" i="7"/>
  <c r="AM95" i="7"/>
  <c r="P95" i="7"/>
  <c r="AM94" i="7"/>
  <c r="P94" i="7"/>
  <c r="AM93" i="7"/>
  <c r="P93" i="7"/>
  <c r="AM92" i="7"/>
  <c r="P92" i="7"/>
  <c r="AM91" i="7"/>
  <c r="P91" i="7"/>
  <c r="AM90" i="7"/>
  <c r="P90" i="7"/>
  <c r="AM89" i="7"/>
  <c r="P89" i="7"/>
  <c r="AM88" i="7"/>
  <c r="P88" i="7"/>
  <c r="AM87" i="7"/>
  <c r="P87" i="7"/>
  <c r="AM86" i="7"/>
  <c r="P86" i="7"/>
  <c r="AM85" i="7"/>
  <c r="P85" i="7"/>
  <c r="AM84" i="7"/>
  <c r="P84" i="7"/>
  <c r="AM83" i="7"/>
  <c r="P83" i="7"/>
  <c r="AM82" i="7"/>
  <c r="P82" i="7"/>
  <c r="AM81" i="7"/>
  <c r="P81" i="7"/>
  <c r="AM80" i="7"/>
  <c r="P80" i="7"/>
  <c r="AM79" i="7"/>
  <c r="P79" i="7"/>
  <c r="AM78" i="7"/>
  <c r="P78" i="7"/>
  <c r="AM77" i="7"/>
  <c r="P77" i="7"/>
  <c r="AM76" i="7"/>
  <c r="P76" i="7"/>
  <c r="AM75" i="7"/>
  <c r="P75" i="7"/>
  <c r="AM74" i="7"/>
  <c r="P74" i="7"/>
  <c r="AM73" i="7"/>
  <c r="P73" i="7"/>
  <c r="AM72" i="7"/>
  <c r="P72" i="7"/>
  <c r="AM71" i="7"/>
  <c r="P71" i="7"/>
  <c r="AM70" i="7"/>
  <c r="P70" i="7"/>
  <c r="AM69" i="7"/>
  <c r="P69" i="7"/>
  <c r="AM68" i="7"/>
  <c r="P68" i="7"/>
  <c r="AM67" i="7"/>
  <c r="P67" i="7"/>
  <c r="AM66" i="7"/>
  <c r="P66" i="7"/>
  <c r="AM65" i="7"/>
  <c r="P65" i="7"/>
  <c r="AM64" i="7"/>
  <c r="P64" i="7"/>
  <c r="AM63" i="7"/>
  <c r="P63" i="7"/>
  <c r="AM62" i="7"/>
  <c r="P62" i="7"/>
  <c r="AM61" i="7"/>
  <c r="P61" i="7"/>
  <c r="AM60" i="7"/>
  <c r="P60" i="7"/>
  <c r="AM59" i="7"/>
  <c r="P59" i="7"/>
  <c r="AM58" i="7"/>
  <c r="P58" i="7"/>
  <c r="AM57" i="7"/>
  <c r="P57" i="7"/>
  <c r="AM56" i="7"/>
  <c r="P56" i="7"/>
  <c r="AM55" i="7"/>
  <c r="P55" i="7"/>
  <c r="AM54" i="7"/>
  <c r="P54" i="7"/>
  <c r="AM53" i="7"/>
  <c r="P53" i="7"/>
  <c r="AM52" i="7"/>
  <c r="P52" i="7"/>
  <c r="AM51" i="7"/>
  <c r="P51" i="7"/>
  <c r="AM50" i="7"/>
  <c r="P50" i="7"/>
  <c r="AM49" i="7"/>
  <c r="P49" i="7"/>
  <c r="AM48" i="7"/>
  <c r="P48" i="7"/>
  <c r="AM47" i="7"/>
  <c r="P47" i="7"/>
  <c r="AM46" i="7"/>
  <c r="P46" i="7"/>
  <c r="AM45" i="7"/>
  <c r="P45" i="7"/>
  <c r="AM44" i="7"/>
  <c r="P44" i="7"/>
  <c r="AM43" i="7"/>
  <c r="AM42" i="7"/>
  <c r="AM41" i="7"/>
  <c r="AM40" i="7"/>
  <c r="AM39" i="7"/>
  <c r="AM38" i="7"/>
  <c r="AM37" i="7"/>
  <c r="AM36" i="7"/>
  <c r="AM35" i="7"/>
  <c r="AM34" i="7"/>
  <c r="AM33" i="7"/>
  <c r="AM32" i="7"/>
  <c r="AM31" i="7"/>
  <c r="AM30" i="7"/>
  <c r="AM29" i="7"/>
  <c r="AM28" i="7"/>
  <c r="AM27" i="7"/>
  <c r="AM26" i="7"/>
  <c r="AM25" i="7"/>
  <c r="AM24" i="7"/>
  <c r="AM23" i="7"/>
  <c r="AM22" i="7"/>
  <c r="AM21" i="7"/>
  <c r="AM20" i="7"/>
  <c r="AM19" i="7"/>
  <c r="AM18" i="7"/>
  <c r="AM17" i="7"/>
  <c r="AM16" i="7"/>
  <c r="AM15" i="7"/>
  <c r="AM14" i="7"/>
  <c r="AM13" i="7"/>
  <c r="AM12" i="7"/>
  <c r="AM11" i="7"/>
  <c r="AM10" i="7"/>
  <c r="AM9" i="7"/>
  <c r="AM8" i="7"/>
  <c r="Q16" i="7"/>
  <c r="Q20" i="7"/>
  <c r="Q8" i="7"/>
  <c r="Q40" i="7"/>
  <c r="Q10" i="7"/>
  <c r="Q18" i="7"/>
  <c r="Q48" i="7"/>
  <c r="Q56" i="7"/>
  <c r="Q64" i="7"/>
  <c r="Q72" i="7"/>
  <c r="Q80" i="7"/>
  <c r="Q98" i="7"/>
  <c r="Q14" i="7"/>
  <c r="Q22" i="7"/>
  <c r="Q30" i="7"/>
  <c r="Q38" i="7"/>
  <c r="Q45" i="7"/>
  <c r="Q47" i="7"/>
  <c r="Q51" i="7"/>
  <c r="Q55" i="7"/>
  <c r="Q59" i="7"/>
  <c r="Q63" i="7"/>
  <c r="Q67" i="7"/>
  <c r="Q71" i="7"/>
  <c r="Q75" i="7"/>
  <c r="Q79" i="7"/>
  <c r="Q83" i="7"/>
  <c r="Q87" i="7"/>
  <c r="Q91" i="7"/>
  <c r="Q95" i="7"/>
  <c r="Q99" i="7"/>
  <c r="Q26" i="7"/>
  <c r="Q34" i="7"/>
  <c r="Q42" i="7"/>
  <c r="Q52" i="7"/>
  <c r="Q60" i="7"/>
  <c r="Q68" i="7"/>
  <c r="Q76" i="7"/>
  <c r="Q84" i="7"/>
  <c r="Q88" i="7"/>
  <c r="Q92" i="7"/>
  <c r="Q96" i="7"/>
  <c r="Q100" i="7"/>
  <c r="Q102" i="7"/>
  <c r="Q24" i="7"/>
  <c r="Q32" i="7"/>
  <c r="Q12" i="7"/>
  <c r="Q28" i="7"/>
  <c r="Q36" i="7"/>
  <c r="Q44" i="7"/>
  <c r="Q101" i="7"/>
  <c r="Q53" i="7"/>
  <c r="Q57" i="7"/>
  <c r="Q61" i="7"/>
  <c r="Q69" i="7"/>
  <c r="Q77" i="7"/>
  <c r="Q89" i="7"/>
  <c r="Q93" i="7"/>
  <c r="Q97" i="7"/>
  <c r="Q9" i="7"/>
  <c r="Q11" i="7"/>
  <c r="Q13" i="7"/>
  <c r="Q15" i="7"/>
  <c r="Q17" i="7"/>
  <c r="Q19" i="7"/>
  <c r="Q21" i="7"/>
  <c r="Q23" i="7"/>
  <c r="Q25" i="7"/>
  <c r="Q27" i="7"/>
  <c r="Q29" i="7"/>
  <c r="Q31" i="7"/>
  <c r="Q33" i="7"/>
  <c r="Q35" i="7"/>
  <c r="Q37" i="7"/>
  <c r="Q39" i="7"/>
  <c r="Q41" i="7"/>
  <c r="Q43" i="7"/>
  <c r="Q49" i="7"/>
  <c r="Q65" i="7"/>
  <c r="Q73" i="7"/>
  <c r="Q81" i="7"/>
  <c r="Q85" i="7"/>
  <c r="Q46" i="7"/>
  <c r="Q50" i="7"/>
  <c r="Q54" i="7"/>
  <c r="Q58" i="7"/>
  <c r="Q62" i="7"/>
  <c r="Q66" i="7"/>
  <c r="Q70" i="7"/>
  <c r="Q74" i="7"/>
  <c r="Q78" i="7"/>
  <c r="Q82" i="7"/>
  <c r="Q86" i="7"/>
  <c r="Q90" i="7"/>
  <c r="Q94" i="7"/>
  <c r="KT47" i="2"/>
  <c r="KU47" i="2"/>
  <c r="KV47" i="2"/>
  <c r="KW47" i="2"/>
  <c r="KX47" i="2"/>
  <c r="KY47" i="2"/>
  <c r="KZ47" i="2"/>
  <c r="LA47" i="2"/>
  <c r="LB47" i="2"/>
  <c r="LC47" i="2"/>
  <c r="LD47" i="2"/>
  <c r="LE47" i="2"/>
  <c r="LF47" i="2"/>
  <c r="LG47" i="2"/>
  <c r="KS47" i="2"/>
  <c r="JT47" i="2"/>
  <c r="JU47" i="2"/>
  <c r="JV47" i="2"/>
  <c r="JW47" i="2"/>
  <c r="JX47" i="2"/>
  <c r="JY47" i="2"/>
  <c r="JZ47" i="2"/>
  <c r="KA47" i="2"/>
  <c r="KB47" i="2"/>
  <c r="KC47" i="2"/>
  <c r="KD47" i="2"/>
  <c r="KE47" i="2"/>
  <c r="KF47" i="2"/>
  <c r="KG47" i="2"/>
  <c r="KH47" i="2"/>
  <c r="KI47" i="2"/>
  <c r="KJ47" i="2"/>
  <c r="KK47" i="2"/>
  <c r="KL47" i="2"/>
  <c r="KM47" i="2"/>
  <c r="KN47" i="2"/>
  <c r="KO47" i="2"/>
  <c r="JS47" i="2"/>
  <c r="QQ52" i="2"/>
  <c r="QR52" i="2"/>
  <c r="QS52" i="2"/>
  <c r="QT52" i="2"/>
  <c r="QU52" i="2"/>
  <c r="QV52" i="2"/>
  <c r="QW52" i="2"/>
  <c r="QX52" i="2"/>
  <c r="QY52" i="2"/>
  <c r="QZ52" i="2"/>
  <c r="RA52" i="2"/>
  <c r="RB52" i="2"/>
  <c r="RC52" i="2"/>
  <c r="RD52" i="2"/>
  <c r="RE52" i="2"/>
  <c r="RF52" i="2"/>
  <c r="RG52" i="2"/>
  <c r="RH52" i="2"/>
  <c r="RI52" i="2"/>
  <c r="RJ52" i="2"/>
  <c r="RK52" i="2"/>
  <c r="RL52" i="2"/>
  <c r="RM52" i="2"/>
  <c r="RN52" i="2"/>
  <c r="RO52" i="2"/>
  <c r="RP52" i="2"/>
  <c r="RQ52" i="2"/>
  <c r="RR52" i="2"/>
  <c r="RS52" i="2"/>
  <c r="RT52" i="2"/>
  <c r="RU52" i="2"/>
  <c r="RV52" i="2"/>
  <c r="RW52" i="2"/>
  <c r="RX52" i="2"/>
  <c r="RY52" i="2"/>
  <c r="RZ52" i="2"/>
  <c r="SA52" i="2"/>
  <c r="SB52" i="2"/>
  <c r="SC52" i="2"/>
  <c r="SD52" i="2"/>
  <c r="SE52" i="2"/>
  <c r="SF52" i="2"/>
  <c r="SG52" i="2"/>
  <c r="SH52" i="2"/>
  <c r="SI52" i="2"/>
  <c r="SJ52" i="2"/>
  <c r="QP52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BR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AC44" i="2"/>
  <c r="I8" i="2"/>
  <c r="I5" i="2"/>
  <c r="I2" i="2"/>
  <c r="OU402" i="2"/>
  <c r="OV402" i="2"/>
  <c r="OU403" i="2"/>
  <c r="OV403" i="2"/>
  <c r="OU404" i="2"/>
  <c r="OV404" i="2"/>
  <c r="OU405" i="2"/>
  <c r="OV405" i="2"/>
  <c r="OU406" i="2"/>
  <c r="OV406" i="2"/>
  <c r="OU407" i="2"/>
  <c r="OV407" i="2"/>
  <c r="OU408" i="2"/>
  <c r="OV408" i="2"/>
  <c r="OU409" i="2"/>
  <c r="OV409" i="2"/>
  <c r="OU410" i="2"/>
  <c r="OV410" i="2"/>
  <c r="OU411" i="2"/>
  <c r="OV411" i="2"/>
  <c r="OU412" i="2"/>
  <c r="OV412" i="2"/>
  <c r="OU413" i="2"/>
  <c r="OV413" i="2"/>
  <c r="OU414" i="2"/>
  <c r="OV414" i="2"/>
  <c r="OU415" i="2"/>
  <c r="OV415" i="2"/>
  <c r="OU416" i="2"/>
  <c r="OV416" i="2"/>
  <c r="OU417" i="2"/>
  <c r="OV417" i="2"/>
  <c r="OU418" i="2"/>
  <c r="OV418" i="2"/>
  <c r="OU419" i="2"/>
  <c r="OV419" i="2"/>
  <c r="OU420" i="2"/>
  <c r="OV420" i="2"/>
  <c r="OU421" i="2"/>
  <c r="OV421" i="2"/>
  <c r="OU422" i="2"/>
  <c r="OV422" i="2"/>
  <c r="OU423" i="2"/>
  <c r="OV423" i="2"/>
  <c r="OU424" i="2"/>
  <c r="OV424" i="2"/>
  <c r="OU425" i="2"/>
  <c r="OV425" i="2"/>
  <c r="OU426" i="2"/>
  <c r="OV426" i="2"/>
  <c r="OU427" i="2"/>
  <c r="OV427" i="2"/>
  <c r="OU428" i="2"/>
  <c r="OV428" i="2"/>
  <c r="OU429" i="2"/>
  <c r="OV429" i="2"/>
  <c r="OU430" i="2"/>
  <c r="OV430" i="2"/>
  <c r="OU431" i="2"/>
  <c r="OV431" i="2"/>
  <c r="OU432" i="2"/>
  <c r="OV432" i="2"/>
  <c r="AM9" i="4"/>
  <c r="AM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M118" i="4"/>
  <c r="AM119" i="4"/>
  <c r="AM120" i="4"/>
  <c r="AM121" i="4"/>
  <c r="AM122" i="4"/>
  <c r="AM123" i="4"/>
  <c r="AM124" i="4"/>
  <c r="AM125" i="4"/>
  <c r="AM126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150" i="4"/>
  <c r="AM8" i="4"/>
  <c r="Q9" i="4"/>
  <c r="Q13" i="4"/>
  <c r="Q17" i="4"/>
  <c r="Q21" i="4"/>
  <c r="Q25" i="4"/>
  <c r="Q29" i="4"/>
  <c r="Q33" i="4"/>
  <c r="Q37" i="4"/>
  <c r="Q41" i="4"/>
  <c r="P45" i="4"/>
  <c r="Q45" i="4"/>
  <c r="P49" i="4"/>
  <c r="Q49" i="4"/>
  <c r="P53" i="4"/>
  <c r="Q53" i="4"/>
  <c r="P57" i="4"/>
  <c r="Q57" i="4"/>
  <c r="P61" i="4"/>
  <c r="Q61" i="4"/>
  <c r="P65" i="4"/>
  <c r="Q65" i="4"/>
  <c r="P69" i="4"/>
  <c r="Q69" i="4"/>
  <c r="P73" i="4"/>
  <c r="Q73" i="4"/>
  <c r="P77" i="4"/>
  <c r="Q77" i="4"/>
  <c r="P93" i="4"/>
  <c r="Q93" i="4"/>
  <c r="Q10" i="4"/>
  <c r="Q18" i="4"/>
  <c r="Q22" i="4"/>
  <c r="Q26" i="4"/>
  <c r="Q30" i="4"/>
  <c r="Q38" i="4"/>
  <c r="P46" i="4"/>
  <c r="Q46" i="4"/>
  <c r="P54" i="4"/>
  <c r="Q54" i="4"/>
  <c r="P66" i="4"/>
  <c r="Q66" i="4"/>
  <c r="P74" i="4"/>
  <c r="Q74" i="4"/>
  <c r="P82" i="4"/>
  <c r="Q82" i="4"/>
  <c r="P90" i="4"/>
  <c r="Q90" i="4"/>
  <c r="P94" i="4"/>
  <c r="Q94" i="4"/>
  <c r="P102" i="4"/>
  <c r="Q102" i="4"/>
  <c r="Q15" i="4"/>
  <c r="Q19" i="4"/>
  <c r="Q31" i="4"/>
  <c r="Q35" i="4"/>
  <c r="Q43" i="4"/>
  <c r="P51" i="4"/>
  <c r="Q51" i="4"/>
  <c r="P59" i="4"/>
  <c r="Q59" i="4"/>
  <c r="P67" i="4"/>
  <c r="Q67" i="4"/>
  <c r="P75" i="4"/>
  <c r="Q75" i="4"/>
  <c r="P83" i="4"/>
  <c r="Q83" i="4"/>
  <c r="P91" i="4"/>
  <c r="Q91" i="4"/>
  <c r="Q8" i="4"/>
  <c r="Q12" i="4"/>
  <c r="Q16" i="4"/>
  <c r="Q20" i="4"/>
  <c r="Q24" i="4"/>
  <c r="Q28" i="4"/>
  <c r="Q32" i="4"/>
  <c r="Q36" i="4"/>
  <c r="Q40" i="4"/>
  <c r="P44" i="4"/>
  <c r="Q44" i="4"/>
  <c r="P48" i="4"/>
  <c r="Q48" i="4"/>
  <c r="P52" i="4"/>
  <c r="Q52" i="4"/>
  <c r="P56" i="4"/>
  <c r="Q56" i="4"/>
  <c r="P60" i="4"/>
  <c r="Q60" i="4"/>
  <c r="P64" i="4"/>
  <c r="Q64" i="4"/>
  <c r="P68" i="4"/>
  <c r="Q68" i="4"/>
  <c r="P72" i="4"/>
  <c r="Q72" i="4"/>
  <c r="P76" i="4"/>
  <c r="Q76" i="4"/>
  <c r="P80" i="4"/>
  <c r="Q80" i="4"/>
  <c r="P84" i="4"/>
  <c r="Q84" i="4"/>
  <c r="P88" i="4"/>
  <c r="Q88" i="4"/>
  <c r="P92" i="4"/>
  <c r="Q92" i="4"/>
  <c r="P96" i="4"/>
  <c r="Q96" i="4"/>
  <c r="P100" i="4"/>
  <c r="Q100" i="4"/>
  <c r="P81" i="4"/>
  <c r="Q81" i="4"/>
  <c r="P89" i="4"/>
  <c r="Q89" i="4"/>
  <c r="P97" i="4"/>
  <c r="Q97" i="4"/>
  <c r="P101" i="4"/>
  <c r="Q101" i="4"/>
  <c r="Q14" i="4"/>
  <c r="Q34" i="4"/>
  <c r="Q42" i="4"/>
  <c r="P50" i="4"/>
  <c r="Q50" i="4"/>
  <c r="P58" i="4"/>
  <c r="Q58" i="4"/>
  <c r="P62" i="4"/>
  <c r="Q62" i="4"/>
  <c r="P70" i="4"/>
  <c r="Q70" i="4"/>
  <c r="P78" i="4"/>
  <c r="Q78" i="4"/>
  <c r="P86" i="4"/>
  <c r="Q86" i="4"/>
  <c r="P98" i="4"/>
  <c r="Q98" i="4"/>
  <c r="Q11" i="4"/>
  <c r="Q23" i="4"/>
  <c r="Q27" i="4"/>
  <c r="Q39" i="4"/>
  <c r="P47" i="4"/>
  <c r="Q47" i="4"/>
  <c r="P55" i="4"/>
  <c r="Q55" i="4"/>
  <c r="P63" i="4"/>
  <c r="Q63" i="4"/>
  <c r="P71" i="4"/>
  <c r="Q71" i="4"/>
  <c r="P79" i="4"/>
  <c r="Q79" i="4"/>
  <c r="P87" i="4"/>
  <c r="Q87" i="4"/>
  <c r="P95" i="4"/>
  <c r="Q95" i="4"/>
  <c r="P99" i="4"/>
  <c r="Q99" i="4"/>
  <c r="P85" i="4"/>
  <c r="Q85" i="4"/>
  <c r="A7" i="2"/>
  <c r="A6" i="2"/>
  <c r="A4" i="2"/>
  <c r="SK49" i="2"/>
  <c r="SK48" i="2"/>
  <c r="SK47" i="2"/>
  <c r="SK46" i="2"/>
  <c r="SK45" i="2"/>
  <c r="SK44" i="2"/>
  <c r="KP44" i="2"/>
  <c r="SK43" i="2"/>
  <c r="KP43" i="2"/>
  <c r="SK42" i="2"/>
  <c r="KP42" i="2"/>
  <c r="SK41" i="2"/>
  <c r="KP41" i="2"/>
  <c r="BP41" i="2"/>
  <c r="SK40" i="2"/>
  <c r="KP40" i="2"/>
  <c r="BP40" i="2"/>
  <c r="SK39" i="2"/>
  <c r="KP39" i="2"/>
  <c r="BP39" i="2"/>
  <c r="SK38" i="2"/>
  <c r="KP38" i="2"/>
  <c r="BP38" i="2"/>
  <c r="SK37" i="2"/>
  <c r="KP37" i="2"/>
  <c r="BP37" i="2"/>
  <c r="SK36" i="2"/>
  <c r="KP36" i="2"/>
  <c r="BP36" i="2"/>
  <c r="SK35" i="2"/>
  <c r="KP35" i="2"/>
  <c r="BP35" i="2"/>
  <c r="SK34" i="2"/>
  <c r="KP34" i="2"/>
  <c r="BP34" i="2"/>
  <c r="SK33" i="2"/>
  <c r="KP33" i="2"/>
  <c r="BP33" i="2"/>
  <c r="SK32" i="2"/>
  <c r="KP32" i="2"/>
  <c r="BP32" i="2"/>
  <c r="SK31" i="2"/>
  <c r="KP31" i="2"/>
  <c r="BP31" i="2"/>
  <c r="SK30" i="2"/>
  <c r="KP30" i="2"/>
  <c r="BP30" i="2"/>
  <c r="SK29" i="2"/>
  <c r="KP29" i="2"/>
  <c r="BP29" i="2"/>
  <c r="SK28" i="2"/>
  <c r="KP28" i="2"/>
  <c r="BP28" i="2"/>
  <c r="SK27" i="2"/>
  <c r="KP27" i="2"/>
  <c r="BP27" i="2"/>
  <c r="SK26" i="2"/>
  <c r="KP26" i="2"/>
  <c r="BP26" i="2"/>
  <c r="SK25" i="2"/>
  <c r="KP25" i="2"/>
  <c r="BP25" i="2"/>
  <c r="SK24" i="2"/>
  <c r="KP24" i="2"/>
  <c r="BP24" i="2"/>
  <c r="SK23" i="2"/>
  <c r="KP23" i="2"/>
  <c r="BP23" i="2"/>
  <c r="SK22" i="2"/>
  <c r="KP22" i="2"/>
  <c r="BP22" i="2"/>
  <c r="SK21" i="2"/>
  <c r="KP21" i="2"/>
  <c r="BP21" i="2"/>
  <c r="SK20" i="2"/>
  <c r="KP20" i="2"/>
  <c r="BP20" i="2"/>
  <c r="SK19" i="2"/>
  <c r="KP19" i="2"/>
  <c r="BP19" i="2"/>
  <c r="SK18" i="2"/>
  <c r="KP18" i="2"/>
  <c r="BP18" i="2"/>
  <c r="SK17" i="2"/>
  <c r="KP17" i="2"/>
  <c r="BP17" i="2"/>
  <c r="SK16" i="2"/>
  <c r="KP16" i="2"/>
  <c r="BP16" i="2"/>
  <c r="SK15" i="2"/>
  <c r="KP15" i="2"/>
  <c r="BP15" i="2"/>
  <c r="SK14" i="2"/>
  <c r="KP14" i="2"/>
  <c r="MK27" i="2" s="1"/>
  <c r="OI415" i="2" s="1"/>
  <c r="BP14" i="2"/>
  <c r="MB26" i="2"/>
  <c r="NZ414" i="2" s="1"/>
  <c r="LZ30" i="2"/>
  <c r="NX418" i="2" s="1"/>
  <c r="MB32" i="2"/>
  <c r="NZ420" i="2" s="1"/>
  <c r="MG33" i="2"/>
  <c r="OE421" i="2" s="1"/>
  <c r="MT34" i="2"/>
  <c r="OR422" i="2" s="1"/>
  <c r="MI35" i="2"/>
  <c r="OG423" i="2" s="1"/>
  <c r="MF36" i="2"/>
  <c r="OD424" i="2" s="1"/>
  <c r="MR36" i="2"/>
  <c r="OP424" i="2" s="1"/>
  <c r="MH15" i="2"/>
  <c r="OF403" i="2" s="1"/>
  <c r="MA16" i="2"/>
  <c r="MQ16" i="2"/>
  <c r="MJ17" i="2"/>
  <c r="OH405" i="2" s="1"/>
  <c r="MC18" i="2"/>
  <c r="OA406" i="2" s="1"/>
  <c r="MS18" i="2"/>
  <c r="OQ406" i="2" s="1"/>
  <c r="ML19" i="2"/>
  <c r="OJ407" i="2" s="1"/>
  <c r="ME20" i="2"/>
  <c r="OC408" i="2" s="1"/>
  <c r="MU20" i="2"/>
  <c r="OS408" i="2" s="1"/>
  <c r="MN21" i="2"/>
  <c r="OL409" i="2" s="1"/>
  <c r="MG22" i="2"/>
  <c r="OE410" i="2" s="1"/>
  <c r="LZ23" i="2"/>
  <c r="NX411" i="2" s="1"/>
  <c r="MP23" i="2"/>
  <c r="ON411" i="2" s="1"/>
  <c r="MI24" i="2"/>
  <c r="MB25" i="2"/>
  <c r="NZ413" i="2" s="1"/>
  <c r="MR25" i="2"/>
  <c r="OP413" i="2" s="1"/>
  <c r="MK26" i="2"/>
  <c r="OI414" i="2" s="1"/>
  <c r="MD27" i="2"/>
  <c r="OB415" i="2" s="1"/>
  <c r="MT27" i="2"/>
  <c r="OR415" i="2" s="1"/>
  <c r="MM28" i="2"/>
  <c r="OK416" i="2" s="1"/>
  <c r="MF29" i="2"/>
  <c r="OD417" i="2" s="1"/>
  <c r="MT29" i="2"/>
  <c r="OR417" i="2" s="1"/>
  <c r="ME30" i="2"/>
  <c r="OC418" i="2" s="1"/>
  <c r="MM30" i="2"/>
  <c r="OK418" i="2" s="1"/>
  <c r="MU30" i="2"/>
  <c r="OS418" i="2" s="1"/>
  <c r="MF31" i="2"/>
  <c r="OD419" i="2" s="1"/>
  <c r="MN31" i="2"/>
  <c r="OL419" i="2" s="1"/>
  <c r="MV31" i="2"/>
  <c r="OT419" i="2" s="1"/>
  <c r="MG32" i="2"/>
  <c r="OE420" i="2" s="1"/>
  <c r="MO32" i="2"/>
  <c r="OM420" i="2" s="1"/>
  <c r="LZ33" i="2"/>
  <c r="NX421" i="2" s="1"/>
  <c r="MH33" i="2"/>
  <c r="OF421" i="2" s="1"/>
  <c r="MP33" i="2"/>
  <c r="ON421" i="2" s="1"/>
  <c r="MA34" i="2"/>
  <c r="NY422" i="2" s="1"/>
  <c r="MI34" i="2"/>
  <c r="OG422" i="2" s="1"/>
  <c r="MQ34" i="2"/>
  <c r="OO422" i="2" s="1"/>
  <c r="MB35" i="2"/>
  <c r="NZ423" i="2" s="1"/>
  <c r="MJ35" i="2"/>
  <c r="OH423" i="2" s="1"/>
  <c r="MR35" i="2"/>
  <c r="OP423" i="2" s="1"/>
  <c r="MC36" i="2"/>
  <c r="OA424" i="2" s="1"/>
  <c r="MK36" i="2"/>
  <c r="OI424" i="2" s="1"/>
  <c r="MS36" i="2"/>
  <c r="OQ424" i="2" s="1"/>
  <c r="MD37" i="2"/>
  <c r="OB425" i="2" s="1"/>
  <c r="MH37" i="2"/>
  <c r="OF425" i="2" s="1"/>
  <c r="ML37" i="2"/>
  <c r="OJ425" i="2" s="1"/>
  <c r="MP37" i="2"/>
  <c r="ON425" i="2" s="1"/>
  <c r="MT37" i="2"/>
  <c r="OR425" i="2" s="1"/>
  <c r="MA38" i="2"/>
  <c r="NY426" i="2" s="1"/>
  <c r="ME38" i="2"/>
  <c r="OC426" i="2" s="1"/>
  <c r="MI38" i="2"/>
  <c r="OG426" i="2" s="1"/>
  <c r="MM38" i="2"/>
  <c r="OK426" i="2" s="1"/>
  <c r="MQ38" i="2"/>
  <c r="OO426" i="2" s="1"/>
  <c r="MU38" i="2"/>
  <c r="OS426" i="2" s="1"/>
  <c r="MB39" i="2"/>
  <c r="NZ427" i="2" s="1"/>
  <c r="MF39" i="2"/>
  <c r="OD427" i="2" s="1"/>
  <c r="MJ39" i="2"/>
  <c r="OH427" i="2" s="1"/>
  <c r="MN39" i="2"/>
  <c r="OL427" i="2" s="1"/>
  <c r="MR39" i="2"/>
  <c r="OP427" i="2" s="1"/>
  <c r="MV39" i="2"/>
  <c r="OT427" i="2" s="1"/>
  <c r="MC40" i="2"/>
  <c r="OA428" i="2" s="1"/>
  <c r="MG40" i="2"/>
  <c r="OE428" i="2" s="1"/>
  <c r="MK40" i="2"/>
  <c r="OI428" i="2" s="1"/>
  <c r="MO40" i="2"/>
  <c r="OM428" i="2" s="1"/>
  <c r="MS40" i="2"/>
  <c r="OQ428" i="2" s="1"/>
  <c r="LZ41" i="2"/>
  <c r="NX429" i="2" s="1"/>
  <c r="MD41" i="2"/>
  <c r="OB429" i="2" s="1"/>
  <c r="MH41" i="2"/>
  <c r="OF429" i="2" s="1"/>
  <c r="ML41" i="2"/>
  <c r="OJ429" i="2" s="1"/>
  <c r="MP41" i="2"/>
  <c r="ON429" i="2" s="1"/>
  <c r="MT41" i="2"/>
  <c r="OR429" i="2" s="1"/>
  <c r="MA42" i="2"/>
  <c r="NY430" i="2" s="1"/>
  <c r="ME42" i="2"/>
  <c r="OC430" i="2" s="1"/>
  <c r="MI42" i="2"/>
  <c r="OG430" i="2" s="1"/>
  <c r="MM42" i="2"/>
  <c r="OK430" i="2" s="1"/>
  <c r="MQ42" i="2"/>
  <c r="OO430" i="2" s="1"/>
  <c r="MU42" i="2"/>
  <c r="OS430" i="2" s="1"/>
  <c r="MB43" i="2"/>
  <c r="NZ431" i="2" s="1"/>
  <c r="MF43" i="2"/>
  <c r="OD431" i="2" s="1"/>
  <c r="MJ43" i="2"/>
  <c r="OH431" i="2" s="1"/>
  <c r="MN43" i="2"/>
  <c r="OL431" i="2" s="1"/>
  <c r="MR43" i="2"/>
  <c r="OP431" i="2" s="1"/>
  <c r="MV43" i="2"/>
  <c r="OT431" i="2" s="1"/>
  <c r="MC44" i="2"/>
  <c r="OA432" i="2" s="1"/>
  <c r="MK15" i="2"/>
  <c r="OI403" i="2" s="1"/>
  <c r="MD16" i="2"/>
  <c r="MT16" i="2"/>
  <c r="MM17" i="2"/>
  <c r="OK405" i="2" s="1"/>
  <c r="MF18" i="2"/>
  <c r="OD406" i="2" s="1"/>
  <c r="MV18" i="2"/>
  <c r="OT406" i="2" s="1"/>
  <c r="MO19" i="2"/>
  <c r="OM407" i="2" s="1"/>
  <c r="MH20" i="2"/>
  <c r="OF408" i="2" s="1"/>
  <c r="MA21" i="2"/>
  <c r="NY409" i="2" s="1"/>
  <c r="MQ21" i="2"/>
  <c r="OO409" i="2" s="1"/>
  <c r="MJ22" i="2"/>
  <c r="OH410" i="2" s="1"/>
  <c r="MC23" i="2"/>
  <c r="OA411" i="2" s="1"/>
  <c r="MS23" i="2"/>
  <c r="OQ411" i="2" s="1"/>
  <c r="ML24" i="2"/>
  <c r="ME25" i="2"/>
  <c r="OC413" i="2" s="1"/>
  <c r="MU25" i="2"/>
  <c r="OS413" i="2" s="1"/>
  <c r="MN26" i="2"/>
  <c r="OL414" i="2" s="1"/>
  <c r="MG27" i="2"/>
  <c r="OE415" i="2" s="1"/>
  <c r="LZ28" i="2"/>
  <c r="NX416" i="2" s="1"/>
  <c r="MP28" i="2"/>
  <c r="ON416" i="2" s="1"/>
  <c r="MI29" i="2"/>
  <c r="OG417" i="2" s="1"/>
  <c r="MU29" i="2"/>
  <c r="OS417" i="2" s="1"/>
  <c r="MF30" i="2"/>
  <c r="OD418" i="2" s="1"/>
  <c r="MN30" i="2"/>
  <c r="OL418" i="2" s="1"/>
  <c r="MV30" i="2"/>
  <c r="OT418" i="2" s="1"/>
  <c r="MG31" i="2"/>
  <c r="OE419" i="2" s="1"/>
  <c r="MO31" i="2"/>
  <c r="OM419" i="2" s="1"/>
  <c r="LZ32" i="2"/>
  <c r="NX420" i="2" s="1"/>
  <c r="MH32" i="2"/>
  <c r="OF420" i="2" s="1"/>
  <c r="MP32" i="2"/>
  <c r="ON420" i="2" s="1"/>
  <c r="MA33" i="2"/>
  <c r="NY421" i="2" s="1"/>
  <c r="MI33" i="2"/>
  <c r="OG421" i="2" s="1"/>
  <c r="MQ33" i="2"/>
  <c r="OO421" i="2" s="1"/>
  <c r="MB34" i="2"/>
  <c r="NZ422" i="2" s="1"/>
  <c r="MJ34" i="2"/>
  <c r="OH422" i="2" s="1"/>
  <c r="MR34" i="2"/>
  <c r="OP422" i="2" s="1"/>
  <c r="MC35" i="2"/>
  <c r="OA423" i="2" s="1"/>
  <c r="MK35" i="2"/>
  <c r="OI423" i="2" s="1"/>
  <c r="MS35" i="2"/>
  <c r="OQ423" i="2" s="1"/>
  <c r="MD36" i="2"/>
  <c r="OB424" i="2" s="1"/>
  <c r="ML36" i="2"/>
  <c r="OJ424" i="2" s="1"/>
  <c r="MT36" i="2"/>
  <c r="OR424" i="2" s="1"/>
  <c r="ME37" i="2"/>
  <c r="OC425" i="2" s="1"/>
  <c r="MI37" i="2"/>
  <c r="OG425" i="2" s="1"/>
  <c r="MM37" i="2"/>
  <c r="OK425" i="2" s="1"/>
  <c r="MQ37" i="2"/>
  <c r="OO425" i="2" s="1"/>
  <c r="MU37" i="2"/>
  <c r="OS425" i="2" s="1"/>
  <c r="MB38" i="2"/>
  <c r="NZ426" i="2" s="1"/>
  <c r="MF38" i="2"/>
  <c r="OD426" i="2" s="1"/>
  <c r="MJ38" i="2"/>
  <c r="OH426" i="2" s="1"/>
  <c r="MN38" i="2"/>
  <c r="OL426" i="2" s="1"/>
  <c r="MR38" i="2"/>
  <c r="OP426" i="2" s="1"/>
  <c r="MV38" i="2"/>
  <c r="OT426" i="2" s="1"/>
  <c r="MC39" i="2"/>
  <c r="OA427" i="2" s="1"/>
  <c r="MG39" i="2"/>
  <c r="OE427" i="2" s="1"/>
  <c r="MK39" i="2"/>
  <c r="OI427" i="2" s="1"/>
  <c r="MO39" i="2"/>
  <c r="OM427" i="2" s="1"/>
  <c r="MS39" i="2"/>
  <c r="OQ427" i="2" s="1"/>
  <c r="LZ40" i="2"/>
  <c r="NX428" i="2" s="1"/>
  <c r="MD40" i="2"/>
  <c r="OB428" i="2" s="1"/>
  <c r="MH40" i="2"/>
  <c r="OF428" i="2" s="1"/>
  <c r="ML40" i="2"/>
  <c r="OJ428" i="2" s="1"/>
  <c r="MP40" i="2"/>
  <c r="ON428" i="2" s="1"/>
  <c r="MT40" i="2"/>
  <c r="OR428" i="2" s="1"/>
  <c r="MA41" i="2"/>
  <c r="NY429" i="2" s="1"/>
  <c r="ME41" i="2"/>
  <c r="OC429" i="2" s="1"/>
  <c r="MI41" i="2"/>
  <c r="OG429" i="2" s="1"/>
  <c r="MM41" i="2"/>
  <c r="OK429" i="2" s="1"/>
  <c r="MQ41" i="2"/>
  <c r="OO429" i="2" s="1"/>
  <c r="MU41" i="2"/>
  <c r="OS429" i="2" s="1"/>
  <c r="MB42" i="2"/>
  <c r="NZ430" i="2" s="1"/>
  <c r="MF42" i="2"/>
  <c r="OD430" i="2" s="1"/>
  <c r="MJ42" i="2"/>
  <c r="OH430" i="2" s="1"/>
  <c r="MN42" i="2"/>
  <c r="OL430" i="2" s="1"/>
  <c r="MR42" i="2"/>
  <c r="OP430" i="2" s="1"/>
  <c r="MV42" i="2"/>
  <c r="OT430" i="2" s="1"/>
  <c r="MC43" i="2"/>
  <c r="OA431" i="2" s="1"/>
  <c r="MG43" i="2"/>
  <c r="OE431" i="2" s="1"/>
  <c r="MK43" i="2"/>
  <c r="OI431" i="2" s="1"/>
  <c r="MO43" i="2"/>
  <c r="OM431" i="2" s="1"/>
  <c r="MS43" i="2"/>
  <c r="OQ431" i="2" s="1"/>
  <c r="LZ44" i="2"/>
  <c r="NX432" i="2" s="1"/>
  <c r="MD44" i="2"/>
  <c r="OB432" i="2" s="1"/>
  <c r="MH44" i="2"/>
  <c r="OF432" i="2" s="1"/>
  <c r="ML44" i="2"/>
  <c r="OJ432" i="2" s="1"/>
  <c r="TZ14" i="2"/>
  <c r="XB400" i="2" s="1"/>
  <c r="UP14" i="2"/>
  <c r="XR400" i="2" s="1"/>
  <c r="VF14" i="2"/>
  <c r="YH400" i="2" s="1"/>
  <c r="UD15" i="2"/>
  <c r="XF401" i="2" s="1"/>
  <c r="VA15" i="2"/>
  <c r="YC401" i="2" s="1"/>
  <c r="UR16" i="2"/>
  <c r="XT402" i="2" s="1"/>
  <c r="UH17" i="2"/>
  <c r="XJ403" i="2" s="1"/>
  <c r="UA18" i="2"/>
  <c r="XC404" i="2" s="1"/>
  <c r="VG18" i="2"/>
  <c r="YI404" i="2" s="1"/>
  <c r="TY19" i="2"/>
  <c r="XA405" i="2" s="1"/>
  <c r="MB14" i="2"/>
  <c r="NZ402" i="2" s="1"/>
  <c r="MF14" i="2"/>
  <c r="OD402" i="2" s="1"/>
  <c r="MJ14" i="2"/>
  <c r="OH402" i="2" s="1"/>
  <c r="MN14" i="2"/>
  <c r="OL402" i="2" s="1"/>
  <c r="MR14" i="2"/>
  <c r="OP402" i="2" s="1"/>
  <c r="MV14" i="2"/>
  <c r="OT402" i="2" s="1"/>
  <c r="MS44" i="2"/>
  <c r="OQ432" i="2" s="1"/>
  <c r="MO44" i="2"/>
  <c r="OM432" i="2" s="1"/>
  <c r="MJ44" i="2"/>
  <c r="OH432" i="2" s="1"/>
  <c r="ME44" i="2"/>
  <c r="OC432" i="2" s="1"/>
  <c r="MT43" i="2"/>
  <c r="OR431" i="2" s="1"/>
  <c r="ML43" i="2"/>
  <c r="OJ431" i="2" s="1"/>
  <c r="MD43" i="2"/>
  <c r="OB431" i="2" s="1"/>
  <c r="MS42" i="2"/>
  <c r="OQ430" i="2" s="1"/>
  <c r="MK42" i="2"/>
  <c r="OI430" i="2" s="1"/>
  <c r="MC42" i="2"/>
  <c r="OA430" i="2" s="1"/>
  <c r="MR41" i="2"/>
  <c r="OP429" i="2" s="1"/>
  <c r="MJ41" i="2"/>
  <c r="OH429" i="2" s="1"/>
  <c r="MB41" i="2"/>
  <c r="NZ429" i="2" s="1"/>
  <c r="MQ40" i="2"/>
  <c r="OO428" i="2" s="1"/>
  <c r="MI40" i="2"/>
  <c r="OG428" i="2" s="1"/>
  <c r="MA40" i="2"/>
  <c r="NY428" i="2" s="1"/>
  <c r="MP39" i="2"/>
  <c r="ON427" i="2" s="1"/>
  <c r="MH39" i="2"/>
  <c r="OF427" i="2" s="1"/>
  <c r="LZ39" i="2"/>
  <c r="NX427" i="2" s="1"/>
  <c r="MO38" i="2"/>
  <c r="OM426" i="2" s="1"/>
  <c r="MG38" i="2"/>
  <c r="OE426" i="2" s="1"/>
  <c r="MV37" i="2"/>
  <c r="OT425" i="2" s="1"/>
  <c r="MN37" i="2"/>
  <c r="OL425" i="2" s="1"/>
  <c r="MF37" i="2"/>
  <c r="OD425" i="2" s="1"/>
  <c r="MO36" i="2"/>
  <c r="OM424" i="2" s="1"/>
  <c r="MV35" i="2"/>
  <c r="OT423" i="2" s="1"/>
  <c r="MF35" i="2"/>
  <c r="OD423" i="2" s="1"/>
  <c r="MM34" i="2"/>
  <c r="OK422" i="2" s="1"/>
  <c r="MT33" i="2"/>
  <c r="OR421" i="2" s="1"/>
  <c r="MD33" i="2"/>
  <c r="OB421" i="2" s="1"/>
  <c r="MK32" i="2"/>
  <c r="OI420" i="2" s="1"/>
  <c r="MR31" i="2"/>
  <c r="OP419" i="2" s="1"/>
  <c r="MB31" i="2"/>
  <c r="NZ419" i="2" s="1"/>
  <c r="MI30" i="2"/>
  <c r="OG418" i="2" s="1"/>
  <c r="MN29" i="2"/>
  <c r="OL417" i="2" s="1"/>
  <c r="ME28" i="2"/>
  <c r="OC416" i="2" s="1"/>
  <c r="MS26" i="2"/>
  <c r="OQ414" i="2" s="1"/>
  <c r="MJ25" i="2"/>
  <c r="OH413" i="2" s="1"/>
  <c r="MA24" i="2"/>
  <c r="MO22" i="2"/>
  <c r="OM410" i="2" s="1"/>
  <c r="MF21" i="2"/>
  <c r="OD409" i="2" s="1"/>
  <c r="MT19" i="2"/>
  <c r="OR407" i="2" s="1"/>
  <c r="MK18" i="2"/>
  <c r="OI406" i="2" s="1"/>
  <c r="MB17" i="2"/>
  <c r="NZ405" i="2" s="1"/>
  <c r="MP15" i="2"/>
  <c r="ON403" i="2" s="1"/>
  <c r="DV15" i="2"/>
  <c r="HB405" i="2" s="1"/>
  <c r="ED15" i="2"/>
  <c r="HJ405" i="2" s="1"/>
  <c r="EL15" i="2"/>
  <c r="HR405" i="2" s="1"/>
  <c r="ET15" i="2"/>
  <c r="HZ405" i="2" s="1"/>
  <c r="FC15" i="2"/>
  <c r="FK15" i="2"/>
  <c r="DM16" i="2"/>
  <c r="GS406" i="2" s="1"/>
  <c r="EC16" i="2"/>
  <c r="HI406" i="2" s="1"/>
  <c r="ES16" i="2"/>
  <c r="HY406" i="2" s="1"/>
  <c r="FJ16" i="2"/>
  <c r="IP406" i="2" s="1"/>
  <c r="DS17" i="2"/>
  <c r="GY407" i="2" s="1"/>
  <c r="EI17" i="2"/>
  <c r="HO407" i="2" s="1"/>
  <c r="EZ17" i="2"/>
  <c r="IF407" i="2" s="1"/>
  <c r="DR18" i="2"/>
  <c r="GX408" i="2" s="1"/>
  <c r="EH18" i="2"/>
  <c r="HN408" i="2" s="1"/>
  <c r="EY18" i="2"/>
  <c r="IE408" i="2" s="1"/>
  <c r="FO18" i="2"/>
  <c r="IU408" i="2" s="1"/>
  <c r="DX19" i="2"/>
  <c r="HD409" i="2" s="1"/>
  <c r="EN19" i="2"/>
  <c r="HT409" i="2" s="1"/>
  <c r="FE19" i="2"/>
  <c r="IK409" i="2" s="1"/>
  <c r="UO19" i="2"/>
  <c r="XQ405" i="2" s="1"/>
  <c r="VE19" i="2"/>
  <c r="YG405" i="2" s="1"/>
  <c r="DY20" i="2"/>
  <c r="HE410" i="2" s="1"/>
  <c r="EO20" i="2"/>
  <c r="HU410" i="2" s="1"/>
  <c r="FF20" i="2"/>
  <c r="IL410" i="2" s="1"/>
  <c r="TX20" i="2"/>
  <c r="WZ406" i="2" s="1"/>
  <c r="UN20" i="2"/>
  <c r="XP406" i="2" s="1"/>
  <c r="VD20" i="2"/>
  <c r="YF406" i="2" s="1"/>
  <c r="DO21" i="2"/>
  <c r="GU411" i="2" s="1"/>
  <c r="EE21" i="2"/>
  <c r="HK411" i="2" s="1"/>
  <c r="EU21" i="2"/>
  <c r="IA411" i="2" s="1"/>
  <c r="FL21" i="2"/>
  <c r="IR411" i="2" s="1"/>
  <c r="UD21" i="2"/>
  <c r="XF407" i="2" s="1"/>
  <c r="UT21" i="2"/>
  <c r="XV407" i="2" s="1"/>
  <c r="VJ21" i="2"/>
  <c r="YL407" i="2" s="1"/>
  <c r="DZ22" i="2"/>
  <c r="HF412" i="2" s="1"/>
  <c r="FE22" i="2"/>
  <c r="IK412" i="2" s="1"/>
  <c r="UQ22" i="2"/>
  <c r="XS408" i="2" s="1"/>
  <c r="DN23" i="2"/>
  <c r="GT413" i="2" s="1"/>
  <c r="ET23" i="2"/>
  <c r="HZ413" i="2" s="1"/>
  <c r="TU23" i="2"/>
  <c r="WW409" i="2" s="1"/>
  <c r="VA23" i="2"/>
  <c r="YC409" i="2" s="1"/>
  <c r="EK24" i="2"/>
  <c r="HQ414" i="2" s="1"/>
  <c r="TS24" i="2"/>
  <c r="WU410" i="2" s="1"/>
  <c r="UY24" i="2"/>
  <c r="YA410" i="2" s="1"/>
  <c r="EA25" i="2"/>
  <c r="HG415" i="2" s="1"/>
  <c r="UC25" i="2"/>
  <c r="XE411" i="2" s="1"/>
  <c r="VI25" i="2"/>
  <c r="YK411" i="2" s="1"/>
  <c r="EJ26" i="2"/>
  <c r="HP416" i="2" s="1"/>
  <c r="TW26" i="2"/>
  <c r="WY412" i="2" s="1"/>
  <c r="VC26" i="2"/>
  <c r="YE412" i="2" s="1"/>
  <c r="EE27" i="2"/>
  <c r="HK417" i="2" s="1"/>
  <c r="FL27" i="2"/>
  <c r="IR417" i="2" s="1"/>
  <c r="UJ27" i="2"/>
  <c r="DY28" i="2"/>
  <c r="HE418" i="2" s="1"/>
  <c r="FF28" i="2"/>
  <c r="IL418" i="2" s="1"/>
  <c r="UU28" i="2"/>
  <c r="XW414" i="2" s="1"/>
  <c r="DV29" i="2"/>
  <c r="HB419" i="2" s="1"/>
  <c r="FC29" i="2"/>
  <c r="II419" i="2" s="1"/>
  <c r="UV29" i="2"/>
  <c r="XX415" i="2" s="1"/>
  <c r="DP30" i="2"/>
  <c r="GV420" i="2" s="1"/>
  <c r="EV30" i="2"/>
  <c r="IB420" i="2" s="1"/>
  <c r="TS30" i="2"/>
  <c r="WU416" i="2" s="1"/>
  <c r="UY30" i="2"/>
  <c r="YA416" i="2" s="1"/>
  <c r="EM31" i="2"/>
  <c r="UD31" i="2"/>
  <c r="XF417" i="2" s="1"/>
  <c r="ED32" i="2"/>
  <c r="HJ422" i="2" s="1"/>
  <c r="TT32" i="2"/>
  <c r="WV418" i="2" s="1"/>
  <c r="DT33" i="2"/>
  <c r="GZ423" i="2" s="1"/>
  <c r="UP33" i="2"/>
  <c r="XR419" i="2" s="1"/>
  <c r="ES34" i="2"/>
  <c r="HY424" i="2" s="1"/>
  <c r="EA35" i="2"/>
  <c r="HG425" i="2" s="1"/>
  <c r="TX36" i="2"/>
  <c r="WZ422" i="2" s="1"/>
  <c r="UO37" i="2"/>
  <c r="XQ423" i="2" s="1"/>
  <c r="TU42" i="2"/>
  <c r="WW428" i="2" s="1"/>
  <c r="DP14" i="2"/>
  <c r="GV404" i="2" s="1"/>
  <c r="DX14" i="2"/>
  <c r="HD404" i="2" s="1"/>
  <c r="EF14" i="2"/>
  <c r="HL404" i="2" s="1"/>
  <c r="EN14" i="2"/>
  <c r="HT404" i="2" s="1"/>
  <c r="EV14" i="2"/>
  <c r="IB404" i="2" s="1"/>
  <c r="FE14" i="2"/>
  <c r="IK404" i="2" s="1"/>
  <c r="FM14" i="2"/>
  <c r="IS404" i="2" s="1"/>
  <c r="TW14" i="2"/>
  <c r="WY400" i="2" s="1"/>
  <c r="UE14" i="2"/>
  <c r="XG400" i="2" s="1"/>
  <c r="UM14" i="2"/>
  <c r="XO400" i="2" s="1"/>
  <c r="UU14" i="2"/>
  <c r="XW400" i="2" s="1"/>
  <c r="VC14" i="2"/>
  <c r="YE400" i="2" s="1"/>
  <c r="VK14" i="2"/>
  <c r="YM400" i="2" s="1"/>
  <c r="DO15" i="2"/>
  <c r="GU405" i="2" s="1"/>
  <c r="DW15" i="2"/>
  <c r="HC405" i="2" s="1"/>
  <c r="EE15" i="2"/>
  <c r="HK405" i="2" s="1"/>
  <c r="EM15" i="2"/>
  <c r="HS405" i="2" s="1"/>
  <c r="EU15" i="2"/>
  <c r="IA405" i="2" s="1"/>
  <c r="FD15" i="2"/>
  <c r="FL15" i="2"/>
  <c r="TZ15" i="2"/>
  <c r="XB401" i="2" s="1"/>
  <c r="UK15" i="2"/>
  <c r="XM401" i="2" s="1"/>
  <c r="UV15" i="2"/>
  <c r="XX401" i="2" s="1"/>
  <c r="VJ15" i="2"/>
  <c r="YL401" i="2" s="1"/>
  <c r="DV16" i="2"/>
  <c r="HB406" i="2" s="1"/>
  <c r="EL16" i="2"/>
  <c r="HR406" i="2" s="1"/>
  <c r="FC16" i="2"/>
  <c r="II406" i="2" s="1"/>
  <c r="TW16" i="2"/>
  <c r="WY402" i="2" s="1"/>
  <c r="UM16" i="2"/>
  <c r="XO402" i="2" s="1"/>
  <c r="VC16" i="2"/>
  <c r="YE402" i="2" s="1"/>
  <c r="DL17" i="2"/>
  <c r="GR407" i="2" s="1"/>
  <c r="EB17" i="2"/>
  <c r="HH407" i="2" s="1"/>
  <c r="ER17" i="2"/>
  <c r="HX407" i="2" s="1"/>
  <c r="FI17" i="2"/>
  <c r="IO407" i="2" s="1"/>
  <c r="UC17" i="2"/>
  <c r="XE403" i="2" s="1"/>
  <c r="US17" i="2"/>
  <c r="XU403" i="2" s="1"/>
  <c r="VI17" i="2"/>
  <c r="YK403" i="2" s="1"/>
  <c r="DM18" i="2"/>
  <c r="GS408" i="2" s="1"/>
  <c r="EC18" i="2"/>
  <c r="HI408" i="2" s="1"/>
  <c r="ES18" i="2"/>
  <c r="HY408" i="2" s="1"/>
  <c r="FJ18" i="2"/>
  <c r="IP408" i="2" s="1"/>
  <c r="UB18" i="2"/>
  <c r="XD404" i="2" s="1"/>
  <c r="UR18" i="2"/>
  <c r="XT404" i="2" s="1"/>
  <c r="VH18" i="2"/>
  <c r="YJ404" i="2" s="1"/>
  <c r="DS19" i="2"/>
  <c r="GY409" i="2" s="1"/>
  <c r="EI19" i="2"/>
  <c r="HO409" i="2" s="1"/>
  <c r="EZ19" i="2"/>
  <c r="IF409" i="2" s="1"/>
  <c r="TR19" i="2"/>
  <c r="WT405" i="2" s="1"/>
  <c r="UP19" i="2"/>
  <c r="XR405" i="2" s="1"/>
  <c r="VF19" i="2"/>
  <c r="YH405" i="2" s="1"/>
  <c r="DZ20" i="2"/>
  <c r="HF410" i="2" s="1"/>
  <c r="EP20" i="2"/>
  <c r="HV410" i="2" s="1"/>
  <c r="FG20" i="2"/>
  <c r="IM410" i="2" s="1"/>
  <c r="TS20" i="2"/>
  <c r="WU406" i="2" s="1"/>
  <c r="UI20" i="2"/>
  <c r="XK406" i="2" s="1"/>
  <c r="UY20" i="2"/>
  <c r="YA406" i="2" s="1"/>
  <c r="DP21" i="2"/>
  <c r="GV411" i="2" s="1"/>
  <c r="EF21" i="2"/>
  <c r="HL411" i="2" s="1"/>
  <c r="EV21" i="2"/>
  <c r="IB411" i="2" s="1"/>
  <c r="FM21" i="2"/>
  <c r="IS411" i="2" s="1"/>
  <c r="UG21" i="2"/>
  <c r="XI407" i="2" s="1"/>
  <c r="UW21" i="2"/>
  <c r="XY407" i="2" s="1"/>
  <c r="DT22" i="2"/>
  <c r="GZ412" i="2" s="1"/>
  <c r="ES22" i="2"/>
  <c r="HY412" i="2" s="1"/>
  <c r="FJ22" i="2"/>
  <c r="IP412" i="2" s="1"/>
  <c r="UT22" i="2"/>
  <c r="XV408" i="2" s="1"/>
  <c r="DS23" i="2"/>
  <c r="GY413" i="2" s="1"/>
  <c r="EZ23" i="2"/>
  <c r="IF413" i="2" s="1"/>
  <c r="UN23" i="2"/>
  <c r="XP409" i="2" s="1"/>
  <c r="DL24" i="2"/>
  <c r="GR414" i="2" s="1"/>
  <c r="ER24" i="2"/>
  <c r="HX414" i="2" s="1"/>
  <c r="TZ24" i="2"/>
  <c r="XB410" i="2" s="1"/>
  <c r="VF24" i="2"/>
  <c r="YH410" i="2" s="1"/>
  <c r="EH25" i="2"/>
  <c r="HN415" i="2" s="1"/>
  <c r="TT25" i="2"/>
  <c r="WV411" i="2" s="1"/>
  <c r="UZ25" i="2"/>
  <c r="YB411" i="2" s="1"/>
  <c r="EO26" i="2"/>
  <c r="HU416" i="2" s="1"/>
  <c r="TZ26" i="2"/>
  <c r="XB412" i="2" s="1"/>
  <c r="VF26" i="2"/>
  <c r="YH412" i="2" s="1"/>
  <c r="EH27" i="2"/>
  <c r="HN417" i="2" s="1"/>
  <c r="FO27" i="2"/>
  <c r="IU417" i="2" s="1"/>
  <c r="UO27" i="2"/>
  <c r="DP28" i="2"/>
  <c r="GV418" i="2" s="1"/>
  <c r="EV28" i="2"/>
  <c r="IB418" i="2" s="1"/>
  <c r="TV28" i="2"/>
  <c r="WX414" i="2" s="1"/>
  <c r="VB28" i="2"/>
  <c r="YD414" i="2" s="1"/>
  <c r="EM29" i="2"/>
  <c r="HS419" i="2" s="1"/>
  <c r="UW29" i="2"/>
  <c r="XY415" i="2" s="1"/>
  <c r="EK30" i="2"/>
  <c r="HQ420" i="2" s="1"/>
  <c r="FB30" i="2"/>
  <c r="IH420" i="2" s="1"/>
  <c r="UL30" i="2"/>
  <c r="XN416" i="2" s="1"/>
  <c r="EA31" i="2"/>
  <c r="US31" i="2"/>
  <c r="XU417" i="2" s="1"/>
  <c r="TW32" i="2"/>
  <c r="WY418" i="2" s="1"/>
  <c r="EA33" i="2"/>
  <c r="HG423" i="2" s="1"/>
  <c r="TU33" i="2"/>
  <c r="WW419" i="2" s="1"/>
  <c r="DR34" i="2"/>
  <c r="GX424" i="2" s="1"/>
  <c r="EY34" i="2"/>
  <c r="IE424" i="2" s="1"/>
  <c r="TZ35" i="2"/>
  <c r="XB421" i="2" s="1"/>
  <c r="FO36" i="2"/>
  <c r="IU426" i="2" s="1"/>
  <c r="VB37" i="2"/>
  <c r="YD423" i="2" s="1"/>
  <c r="TW38" i="2"/>
  <c r="WY424" i="2" s="1"/>
  <c r="TZ41" i="2"/>
  <c r="XB427" i="2" s="1"/>
  <c r="DM14" i="2"/>
  <c r="GS404" i="2" s="1"/>
  <c r="DQ14" i="2"/>
  <c r="GW404" i="2" s="1"/>
  <c r="DU14" i="2"/>
  <c r="HA404" i="2" s="1"/>
  <c r="DY14" i="2"/>
  <c r="HE404" i="2" s="1"/>
  <c r="EC14" i="2"/>
  <c r="HI404" i="2" s="1"/>
  <c r="EG14" i="2"/>
  <c r="HM404" i="2" s="1"/>
  <c r="EK14" i="2"/>
  <c r="HQ404" i="2" s="1"/>
  <c r="EO14" i="2"/>
  <c r="HU404" i="2" s="1"/>
  <c r="ES14" i="2"/>
  <c r="HY404" i="2" s="1"/>
  <c r="EX14" i="2"/>
  <c r="ID404" i="2" s="1"/>
  <c r="FB14" i="2"/>
  <c r="IH404" i="2" s="1"/>
  <c r="FF14" i="2"/>
  <c r="IL404" i="2" s="1"/>
  <c r="FJ14" i="2"/>
  <c r="IP404" i="2" s="1"/>
  <c r="FN14" i="2"/>
  <c r="IT404" i="2" s="1"/>
  <c r="TT14" i="2"/>
  <c r="WV400" i="2" s="1"/>
  <c r="TX14" i="2"/>
  <c r="WZ400" i="2" s="1"/>
  <c r="UB14" i="2"/>
  <c r="XD400" i="2" s="1"/>
  <c r="UF14" i="2"/>
  <c r="XH400" i="2" s="1"/>
  <c r="UJ14" i="2"/>
  <c r="XL400" i="2" s="1"/>
  <c r="UN14" i="2"/>
  <c r="XP400" i="2" s="1"/>
  <c r="UR14" i="2"/>
  <c r="XT400" i="2" s="1"/>
  <c r="UV14" i="2"/>
  <c r="XX400" i="2" s="1"/>
  <c r="UZ14" i="2"/>
  <c r="YB400" i="2" s="1"/>
  <c r="VD14" i="2"/>
  <c r="YF400" i="2" s="1"/>
  <c r="VH14" i="2"/>
  <c r="YJ400" i="2" s="1"/>
  <c r="VL14" i="2"/>
  <c r="YN400" i="2" s="1"/>
  <c r="DL15" i="2"/>
  <c r="GR405" i="2" s="1"/>
  <c r="DP15" i="2"/>
  <c r="GV405" i="2" s="1"/>
  <c r="DT15" i="2"/>
  <c r="GZ405" i="2" s="1"/>
  <c r="DX15" i="2"/>
  <c r="HD405" i="2" s="1"/>
  <c r="EB15" i="2"/>
  <c r="HH405" i="2" s="1"/>
  <c r="EF15" i="2"/>
  <c r="HL405" i="2" s="1"/>
  <c r="EJ15" i="2"/>
  <c r="HP405" i="2" s="1"/>
  <c r="EN15" i="2"/>
  <c r="HT405" i="2" s="1"/>
  <c r="ER15" i="2"/>
  <c r="HX405" i="2" s="1"/>
  <c r="EV15" i="2"/>
  <c r="IB405" i="2" s="1"/>
  <c r="FA15" i="2"/>
  <c r="FE15" i="2"/>
  <c r="FI15" i="2"/>
  <c r="FM15" i="2"/>
  <c r="TR15" i="2"/>
  <c r="WT401" i="2" s="1"/>
  <c r="TV15" i="2"/>
  <c r="WX401" i="2" s="1"/>
  <c r="UB15" i="2"/>
  <c r="XD401" i="2" s="1"/>
  <c r="UG15" i="2"/>
  <c r="XI401" i="2" s="1"/>
  <c r="UL15" i="2"/>
  <c r="XN401" i="2" s="1"/>
  <c r="UR15" i="2"/>
  <c r="XT401" i="2" s="1"/>
  <c r="UW15" i="2"/>
  <c r="XY401" i="2" s="1"/>
  <c r="VE15" i="2"/>
  <c r="YG401" i="2" s="1"/>
  <c r="DQ16" i="2"/>
  <c r="GW406" i="2" s="1"/>
  <c r="DY16" i="2"/>
  <c r="HE406" i="2" s="1"/>
  <c r="EG16" i="2"/>
  <c r="HM406" i="2" s="1"/>
  <c r="EO16" i="2"/>
  <c r="HU406" i="2" s="1"/>
  <c r="EX16" i="2"/>
  <c r="ID406" i="2" s="1"/>
  <c r="FF16" i="2"/>
  <c r="IL406" i="2" s="1"/>
  <c r="FN16" i="2"/>
  <c r="IT406" i="2" s="1"/>
  <c r="TX16" i="2"/>
  <c r="WZ402" i="2" s="1"/>
  <c r="UF16" i="2"/>
  <c r="XH402" i="2" s="1"/>
  <c r="UN16" i="2"/>
  <c r="XP402" i="2" s="1"/>
  <c r="UV16" i="2"/>
  <c r="XX402" i="2" s="1"/>
  <c r="VD16" i="2"/>
  <c r="YF402" i="2" s="1"/>
  <c r="VL16" i="2"/>
  <c r="YN402" i="2" s="1"/>
  <c r="DO17" i="2"/>
  <c r="GU407" i="2" s="1"/>
  <c r="DW17" i="2"/>
  <c r="HC407" i="2" s="1"/>
  <c r="EE17" i="2"/>
  <c r="HK407" i="2" s="1"/>
  <c r="EM17" i="2"/>
  <c r="HS407" i="2" s="1"/>
  <c r="EU17" i="2"/>
  <c r="IA407" i="2" s="1"/>
  <c r="FD17" i="2"/>
  <c r="IJ407" i="2" s="1"/>
  <c r="FL17" i="2"/>
  <c r="IR407" i="2" s="1"/>
  <c r="TV17" i="2"/>
  <c r="WX403" i="2" s="1"/>
  <c r="UD17" i="2"/>
  <c r="XF403" i="2" s="1"/>
  <c r="UL17" i="2"/>
  <c r="XN403" i="2" s="1"/>
  <c r="UT17" i="2"/>
  <c r="XV403" i="2" s="1"/>
  <c r="VB17" i="2"/>
  <c r="YD403" i="2" s="1"/>
  <c r="VJ17" i="2"/>
  <c r="YL403" i="2" s="1"/>
  <c r="DN18" i="2"/>
  <c r="GT408" i="2" s="1"/>
  <c r="DV18" i="2"/>
  <c r="HB408" i="2" s="1"/>
  <c r="ED18" i="2"/>
  <c r="HJ408" i="2" s="1"/>
  <c r="EL18" i="2"/>
  <c r="HR408" i="2" s="1"/>
  <c r="ET18" i="2"/>
  <c r="HZ408" i="2" s="1"/>
  <c r="FC18" i="2"/>
  <c r="II408" i="2" s="1"/>
  <c r="FK18" i="2"/>
  <c r="IQ408" i="2" s="1"/>
  <c r="TW18" i="2"/>
  <c r="WY404" i="2" s="1"/>
  <c r="UE18" i="2"/>
  <c r="XG404" i="2" s="1"/>
  <c r="UM18" i="2"/>
  <c r="XO404" i="2" s="1"/>
  <c r="UU18" i="2"/>
  <c r="XW404" i="2" s="1"/>
  <c r="VC18" i="2"/>
  <c r="YE404" i="2" s="1"/>
  <c r="VK18" i="2"/>
  <c r="YM404" i="2" s="1"/>
  <c r="DL19" i="2"/>
  <c r="GR409" i="2" s="1"/>
  <c r="DT19" i="2"/>
  <c r="GZ409" i="2" s="1"/>
  <c r="EB19" i="2"/>
  <c r="HH409" i="2" s="1"/>
  <c r="EJ19" i="2"/>
  <c r="HP409" i="2" s="1"/>
  <c r="ER19" i="2"/>
  <c r="HX409" i="2" s="1"/>
  <c r="FA19" i="2"/>
  <c r="IG409" i="2" s="1"/>
  <c r="FI19" i="2"/>
  <c r="IO409" i="2" s="1"/>
  <c r="TU19" i="2"/>
  <c r="WW405" i="2" s="1"/>
  <c r="UC19" i="2"/>
  <c r="XE405" i="2" s="1"/>
  <c r="UK19" i="2"/>
  <c r="XM405" i="2" s="1"/>
  <c r="US19" i="2"/>
  <c r="XU405" i="2" s="1"/>
  <c r="VA19" i="2"/>
  <c r="YC405" i="2" s="1"/>
  <c r="VI19" i="2"/>
  <c r="YK405" i="2" s="1"/>
  <c r="DM20" i="2"/>
  <c r="GS410" i="2" s="1"/>
  <c r="DU20" i="2"/>
  <c r="HA410" i="2" s="1"/>
  <c r="EC20" i="2"/>
  <c r="HI410" i="2" s="1"/>
  <c r="EK20" i="2"/>
  <c r="HQ410" i="2" s="1"/>
  <c r="ES20" i="2"/>
  <c r="HY410" i="2" s="1"/>
  <c r="FB20" i="2"/>
  <c r="IH410" i="2" s="1"/>
  <c r="FJ20" i="2"/>
  <c r="IP410" i="2" s="1"/>
  <c r="TT20" i="2"/>
  <c r="WV406" i="2" s="1"/>
  <c r="UB20" i="2"/>
  <c r="XD406" i="2" s="1"/>
  <c r="UJ20" i="2"/>
  <c r="XL406" i="2" s="1"/>
  <c r="UR20" i="2"/>
  <c r="XT406" i="2" s="1"/>
  <c r="UZ20" i="2"/>
  <c r="YB406" i="2" s="1"/>
  <c r="VH20" i="2"/>
  <c r="YJ406" i="2" s="1"/>
  <c r="DK21" i="2"/>
  <c r="GQ411" i="2" s="1"/>
  <c r="DS21" i="2"/>
  <c r="GY411" i="2" s="1"/>
  <c r="EA21" i="2"/>
  <c r="HG411" i="2" s="1"/>
  <c r="EI21" i="2"/>
  <c r="HO411" i="2" s="1"/>
  <c r="EQ21" i="2"/>
  <c r="HW411" i="2" s="1"/>
  <c r="EZ21" i="2"/>
  <c r="IF411" i="2" s="1"/>
  <c r="FH21" i="2"/>
  <c r="IN411" i="2" s="1"/>
  <c r="TR21" i="2"/>
  <c r="WT407" i="2" s="1"/>
  <c r="TZ21" i="2"/>
  <c r="XB407" i="2" s="1"/>
  <c r="UH21" i="2"/>
  <c r="XJ407" i="2" s="1"/>
  <c r="UP21" i="2"/>
  <c r="XR407" i="2" s="1"/>
  <c r="UX21" i="2"/>
  <c r="XZ407" i="2" s="1"/>
  <c r="VF21" i="2"/>
  <c r="YH407" i="2" s="1"/>
  <c r="DU22" i="2"/>
  <c r="HA412" i="2" s="1"/>
  <c r="EF22" i="2"/>
  <c r="HL412" i="2" s="1"/>
  <c r="EV22" i="2"/>
  <c r="IB412" i="2" s="1"/>
  <c r="FM22" i="2"/>
  <c r="IS412" i="2" s="1"/>
  <c r="TS22" i="2"/>
  <c r="WU408" i="2" s="1"/>
  <c r="UI22" i="2"/>
  <c r="XK408" i="2" s="1"/>
  <c r="UY22" i="2"/>
  <c r="YA408" i="2" s="1"/>
  <c r="DV23" i="2"/>
  <c r="HB413" i="2" s="1"/>
  <c r="EL23" i="2"/>
  <c r="HR413" i="2" s="1"/>
  <c r="FC23" i="2"/>
  <c r="II413" i="2" s="1"/>
  <c r="UC23" i="2"/>
  <c r="XE409" i="2" s="1"/>
  <c r="US23" i="2"/>
  <c r="XU409" i="2" s="1"/>
  <c r="VI23" i="2"/>
  <c r="YK409" i="2" s="1"/>
  <c r="DM24" i="2"/>
  <c r="GS414" i="2" s="1"/>
  <c r="EC24" i="2"/>
  <c r="HI414" i="2" s="1"/>
  <c r="ES24" i="2"/>
  <c r="HY414" i="2" s="1"/>
  <c r="FJ24" i="2"/>
  <c r="IP414" i="2" s="1"/>
  <c r="UA24" i="2"/>
  <c r="XC410" i="2" s="1"/>
  <c r="UQ24" i="2"/>
  <c r="XS410" i="2" s="1"/>
  <c r="VG24" i="2"/>
  <c r="YI410" i="2" s="1"/>
  <c r="DS25" i="2"/>
  <c r="GY415" i="2" s="1"/>
  <c r="EI25" i="2"/>
  <c r="HO415" i="2" s="1"/>
  <c r="EZ25" i="2"/>
  <c r="IF415" i="2" s="1"/>
  <c r="TU25" i="2"/>
  <c r="WW411" i="2" s="1"/>
  <c r="UK25" i="2"/>
  <c r="XM411" i="2" s="1"/>
  <c r="VA25" i="2"/>
  <c r="YC411" i="2" s="1"/>
  <c r="DL26" i="2"/>
  <c r="GR416" i="2" s="1"/>
  <c r="EB26" i="2"/>
  <c r="HH416" i="2" s="1"/>
  <c r="ER26" i="2"/>
  <c r="HX416" i="2" s="1"/>
  <c r="FI26" i="2"/>
  <c r="IO416" i="2" s="1"/>
  <c r="UE26" i="2"/>
  <c r="XG412" i="2" s="1"/>
  <c r="UU26" i="2"/>
  <c r="XW412" i="2" s="1"/>
  <c r="VK26" i="2"/>
  <c r="YM412" i="2" s="1"/>
  <c r="DW27" i="2"/>
  <c r="HC417" i="2" s="1"/>
  <c r="EM27" i="2"/>
  <c r="HS417" i="2" s="1"/>
  <c r="FD27" i="2"/>
  <c r="IJ417" i="2" s="1"/>
  <c r="UB27" i="2"/>
  <c r="UR27" i="2"/>
  <c r="VH27" i="2"/>
  <c r="DQ28" i="2"/>
  <c r="GW418" i="2" s="1"/>
  <c r="EG28" i="2"/>
  <c r="HM418" i="2" s="1"/>
  <c r="EX28" i="2"/>
  <c r="ID418" i="2" s="1"/>
  <c r="FN28" i="2"/>
  <c r="IT418" i="2" s="1"/>
  <c r="TW28" i="2"/>
  <c r="WY414" i="2" s="1"/>
  <c r="UM28" i="2"/>
  <c r="XO414" i="2" s="1"/>
  <c r="VC28" i="2"/>
  <c r="YE414" i="2" s="1"/>
  <c r="DN29" i="2"/>
  <c r="GT419" i="2" s="1"/>
  <c r="ED29" i="2"/>
  <c r="HJ419" i="2" s="1"/>
  <c r="ET29" i="2"/>
  <c r="HZ419" i="2" s="1"/>
  <c r="FK29" i="2"/>
  <c r="IQ419" i="2" s="1"/>
  <c r="TX29" i="2"/>
  <c r="WZ415" i="2" s="1"/>
  <c r="UN29" i="2"/>
  <c r="XP415" i="2" s="1"/>
  <c r="VD29" i="2"/>
  <c r="YF415" i="2" s="1"/>
  <c r="DX30" i="2"/>
  <c r="HD420" i="2" s="1"/>
  <c r="EN30" i="2"/>
  <c r="HT420" i="2" s="1"/>
  <c r="FE30" i="2"/>
  <c r="IK420" i="2" s="1"/>
  <c r="UA30" i="2"/>
  <c r="XC416" i="2" s="1"/>
  <c r="UQ30" i="2"/>
  <c r="XS416" i="2" s="1"/>
  <c r="VG30" i="2"/>
  <c r="YI416" i="2" s="1"/>
  <c r="DN31" i="2"/>
  <c r="ED31" i="2"/>
  <c r="EX31" i="2"/>
  <c r="ID421" i="2" s="1"/>
  <c r="UT31" i="2"/>
  <c r="XV417" i="2" s="1"/>
  <c r="DN32" i="2"/>
  <c r="GT422" i="2" s="1"/>
  <c r="ET32" i="2"/>
  <c r="HZ422" i="2" s="1"/>
  <c r="UJ32" i="2"/>
  <c r="XL418" i="2" s="1"/>
  <c r="EJ33" i="2"/>
  <c r="HP423" i="2" s="1"/>
  <c r="TZ33" i="2"/>
  <c r="XB419" i="2" s="1"/>
  <c r="VF33" i="2"/>
  <c r="YH419" i="2" s="1"/>
  <c r="EC34" i="2"/>
  <c r="HI424" i="2" s="1"/>
  <c r="FJ34" i="2"/>
  <c r="IP424" i="2" s="1"/>
  <c r="TV34" i="2"/>
  <c r="WX420" i="2" s="1"/>
  <c r="FH35" i="2"/>
  <c r="IN425" i="2" s="1"/>
  <c r="UG35" i="2"/>
  <c r="XI421" i="2" s="1"/>
  <c r="DY36" i="2"/>
  <c r="HE426" i="2" s="1"/>
  <c r="VD36" i="2"/>
  <c r="YF422" i="2" s="1"/>
  <c r="EE37" i="2"/>
  <c r="HK427" i="2" s="1"/>
  <c r="FF38" i="2"/>
  <c r="IL428" i="2" s="1"/>
  <c r="DW39" i="2"/>
  <c r="HC429" i="2" s="1"/>
  <c r="DU40" i="2"/>
  <c r="HA430" i="2" s="1"/>
  <c r="DR15" i="2"/>
  <c r="GX405" i="2" s="1"/>
  <c r="DZ15" i="2"/>
  <c r="HF405" i="2" s="1"/>
  <c r="EH15" i="2"/>
  <c r="HN405" i="2" s="1"/>
  <c r="EP15" i="2"/>
  <c r="HV405" i="2" s="1"/>
  <c r="EY15" i="2"/>
  <c r="FG15" i="2"/>
  <c r="FO15" i="2"/>
  <c r="DU16" i="2"/>
  <c r="HA406" i="2" s="1"/>
  <c r="EK16" i="2"/>
  <c r="HQ406" i="2" s="1"/>
  <c r="FB16" i="2"/>
  <c r="IH406" i="2" s="1"/>
  <c r="DK17" i="2"/>
  <c r="GQ407" i="2" s="1"/>
  <c r="EA17" i="2"/>
  <c r="HG407" i="2" s="1"/>
  <c r="EQ17" i="2"/>
  <c r="HW407" i="2" s="1"/>
  <c r="FH17" i="2"/>
  <c r="IN407" i="2" s="1"/>
  <c r="DZ18" i="2"/>
  <c r="HF408" i="2" s="1"/>
  <c r="EP18" i="2"/>
  <c r="HV408" i="2" s="1"/>
  <c r="FG18" i="2"/>
  <c r="IM408" i="2" s="1"/>
  <c r="DP19" i="2"/>
  <c r="GV409" i="2" s="1"/>
  <c r="EF19" i="2"/>
  <c r="HL409" i="2" s="1"/>
  <c r="EV19" i="2"/>
  <c r="IB409" i="2" s="1"/>
  <c r="FM19" i="2"/>
  <c r="IS409" i="2" s="1"/>
  <c r="UG19" i="2"/>
  <c r="XI405" i="2" s="1"/>
  <c r="UW19" i="2"/>
  <c r="XY405" i="2" s="1"/>
  <c r="DQ20" i="2"/>
  <c r="GW410" i="2" s="1"/>
  <c r="EG20" i="2"/>
  <c r="HM410" i="2" s="1"/>
  <c r="EX20" i="2"/>
  <c r="ID410" i="2" s="1"/>
  <c r="FN20" i="2"/>
  <c r="IT410" i="2" s="1"/>
  <c r="UF20" i="2"/>
  <c r="XH406" i="2" s="1"/>
  <c r="UV20" i="2"/>
  <c r="XX406" i="2" s="1"/>
  <c r="VL20" i="2"/>
  <c r="YN406" i="2" s="1"/>
  <c r="DW21" i="2"/>
  <c r="HC411" i="2" s="1"/>
  <c r="EM21" i="2"/>
  <c r="HS411" i="2" s="1"/>
  <c r="FD21" i="2"/>
  <c r="IJ411" i="2" s="1"/>
  <c r="TV21" i="2"/>
  <c r="WX407" i="2" s="1"/>
  <c r="UL21" i="2"/>
  <c r="XN407" i="2" s="1"/>
  <c r="VB21" i="2"/>
  <c r="YD407" i="2" s="1"/>
  <c r="DP22" i="2"/>
  <c r="GV412" i="2" s="1"/>
  <c r="EN22" i="2"/>
  <c r="HT412" i="2" s="1"/>
  <c r="UA22" i="2"/>
  <c r="XC408" i="2" s="1"/>
  <c r="VG22" i="2"/>
  <c r="YI408" i="2" s="1"/>
  <c r="ED23" i="2"/>
  <c r="HJ413" i="2" s="1"/>
  <c r="FK23" i="2"/>
  <c r="IQ413" i="2" s="1"/>
  <c r="UK23" i="2"/>
  <c r="XM409" i="2" s="1"/>
  <c r="DU24" i="2"/>
  <c r="HA414" i="2" s="1"/>
  <c r="FB24" i="2"/>
  <c r="IH414" i="2" s="1"/>
  <c r="UI24" i="2"/>
  <c r="XK410" i="2" s="1"/>
  <c r="DK25" i="2"/>
  <c r="GQ415" i="2" s="1"/>
  <c r="EQ25" i="2"/>
  <c r="HW415" i="2" s="1"/>
  <c r="FH25" i="2"/>
  <c r="IN415" i="2" s="1"/>
  <c r="US25" i="2"/>
  <c r="XU411" i="2" s="1"/>
  <c r="DT26" i="2"/>
  <c r="GZ416" i="2" s="1"/>
  <c r="FA26" i="2"/>
  <c r="IG416" i="2" s="1"/>
  <c r="UM26" i="2"/>
  <c r="XO412" i="2" s="1"/>
  <c r="DO27" i="2"/>
  <c r="GU417" i="2" s="1"/>
  <c r="EU27" i="2"/>
  <c r="IA417" i="2" s="1"/>
  <c r="TT27" i="2"/>
  <c r="UZ27" i="2"/>
  <c r="EO28" i="2"/>
  <c r="HU418" i="2" s="1"/>
  <c r="UE28" i="2"/>
  <c r="XG414" i="2" s="1"/>
  <c r="VK28" i="2"/>
  <c r="YM414" i="2" s="1"/>
  <c r="EL29" i="2"/>
  <c r="HR419" i="2" s="1"/>
  <c r="UF29" i="2"/>
  <c r="XH415" i="2" s="1"/>
  <c r="VL29" i="2"/>
  <c r="YN415" i="2" s="1"/>
  <c r="EF30" i="2"/>
  <c r="HL420" i="2" s="1"/>
  <c r="FM30" i="2"/>
  <c r="IS420" i="2" s="1"/>
  <c r="UI30" i="2"/>
  <c r="XK416" i="2" s="1"/>
  <c r="DV31" i="2"/>
  <c r="FI31" i="2"/>
  <c r="IO421" i="2" s="1"/>
  <c r="VJ31" i="2"/>
  <c r="YL417" i="2" s="1"/>
  <c r="FK32" i="2"/>
  <c r="IQ422" i="2" s="1"/>
  <c r="UZ32" i="2"/>
  <c r="YB418" i="2" s="1"/>
  <c r="FA33" i="2"/>
  <c r="IG423" i="2" s="1"/>
  <c r="DM34" i="2"/>
  <c r="GS424" i="2" s="1"/>
  <c r="UY34" i="2"/>
  <c r="YA420" i="2" s="1"/>
  <c r="FF36" i="2"/>
  <c r="IL426" i="2" s="1"/>
  <c r="FL37" i="2"/>
  <c r="IR427" i="2" s="1"/>
  <c r="DY38" i="2"/>
  <c r="HE428" i="2" s="1"/>
  <c r="DL14" i="2"/>
  <c r="GR404" i="2" s="1"/>
  <c r="DT14" i="2"/>
  <c r="GZ404" i="2" s="1"/>
  <c r="EB14" i="2"/>
  <c r="HH404" i="2" s="1"/>
  <c r="EJ14" i="2"/>
  <c r="HP404" i="2" s="1"/>
  <c r="ER14" i="2"/>
  <c r="HX404" i="2" s="1"/>
  <c r="FA14" i="2"/>
  <c r="IG404" i="2" s="1"/>
  <c r="FI14" i="2"/>
  <c r="IO404" i="2" s="1"/>
  <c r="TS14" i="2"/>
  <c r="WU400" i="2" s="1"/>
  <c r="UA14" i="2"/>
  <c r="XC400" i="2" s="1"/>
  <c r="UI14" i="2"/>
  <c r="XK400" i="2" s="1"/>
  <c r="UQ14" i="2"/>
  <c r="XS400" i="2" s="1"/>
  <c r="UY14" i="2"/>
  <c r="YA400" i="2" s="1"/>
  <c r="DK15" i="2"/>
  <c r="GQ405" i="2" s="1"/>
  <c r="DS15" i="2"/>
  <c r="GY405" i="2" s="1"/>
  <c r="EA15" i="2"/>
  <c r="HG405" i="2" s="1"/>
  <c r="EI15" i="2"/>
  <c r="HO405" i="2" s="1"/>
  <c r="EQ15" i="2"/>
  <c r="HW405" i="2" s="1"/>
  <c r="EZ15" i="2"/>
  <c r="FH15" i="2"/>
  <c r="TU15" i="2"/>
  <c r="WW401" i="2" s="1"/>
  <c r="UF15" i="2"/>
  <c r="XH401" i="2" s="1"/>
  <c r="UP15" i="2"/>
  <c r="XR401" i="2" s="1"/>
  <c r="VB15" i="2"/>
  <c r="YD401" i="2" s="1"/>
  <c r="DN16" i="2"/>
  <c r="GT406" i="2" s="1"/>
  <c r="ED16" i="2"/>
  <c r="HJ406" i="2" s="1"/>
  <c r="ET16" i="2"/>
  <c r="HZ406" i="2" s="1"/>
  <c r="FK16" i="2"/>
  <c r="IQ406" i="2" s="1"/>
  <c r="UE16" i="2"/>
  <c r="XG402" i="2" s="1"/>
  <c r="UU16" i="2"/>
  <c r="XW402" i="2" s="1"/>
  <c r="VK16" i="2"/>
  <c r="YM402" i="2" s="1"/>
  <c r="DT17" i="2"/>
  <c r="GZ407" i="2" s="1"/>
  <c r="EJ17" i="2"/>
  <c r="HP407" i="2" s="1"/>
  <c r="FA17" i="2"/>
  <c r="IG407" i="2" s="1"/>
  <c r="TU17" i="2"/>
  <c r="WW403" i="2" s="1"/>
  <c r="UK17" i="2"/>
  <c r="XM403" i="2" s="1"/>
  <c r="VA17" i="2"/>
  <c r="YC403" i="2" s="1"/>
  <c r="DU18" i="2"/>
  <c r="HA408" i="2" s="1"/>
  <c r="EK18" i="2"/>
  <c r="HQ408" i="2" s="1"/>
  <c r="FB18" i="2"/>
  <c r="IH408" i="2" s="1"/>
  <c r="TT18" i="2"/>
  <c r="WV404" i="2" s="1"/>
  <c r="UJ18" i="2"/>
  <c r="XL404" i="2" s="1"/>
  <c r="UZ18" i="2"/>
  <c r="YB404" i="2" s="1"/>
  <c r="DK19" i="2"/>
  <c r="GQ409" i="2" s="1"/>
  <c r="EA19" i="2"/>
  <c r="HG409" i="2" s="1"/>
  <c r="EQ19" i="2"/>
  <c r="HW409" i="2" s="1"/>
  <c r="FH19" i="2"/>
  <c r="IN409" i="2" s="1"/>
  <c r="TZ19" i="2"/>
  <c r="XB405" i="2" s="1"/>
  <c r="UH19" i="2"/>
  <c r="XJ405" i="2" s="1"/>
  <c r="UX19" i="2"/>
  <c r="XZ405" i="2" s="1"/>
  <c r="DR20" i="2"/>
  <c r="GX410" i="2" s="1"/>
  <c r="EH20" i="2"/>
  <c r="HN410" i="2" s="1"/>
  <c r="EY20" i="2"/>
  <c r="IE410" i="2" s="1"/>
  <c r="FO20" i="2"/>
  <c r="IU410" i="2" s="1"/>
  <c r="UA20" i="2"/>
  <c r="XC406" i="2" s="1"/>
  <c r="UQ20" i="2"/>
  <c r="XS406" i="2" s="1"/>
  <c r="VG20" i="2"/>
  <c r="YI406" i="2" s="1"/>
  <c r="DX21" i="2"/>
  <c r="HD411" i="2" s="1"/>
  <c r="EN21" i="2"/>
  <c r="HT411" i="2" s="1"/>
  <c r="FE21" i="2"/>
  <c r="IK411" i="2" s="1"/>
  <c r="TY21" i="2"/>
  <c r="XA407" i="2" s="1"/>
  <c r="UO21" i="2"/>
  <c r="XQ407" i="2" s="1"/>
  <c r="VE21" i="2"/>
  <c r="YG407" i="2" s="1"/>
  <c r="ED22" i="2"/>
  <c r="HJ412" i="2" s="1"/>
  <c r="UD22" i="2"/>
  <c r="XF408" i="2" s="1"/>
  <c r="VJ22" i="2"/>
  <c r="YL408" i="2" s="1"/>
  <c r="EI23" i="2"/>
  <c r="HO413" i="2" s="1"/>
  <c r="TX23" i="2"/>
  <c r="WZ409" i="2" s="1"/>
  <c r="VD23" i="2"/>
  <c r="YF409" i="2" s="1"/>
  <c r="EB24" i="2"/>
  <c r="HH414" i="2" s="1"/>
  <c r="FI24" i="2"/>
  <c r="IO414" i="2" s="1"/>
  <c r="UP24" i="2"/>
  <c r="XR410" i="2" s="1"/>
  <c r="DR25" i="2"/>
  <c r="GX415" i="2" s="1"/>
  <c r="EY25" i="2"/>
  <c r="IE415" i="2" s="1"/>
  <c r="FO25" i="2"/>
  <c r="IU415" i="2" s="1"/>
  <c r="UJ25" i="2"/>
  <c r="XL411" i="2" s="1"/>
  <c r="DY26" i="2"/>
  <c r="HE416" i="2" s="1"/>
  <c r="FF26" i="2"/>
  <c r="IL416" i="2" s="1"/>
  <c r="UP26" i="2"/>
  <c r="XR412" i="2" s="1"/>
  <c r="DR27" i="2"/>
  <c r="GX417" i="2" s="1"/>
  <c r="EY27" i="2"/>
  <c r="IE417" i="2" s="1"/>
  <c r="TY27" i="2"/>
  <c r="VE27" i="2"/>
  <c r="EF28" i="2"/>
  <c r="HL418" i="2" s="1"/>
  <c r="FM28" i="2"/>
  <c r="IS418" i="2" s="1"/>
  <c r="UL28" i="2"/>
  <c r="XN414" i="2" s="1"/>
  <c r="DW29" i="2"/>
  <c r="HC419" i="2" s="1"/>
  <c r="FD29" i="2"/>
  <c r="IJ419" i="2" s="1"/>
  <c r="UG29" i="2"/>
  <c r="XI415" i="2" s="1"/>
  <c r="DU30" i="2"/>
  <c r="HA420" i="2" s="1"/>
  <c r="TV30" i="2"/>
  <c r="WX416" i="2" s="1"/>
  <c r="VB30" i="2"/>
  <c r="YD416" i="2" s="1"/>
  <c r="DK31" i="2"/>
  <c r="ES31" i="2"/>
  <c r="EK32" i="2"/>
  <c r="HQ422" i="2" s="1"/>
  <c r="VC32" i="2"/>
  <c r="YE418" i="2" s="1"/>
  <c r="FH33" i="2"/>
  <c r="IN423" i="2" s="1"/>
  <c r="VA33" i="2"/>
  <c r="YC419" i="2" s="1"/>
  <c r="UZ34" i="2"/>
  <c r="YB420" i="2" s="1"/>
  <c r="FE35" i="2"/>
  <c r="IK425" i="2" s="1"/>
  <c r="DP37" i="2"/>
  <c r="GV427" i="2" s="1"/>
  <c r="ET38" i="2"/>
  <c r="HZ428" i="2" s="1"/>
  <c r="FO41" i="2"/>
  <c r="IU431" i="2" s="1"/>
  <c r="FK41" i="2"/>
  <c r="IQ431" i="2" s="1"/>
  <c r="FG41" i="2"/>
  <c r="IM431" i="2" s="1"/>
  <c r="FC41" i="2"/>
  <c r="II431" i="2" s="1"/>
  <c r="EY41" i="2"/>
  <c r="IE431" i="2" s="1"/>
  <c r="ET41" i="2"/>
  <c r="HZ431" i="2" s="1"/>
  <c r="EP41" i="2"/>
  <c r="HV431" i="2" s="1"/>
  <c r="EL41" i="2"/>
  <c r="HR431" i="2" s="1"/>
  <c r="EH41" i="2"/>
  <c r="HN431" i="2" s="1"/>
  <c r="ED41" i="2"/>
  <c r="HJ431" i="2" s="1"/>
  <c r="DZ41" i="2"/>
  <c r="HF431" i="2" s="1"/>
  <c r="DV41" i="2"/>
  <c r="HB431" i="2" s="1"/>
  <c r="DR41" i="2"/>
  <c r="GX431" i="2" s="1"/>
  <c r="DN41" i="2"/>
  <c r="GT431" i="2" s="1"/>
  <c r="FL41" i="2"/>
  <c r="IR431" i="2" s="1"/>
  <c r="FH41" i="2"/>
  <c r="IN431" i="2" s="1"/>
  <c r="FD41" i="2"/>
  <c r="IJ431" i="2" s="1"/>
  <c r="EZ41" i="2"/>
  <c r="IF431" i="2" s="1"/>
  <c r="EU41" i="2"/>
  <c r="IA431" i="2" s="1"/>
  <c r="EQ41" i="2"/>
  <c r="HW431" i="2" s="1"/>
  <c r="EM41" i="2"/>
  <c r="HS431" i="2" s="1"/>
  <c r="EI41" i="2"/>
  <c r="HO431" i="2" s="1"/>
  <c r="EE41" i="2"/>
  <c r="HK431" i="2" s="1"/>
  <c r="EA41" i="2"/>
  <c r="HG431" i="2" s="1"/>
  <c r="DW41" i="2"/>
  <c r="HC431" i="2" s="1"/>
  <c r="DS41" i="2"/>
  <c r="GY431" i="2" s="1"/>
  <c r="DO41" i="2"/>
  <c r="GU431" i="2" s="1"/>
  <c r="DK41" i="2"/>
  <c r="GQ431" i="2" s="1"/>
  <c r="FJ41" i="2"/>
  <c r="IP431" i="2" s="1"/>
  <c r="FB41" i="2"/>
  <c r="IH431" i="2" s="1"/>
  <c r="ES41" i="2"/>
  <c r="HY431" i="2" s="1"/>
  <c r="EK41" i="2"/>
  <c r="HQ431" i="2" s="1"/>
  <c r="EC41" i="2"/>
  <c r="HI431" i="2" s="1"/>
  <c r="DU41" i="2"/>
  <c r="HA431" i="2" s="1"/>
  <c r="DM41" i="2"/>
  <c r="GS431" i="2" s="1"/>
  <c r="FO40" i="2"/>
  <c r="IU430" i="2" s="1"/>
  <c r="FK40" i="2"/>
  <c r="IQ430" i="2" s="1"/>
  <c r="FG40" i="2"/>
  <c r="IM430" i="2" s="1"/>
  <c r="FC40" i="2"/>
  <c r="II430" i="2" s="1"/>
  <c r="EY40" i="2"/>
  <c r="IE430" i="2" s="1"/>
  <c r="ET40" i="2"/>
  <c r="HZ430" i="2" s="1"/>
  <c r="EP40" i="2"/>
  <c r="HV430" i="2" s="1"/>
  <c r="EL40" i="2"/>
  <c r="HR430" i="2" s="1"/>
  <c r="EH40" i="2"/>
  <c r="HN430" i="2" s="1"/>
  <c r="ED40" i="2"/>
  <c r="HJ430" i="2" s="1"/>
  <c r="DZ40" i="2"/>
  <c r="HF430" i="2" s="1"/>
  <c r="DV40" i="2"/>
  <c r="HB430" i="2" s="1"/>
  <c r="DR40" i="2"/>
  <c r="GX430" i="2" s="1"/>
  <c r="DN40" i="2"/>
  <c r="GT430" i="2" s="1"/>
  <c r="FM39" i="2"/>
  <c r="IS429" i="2" s="1"/>
  <c r="FI39" i="2"/>
  <c r="IO429" i="2" s="1"/>
  <c r="FE39" i="2"/>
  <c r="IK429" i="2" s="1"/>
  <c r="FA39" i="2"/>
  <c r="IG429" i="2" s="1"/>
  <c r="EV39" i="2"/>
  <c r="IB429" i="2" s="1"/>
  <c r="ER39" i="2"/>
  <c r="HX429" i="2" s="1"/>
  <c r="EN39" i="2"/>
  <c r="HT429" i="2" s="1"/>
  <c r="FM41" i="2"/>
  <c r="IS431" i="2" s="1"/>
  <c r="FE41" i="2"/>
  <c r="IK431" i="2" s="1"/>
  <c r="EV41" i="2"/>
  <c r="IB431" i="2" s="1"/>
  <c r="EN41" i="2"/>
  <c r="HT431" i="2" s="1"/>
  <c r="EF41" i="2"/>
  <c r="HL431" i="2" s="1"/>
  <c r="DX41" i="2"/>
  <c r="HD431" i="2" s="1"/>
  <c r="DP41" i="2"/>
  <c r="GV431" i="2" s="1"/>
  <c r="FL40" i="2"/>
  <c r="IR430" i="2" s="1"/>
  <c r="FH40" i="2"/>
  <c r="IN430" i="2" s="1"/>
  <c r="FD40" i="2"/>
  <c r="IJ430" i="2" s="1"/>
  <c r="EZ40" i="2"/>
  <c r="IF430" i="2" s="1"/>
  <c r="EU40" i="2"/>
  <c r="IA430" i="2" s="1"/>
  <c r="EQ40" i="2"/>
  <c r="HW430" i="2" s="1"/>
  <c r="EM40" i="2"/>
  <c r="HS430" i="2" s="1"/>
  <c r="EI40" i="2"/>
  <c r="HO430" i="2" s="1"/>
  <c r="EE40" i="2"/>
  <c r="HK430" i="2" s="1"/>
  <c r="EA40" i="2"/>
  <c r="HG430" i="2" s="1"/>
  <c r="DW40" i="2"/>
  <c r="HC430" i="2" s="1"/>
  <c r="DS40" i="2"/>
  <c r="GY430" i="2" s="1"/>
  <c r="DO40" i="2"/>
  <c r="GU430" i="2" s="1"/>
  <c r="DK40" i="2"/>
  <c r="GQ430" i="2" s="1"/>
  <c r="FN39" i="2"/>
  <c r="IT429" i="2" s="1"/>
  <c r="FJ39" i="2"/>
  <c r="IP429" i="2" s="1"/>
  <c r="FF39" i="2"/>
  <c r="IL429" i="2" s="1"/>
  <c r="FB39" i="2"/>
  <c r="IH429" i="2" s="1"/>
  <c r="EX39" i="2"/>
  <c r="ID429" i="2" s="1"/>
  <c r="ES39" i="2"/>
  <c r="HY429" i="2" s="1"/>
  <c r="EO39" i="2"/>
  <c r="HU429" i="2" s="1"/>
  <c r="EK39" i="2"/>
  <c r="HQ429" i="2" s="1"/>
  <c r="EG39" i="2"/>
  <c r="HM429" i="2" s="1"/>
  <c r="EC39" i="2"/>
  <c r="HI429" i="2" s="1"/>
  <c r="FN41" i="2"/>
  <c r="IT431" i="2" s="1"/>
  <c r="EX41" i="2"/>
  <c r="ID431" i="2" s="1"/>
  <c r="EG41" i="2"/>
  <c r="HM431" i="2" s="1"/>
  <c r="DQ41" i="2"/>
  <c r="GW431" i="2" s="1"/>
  <c r="FI40" i="2"/>
  <c r="IO430" i="2" s="1"/>
  <c r="FA40" i="2"/>
  <c r="IG430" i="2" s="1"/>
  <c r="ER40" i="2"/>
  <c r="HX430" i="2" s="1"/>
  <c r="EJ40" i="2"/>
  <c r="HP430" i="2" s="1"/>
  <c r="EB40" i="2"/>
  <c r="HH430" i="2" s="1"/>
  <c r="DT40" i="2"/>
  <c r="GZ430" i="2" s="1"/>
  <c r="DL40" i="2"/>
  <c r="GR430" i="2" s="1"/>
  <c r="FH39" i="2"/>
  <c r="IN429" i="2" s="1"/>
  <c r="EZ39" i="2"/>
  <c r="IF429" i="2" s="1"/>
  <c r="EQ39" i="2"/>
  <c r="HW429" i="2" s="1"/>
  <c r="EJ39" i="2"/>
  <c r="HP429" i="2" s="1"/>
  <c r="EE39" i="2"/>
  <c r="HK429" i="2" s="1"/>
  <c r="DZ39" i="2"/>
  <c r="HF429" i="2" s="1"/>
  <c r="DV39" i="2"/>
  <c r="HB429" i="2" s="1"/>
  <c r="DR39" i="2"/>
  <c r="GX429" i="2" s="1"/>
  <c r="DN39" i="2"/>
  <c r="GT429" i="2" s="1"/>
  <c r="FM38" i="2"/>
  <c r="IS428" i="2" s="1"/>
  <c r="FI38" i="2"/>
  <c r="IO428" i="2" s="1"/>
  <c r="FE38" i="2"/>
  <c r="IK428" i="2" s="1"/>
  <c r="FA38" i="2"/>
  <c r="IG428" i="2" s="1"/>
  <c r="EV38" i="2"/>
  <c r="IB428" i="2" s="1"/>
  <c r="ER38" i="2"/>
  <c r="HX428" i="2" s="1"/>
  <c r="EN38" i="2"/>
  <c r="HT428" i="2" s="1"/>
  <c r="EJ38" i="2"/>
  <c r="HP428" i="2" s="1"/>
  <c r="EF38" i="2"/>
  <c r="HL428" i="2" s="1"/>
  <c r="EB38" i="2"/>
  <c r="HH428" i="2" s="1"/>
  <c r="DX38" i="2"/>
  <c r="HD428" i="2" s="1"/>
  <c r="DT38" i="2"/>
  <c r="GZ428" i="2" s="1"/>
  <c r="DP38" i="2"/>
  <c r="GV428" i="2" s="1"/>
  <c r="DL38" i="2"/>
  <c r="GR428" i="2" s="1"/>
  <c r="FO37" i="2"/>
  <c r="IU427" i="2" s="1"/>
  <c r="FK37" i="2"/>
  <c r="IQ427" i="2" s="1"/>
  <c r="FG37" i="2"/>
  <c r="IM427" i="2" s="1"/>
  <c r="FC37" i="2"/>
  <c r="II427" i="2" s="1"/>
  <c r="EY37" i="2"/>
  <c r="IE427" i="2" s="1"/>
  <c r="ET37" i="2"/>
  <c r="HZ427" i="2" s="1"/>
  <c r="EP37" i="2"/>
  <c r="HV427" i="2" s="1"/>
  <c r="EL37" i="2"/>
  <c r="HR427" i="2" s="1"/>
  <c r="EH37" i="2"/>
  <c r="HN427" i="2" s="1"/>
  <c r="ED37" i="2"/>
  <c r="HJ427" i="2" s="1"/>
  <c r="DZ37" i="2"/>
  <c r="HF427" i="2" s="1"/>
  <c r="DV37" i="2"/>
  <c r="HB427" i="2" s="1"/>
  <c r="DR37" i="2"/>
  <c r="GX427" i="2" s="1"/>
  <c r="DN37" i="2"/>
  <c r="GT427" i="2" s="1"/>
  <c r="FM36" i="2"/>
  <c r="IS426" i="2" s="1"/>
  <c r="FI36" i="2"/>
  <c r="IO426" i="2" s="1"/>
  <c r="FE36" i="2"/>
  <c r="IK426" i="2" s="1"/>
  <c r="FA36" i="2"/>
  <c r="IG426" i="2" s="1"/>
  <c r="EV36" i="2"/>
  <c r="IB426" i="2" s="1"/>
  <c r="ER36" i="2"/>
  <c r="HX426" i="2" s="1"/>
  <c r="EN36" i="2"/>
  <c r="HT426" i="2" s="1"/>
  <c r="EJ36" i="2"/>
  <c r="HP426" i="2" s="1"/>
  <c r="EF36" i="2"/>
  <c r="HL426" i="2" s="1"/>
  <c r="EB36" i="2"/>
  <c r="HH426" i="2" s="1"/>
  <c r="DX36" i="2"/>
  <c r="HD426" i="2" s="1"/>
  <c r="DT36" i="2"/>
  <c r="GZ426" i="2" s="1"/>
  <c r="DP36" i="2"/>
  <c r="GV426" i="2" s="1"/>
  <c r="DL36" i="2"/>
  <c r="GR426" i="2" s="1"/>
  <c r="FO35" i="2"/>
  <c r="IU425" i="2" s="1"/>
  <c r="FK35" i="2"/>
  <c r="IQ425" i="2" s="1"/>
  <c r="FG35" i="2"/>
  <c r="IM425" i="2" s="1"/>
  <c r="FC35" i="2"/>
  <c r="II425" i="2" s="1"/>
  <c r="EY35" i="2"/>
  <c r="IE425" i="2" s="1"/>
  <c r="ET35" i="2"/>
  <c r="HZ425" i="2" s="1"/>
  <c r="EP35" i="2"/>
  <c r="HV425" i="2" s="1"/>
  <c r="EL35" i="2"/>
  <c r="HR425" i="2" s="1"/>
  <c r="EH35" i="2"/>
  <c r="HN425" i="2" s="1"/>
  <c r="ED35" i="2"/>
  <c r="HJ425" i="2" s="1"/>
  <c r="DZ35" i="2"/>
  <c r="HF425" i="2" s="1"/>
  <c r="DV35" i="2"/>
  <c r="HB425" i="2" s="1"/>
  <c r="DR35" i="2"/>
  <c r="GX425" i="2" s="1"/>
  <c r="DN35" i="2"/>
  <c r="GT425" i="2" s="1"/>
  <c r="FI41" i="2"/>
  <c r="IO431" i="2" s="1"/>
  <c r="ER41" i="2"/>
  <c r="HX431" i="2" s="1"/>
  <c r="EB41" i="2"/>
  <c r="HH431" i="2" s="1"/>
  <c r="DL41" i="2"/>
  <c r="GR431" i="2" s="1"/>
  <c r="FN40" i="2"/>
  <c r="IT430" i="2" s="1"/>
  <c r="FF40" i="2"/>
  <c r="IL430" i="2" s="1"/>
  <c r="EX40" i="2"/>
  <c r="ID430" i="2" s="1"/>
  <c r="EO40" i="2"/>
  <c r="HU430" i="2" s="1"/>
  <c r="EG40" i="2"/>
  <c r="HM430" i="2" s="1"/>
  <c r="DY40" i="2"/>
  <c r="HE430" i="2" s="1"/>
  <c r="DQ40" i="2"/>
  <c r="GW430" i="2" s="1"/>
  <c r="FO39" i="2"/>
  <c r="IU429" i="2" s="1"/>
  <c r="FG39" i="2"/>
  <c r="IM429" i="2" s="1"/>
  <c r="EY39" i="2"/>
  <c r="IE429" i="2" s="1"/>
  <c r="EP39" i="2"/>
  <c r="HV429" i="2" s="1"/>
  <c r="EI39" i="2"/>
  <c r="HO429" i="2" s="1"/>
  <c r="ED39" i="2"/>
  <c r="HJ429" i="2" s="1"/>
  <c r="DY39" i="2"/>
  <c r="HE429" i="2" s="1"/>
  <c r="DU39" i="2"/>
  <c r="HA429" i="2" s="1"/>
  <c r="DQ39" i="2"/>
  <c r="GW429" i="2" s="1"/>
  <c r="DM39" i="2"/>
  <c r="GS429" i="2" s="1"/>
  <c r="FL38" i="2"/>
  <c r="IR428" i="2" s="1"/>
  <c r="FH38" i="2"/>
  <c r="IN428" i="2" s="1"/>
  <c r="FD38" i="2"/>
  <c r="IJ428" i="2" s="1"/>
  <c r="EZ38" i="2"/>
  <c r="IF428" i="2" s="1"/>
  <c r="EU38" i="2"/>
  <c r="IA428" i="2" s="1"/>
  <c r="EQ38" i="2"/>
  <c r="HW428" i="2" s="1"/>
  <c r="EM38" i="2"/>
  <c r="HS428" i="2" s="1"/>
  <c r="EI38" i="2"/>
  <c r="HO428" i="2" s="1"/>
  <c r="EE38" i="2"/>
  <c r="HK428" i="2" s="1"/>
  <c r="EA38" i="2"/>
  <c r="HG428" i="2" s="1"/>
  <c r="DW38" i="2"/>
  <c r="HC428" i="2" s="1"/>
  <c r="DS38" i="2"/>
  <c r="GY428" i="2" s="1"/>
  <c r="DO38" i="2"/>
  <c r="GU428" i="2" s="1"/>
  <c r="DK38" i="2"/>
  <c r="GQ428" i="2" s="1"/>
  <c r="FN37" i="2"/>
  <c r="IT427" i="2" s="1"/>
  <c r="FJ37" i="2"/>
  <c r="IP427" i="2" s="1"/>
  <c r="FF37" i="2"/>
  <c r="IL427" i="2" s="1"/>
  <c r="FB37" i="2"/>
  <c r="IH427" i="2" s="1"/>
  <c r="EX37" i="2"/>
  <c r="ID427" i="2" s="1"/>
  <c r="ES37" i="2"/>
  <c r="HY427" i="2" s="1"/>
  <c r="EO37" i="2"/>
  <c r="HU427" i="2" s="1"/>
  <c r="EK37" i="2"/>
  <c r="HQ427" i="2" s="1"/>
  <c r="EG37" i="2"/>
  <c r="HM427" i="2" s="1"/>
  <c r="EC37" i="2"/>
  <c r="HI427" i="2" s="1"/>
  <c r="DY37" i="2"/>
  <c r="HE427" i="2" s="1"/>
  <c r="DU37" i="2"/>
  <c r="HA427" i="2" s="1"/>
  <c r="DQ37" i="2"/>
  <c r="GW427" i="2" s="1"/>
  <c r="DM37" i="2"/>
  <c r="GS427" i="2" s="1"/>
  <c r="FL36" i="2"/>
  <c r="IR426" i="2" s="1"/>
  <c r="FH36" i="2"/>
  <c r="IN426" i="2" s="1"/>
  <c r="FD36" i="2"/>
  <c r="IJ426" i="2" s="1"/>
  <c r="EZ36" i="2"/>
  <c r="IF426" i="2" s="1"/>
  <c r="EU36" i="2"/>
  <c r="IA426" i="2" s="1"/>
  <c r="EQ36" i="2"/>
  <c r="HW426" i="2" s="1"/>
  <c r="EM36" i="2"/>
  <c r="HS426" i="2" s="1"/>
  <c r="EI36" i="2"/>
  <c r="HO426" i="2" s="1"/>
  <c r="EE36" i="2"/>
  <c r="HK426" i="2" s="1"/>
  <c r="EA36" i="2"/>
  <c r="HG426" i="2" s="1"/>
  <c r="DW36" i="2"/>
  <c r="HC426" i="2" s="1"/>
  <c r="DS36" i="2"/>
  <c r="GY426" i="2" s="1"/>
  <c r="DO36" i="2"/>
  <c r="GU426" i="2" s="1"/>
  <c r="DK36" i="2"/>
  <c r="GQ426" i="2" s="1"/>
  <c r="FN35" i="2"/>
  <c r="IT425" i="2" s="1"/>
  <c r="FJ35" i="2"/>
  <c r="IP425" i="2" s="1"/>
  <c r="FF35" i="2"/>
  <c r="IL425" i="2" s="1"/>
  <c r="FB35" i="2"/>
  <c r="IH425" i="2" s="1"/>
  <c r="EX35" i="2"/>
  <c r="ID425" i="2" s="1"/>
  <c r="ES35" i="2"/>
  <c r="HY425" i="2" s="1"/>
  <c r="EO35" i="2"/>
  <c r="HU425" i="2" s="1"/>
  <c r="EK35" i="2"/>
  <c r="HQ425" i="2" s="1"/>
  <c r="EG35" i="2"/>
  <c r="HM425" i="2" s="1"/>
  <c r="EC35" i="2"/>
  <c r="HI425" i="2" s="1"/>
  <c r="DY35" i="2"/>
  <c r="HE425" i="2" s="1"/>
  <c r="DU35" i="2"/>
  <c r="HA425" i="2" s="1"/>
  <c r="DQ35" i="2"/>
  <c r="GW425" i="2" s="1"/>
  <c r="DM35" i="2"/>
  <c r="GS425" i="2" s="1"/>
  <c r="FL34" i="2"/>
  <c r="IR424" i="2" s="1"/>
  <c r="EO41" i="2"/>
  <c r="HU431" i="2" s="1"/>
  <c r="FJ40" i="2"/>
  <c r="IP430" i="2" s="1"/>
  <c r="ES40" i="2"/>
  <c r="HY430" i="2" s="1"/>
  <c r="EC40" i="2"/>
  <c r="HI430" i="2" s="1"/>
  <c r="DM40" i="2"/>
  <c r="GS430" i="2" s="1"/>
  <c r="FL39" i="2"/>
  <c r="IR429" i="2" s="1"/>
  <c r="EU39" i="2"/>
  <c r="IA429" i="2" s="1"/>
  <c r="EH39" i="2"/>
  <c r="HN429" i="2" s="1"/>
  <c r="DX39" i="2"/>
  <c r="HD429" i="2" s="1"/>
  <c r="DP39" i="2"/>
  <c r="GV429" i="2" s="1"/>
  <c r="FO38" i="2"/>
  <c r="IU428" i="2" s="1"/>
  <c r="FG38" i="2"/>
  <c r="IM428" i="2" s="1"/>
  <c r="EY38" i="2"/>
  <c r="IE428" i="2" s="1"/>
  <c r="EP38" i="2"/>
  <c r="HV428" i="2" s="1"/>
  <c r="EH38" i="2"/>
  <c r="HN428" i="2" s="1"/>
  <c r="DZ38" i="2"/>
  <c r="HF428" i="2" s="1"/>
  <c r="DR38" i="2"/>
  <c r="GX428" i="2" s="1"/>
  <c r="FH37" i="2"/>
  <c r="IN427" i="2" s="1"/>
  <c r="EZ37" i="2"/>
  <c r="IF427" i="2" s="1"/>
  <c r="EQ37" i="2"/>
  <c r="HW427" i="2" s="1"/>
  <c r="EI37" i="2"/>
  <c r="HO427" i="2" s="1"/>
  <c r="EA37" i="2"/>
  <c r="HG427" i="2" s="1"/>
  <c r="DS37" i="2"/>
  <c r="GY427" i="2" s="1"/>
  <c r="DK37" i="2"/>
  <c r="GQ427" i="2" s="1"/>
  <c r="FJ36" i="2"/>
  <c r="IP426" i="2" s="1"/>
  <c r="FB36" i="2"/>
  <c r="IH426" i="2" s="1"/>
  <c r="ES36" i="2"/>
  <c r="HY426" i="2" s="1"/>
  <c r="EK36" i="2"/>
  <c r="HQ426" i="2" s="1"/>
  <c r="EC36" i="2"/>
  <c r="HI426" i="2" s="1"/>
  <c r="DU36" i="2"/>
  <c r="HA426" i="2" s="1"/>
  <c r="DM36" i="2"/>
  <c r="GS426" i="2" s="1"/>
  <c r="FI35" i="2"/>
  <c r="IO425" i="2" s="1"/>
  <c r="FA35" i="2"/>
  <c r="IG425" i="2" s="1"/>
  <c r="ER35" i="2"/>
  <c r="HX425" i="2" s="1"/>
  <c r="EJ35" i="2"/>
  <c r="HP425" i="2" s="1"/>
  <c r="EB35" i="2"/>
  <c r="HH425" i="2" s="1"/>
  <c r="DT35" i="2"/>
  <c r="GZ425" i="2" s="1"/>
  <c r="DL35" i="2"/>
  <c r="GR425" i="2" s="1"/>
  <c r="FM34" i="2"/>
  <c r="IS424" i="2" s="1"/>
  <c r="FH34" i="2"/>
  <c r="IN424" i="2" s="1"/>
  <c r="FD34" i="2"/>
  <c r="IJ424" i="2" s="1"/>
  <c r="EZ34" i="2"/>
  <c r="IF424" i="2" s="1"/>
  <c r="EU34" i="2"/>
  <c r="IA424" i="2" s="1"/>
  <c r="EQ34" i="2"/>
  <c r="HW424" i="2" s="1"/>
  <c r="EM34" i="2"/>
  <c r="HS424" i="2" s="1"/>
  <c r="EI34" i="2"/>
  <c r="HO424" i="2" s="1"/>
  <c r="EE34" i="2"/>
  <c r="HK424" i="2" s="1"/>
  <c r="EA34" i="2"/>
  <c r="HG424" i="2" s="1"/>
  <c r="DW34" i="2"/>
  <c r="HC424" i="2" s="1"/>
  <c r="DS34" i="2"/>
  <c r="GY424" i="2" s="1"/>
  <c r="DO34" i="2"/>
  <c r="GU424" i="2" s="1"/>
  <c r="DK34" i="2"/>
  <c r="GQ424" i="2" s="1"/>
  <c r="FN33" i="2"/>
  <c r="IT423" i="2" s="1"/>
  <c r="FJ33" i="2"/>
  <c r="IP423" i="2" s="1"/>
  <c r="FF33" i="2"/>
  <c r="IL423" i="2" s="1"/>
  <c r="FB33" i="2"/>
  <c r="IH423" i="2" s="1"/>
  <c r="EX33" i="2"/>
  <c r="ID423" i="2" s="1"/>
  <c r="ES33" i="2"/>
  <c r="HY423" i="2" s="1"/>
  <c r="EO33" i="2"/>
  <c r="HU423" i="2" s="1"/>
  <c r="EK33" i="2"/>
  <c r="HQ423" i="2" s="1"/>
  <c r="EG33" i="2"/>
  <c r="HM423" i="2" s="1"/>
  <c r="EC33" i="2"/>
  <c r="HI423" i="2" s="1"/>
  <c r="DY33" i="2"/>
  <c r="HE423" i="2" s="1"/>
  <c r="DU33" i="2"/>
  <c r="HA423" i="2" s="1"/>
  <c r="DQ33" i="2"/>
  <c r="GW423" i="2" s="1"/>
  <c r="DM33" i="2"/>
  <c r="GS423" i="2" s="1"/>
  <c r="FL32" i="2"/>
  <c r="IR422" i="2" s="1"/>
  <c r="FH32" i="2"/>
  <c r="IN422" i="2" s="1"/>
  <c r="FD32" i="2"/>
  <c r="IJ422" i="2" s="1"/>
  <c r="EZ32" i="2"/>
  <c r="IF422" i="2" s="1"/>
  <c r="EU32" i="2"/>
  <c r="IA422" i="2" s="1"/>
  <c r="EQ32" i="2"/>
  <c r="HW422" i="2" s="1"/>
  <c r="EM32" i="2"/>
  <c r="HS422" i="2" s="1"/>
  <c r="EI32" i="2"/>
  <c r="HO422" i="2" s="1"/>
  <c r="EE32" i="2"/>
  <c r="HK422" i="2" s="1"/>
  <c r="EA32" i="2"/>
  <c r="HG422" i="2" s="1"/>
  <c r="DW32" i="2"/>
  <c r="HC422" i="2" s="1"/>
  <c r="DS32" i="2"/>
  <c r="GY422" i="2" s="1"/>
  <c r="DO32" i="2"/>
  <c r="GU422" i="2" s="1"/>
  <c r="DK32" i="2"/>
  <c r="GQ422" i="2" s="1"/>
  <c r="FN31" i="2"/>
  <c r="IT421" i="2" s="1"/>
  <c r="FJ31" i="2"/>
  <c r="IP421" i="2" s="1"/>
  <c r="FA41" i="2"/>
  <c r="IG431" i="2" s="1"/>
  <c r="DT41" i="2"/>
  <c r="GZ431" i="2" s="1"/>
  <c r="FM40" i="2"/>
  <c r="IS430" i="2" s="1"/>
  <c r="EV40" i="2"/>
  <c r="IB430" i="2" s="1"/>
  <c r="EF40" i="2"/>
  <c r="HL430" i="2" s="1"/>
  <c r="DP40" i="2"/>
  <c r="GV430" i="2" s="1"/>
  <c r="FC39" i="2"/>
  <c r="II429" i="2" s="1"/>
  <c r="EL39" i="2"/>
  <c r="HR429" i="2" s="1"/>
  <c r="EA39" i="2"/>
  <c r="HG429" i="2" s="1"/>
  <c r="DS39" i="2"/>
  <c r="GY429" i="2" s="1"/>
  <c r="DK39" i="2"/>
  <c r="GQ429" i="2" s="1"/>
  <c r="FJ38" i="2"/>
  <c r="IP428" i="2" s="1"/>
  <c r="FB38" i="2"/>
  <c r="IH428" i="2" s="1"/>
  <c r="ES38" i="2"/>
  <c r="HY428" i="2" s="1"/>
  <c r="EK38" i="2"/>
  <c r="HQ428" i="2" s="1"/>
  <c r="EC38" i="2"/>
  <c r="HI428" i="2" s="1"/>
  <c r="DU38" i="2"/>
  <c r="HA428" i="2" s="1"/>
  <c r="DM38" i="2"/>
  <c r="GS428" i="2" s="1"/>
  <c r="FI37" i="2"/>
  <c r="IO427" i="2" s="1"/>
  <c r="FA37" i="2"/>
  <c r="IG427" i="2" s="1"/>
  <c r="ER37" i="2"/>
  <c r="HX427" i="2" s="1"/>
  <c r="EJ37" i="2"/>
  <c r="HP427" i="2" s="1"/>
  <c r="EB37" i="2"/>
  <c r="HH427" i="2" s="1"/>
  <c r="DT37" i="2"/>
  <c r="GZ427" i="2" s="1"/>
  <c r="DL37" i="2"/>
  <c r="GR427" i="2" s="1"/>
  <c r="FK36" i="2"/>
  <c r="IQ426" i="2" s="1"/>
  <c r="FC36" i="2"/>
  <c r="II426" i="2" s="1"/>
  <c r="ET36" i="2"/>
  <c r="HZ426" i="2" s="1"/>
  <c r="EL36" i="2"/>
  <c r="HR426" i="2" s="1"/>
  <c r="ED36" i="2"/>
  <c r="HJ426" i="2" s="1"/>
  <c r="DV36" i="2"/>
  <c r="HB426" i="2" s="1"/>
  <c r="DN36" i="2"/>
  <c r="GT426" i="2" s="1"/>
  <c r="FL35" i="2"/>
  <c r="IR425" i="2" s="1"/>
  <c r="FD35" i="2"/>
  <c r="IJ425" i="2" s="1"/>
  <c r="EU35" i="2"/>
  <c r="IA425" i="2" s="1"/>
  <c r="EM35" i="2"/>
  <c r="HS425" i="2" s="1"/>
  <c r="EE35" i="2"/>
  <c r="HK425" i="2" s="1"/>
  <c r="DW35" i="2"/>
  <c r="HC425" i="2" s="1"/>
  <c r="DO35" i="2"/>
  <c r="GU425" i="2" s="1"/>
  <c r="FN34" i="2"/>
  <c r="IT424" i="2" s="1"/>
  <c r="FI34" i="2"/>
  <c r="IO424" i="2" s="1"/>
  <c r="FE34" i="2"/>
  <c r="IK424" i="2" s="1"/>
  <c r="FA34" i="2"/>
  <c r="IG424" i="2" s="1"/>
  <c r="EV34" i="2"/>
  <c r="IB424" i="2" s="1"/>
  <c r="ER34" i="2"/>
  <c r="HX424" i="2" s="1"/>
  <c r="EN34" i="2"/>
  <c r="HT424" i="2" s="1"/>
  <c r="EJ34" i="2"/>
  <c r="HP424" i="2" s="1"/>
  <c r="EF34" i="2"/>
  <c r="HL424" i="2" s="1"/>
  <c r="EB34" i="2"/>
  <c r="HH424" i="2" s="1"/>
  <c r="DX34" i="2"/>
  <c r="HD424" i="2" s="1"/>
  <c r="DT34" i="2"/>
  <c r="GZ424" i="2" s="1"/>
  <c r="DP34" i="2"/>
  <c r="GV424" i="2" s="1"/>
  <c r="DL34" i="2"/>
  <c r="GR424" i="2" s="1"/>
  <c r="FO33" i="2"/>
  <c r="IU423" i="2" s="1"/>
  <c r="FK33" i="2"/>
  <c r="IQ423" i="2" s="1"/>
  <c r="FG33" i="2"/>
  <c r="IM423" i="2" s="1"/>
  <c r="FC33" i="2"/>
  <c r="II423" i="2" s="1"/>
  <c r="EY33" i="2"/>
  <c r="IE423" i="2" s="1"/>
  <c r="ET33" i="2"/>
  <c r="HZ423" i="2" s="1"/>
  <c r="EP33" i="2"/>
  <c r="HV423" i="2" s="1"/>
  <c r="EL33" i="2"/>
  <c r="HR423" i="2" s="1"/>
  <c r="EH33" i="2"/>
  <c r="HN423" i="2" s="1"/>
  <c r="ED33" i="2"/>
  <c r="HJ423" i="2" s="1"/>
  <c r="DZ33" i="2"/>
  <c r="HF423" i="2" s="1"/>
  <c r="DV33" i="2"/>
  <c r="HB423" i="2" s="1"/>
  <c r="DR33" i="2"/>
  <c r="GX423" i="2" s="1"/>
  <c r="DN33" i="2"/>
  <c r="GT423" i="2" s="1"/>
  <c r="FM32" i="2"/>
  <c r="IS422" i="2" s="1"/>
  <c r="FI32" i="2"/>
  <c r="IO422" i="2" s="1"/>
  <c r="FE32" i="2"/>
  <c r="IK422" i="2" s="1"/>
  <c r="FA32" i="2"/>
  <c r="IG422" i="2" s="1"/>
  <c r="EV32" i="2"/>
  <c r="IB422" i="2" s="1"/>
  <c r="ER32" i="2"/>
  <c r="HX422" i="2" s="1"/>
  <c r="EN32" i="2"/>
  <c r="HT422" i="2" s="1"/>
  <c r="EJ32" i="2"/>
  <c r="HP422" i="2" s="1"/>
  <c r="EF32" i="2"/>
  <c r="HL422" i="2" s="1"/>
  <c r="EB32" i="2"/>
  <c r="HH422" i="2" s="1"/>
  <c r="DX32" i="2"/>
  <c r="HD422" i="2" s="1"/>
  <c r="DT32" i="2"/>
  <c r="GZ422" i="2" s="1"/>
  <c r="DP32" i="2"/>
  <c r="GV422" i="2" s="1"/>
  <c r="DL32" i="2"/>
  <c r="GR422" i="2" s="1"/>
  <c r="FO31" i="2"/>
  <c r="IU421" i="2" s="1"/>
  <c r="FK31" i="2"/>
  <c r="IQ421" i="2" s="1"/>
  <c r="FG31" i="2"/>
  <c r="IM421" i="2" s="1"/>
  <c r="FC31" i="2"/>
  <c r="II421" i="2" s="1"/>
  <c r="EY31" i="2"/>
  <c r="IE421" i="2" s="1"/>
  <c r="ET31" i="2"/>
  <c r="EP31" i="2"/>
  <c r="EL31" i="2"/>
  <c r="FF41" i="2"/>
  <c r="IL431" i="2" s="1"/>
  <c r="EK40" i="2"/>
  <c r="HQ430" i="2" s="1"/>
  <c r="FK39" i="2"/>
  <c r="IQ429" i="2" s="1"/>
  <c r="EF39" i="2"/>
  <c r="HL429" i="2" s="1"/>
  <c r="DO39" i="2"/>
  <c r="GU429" i="2" s="1"/>
  <c r="FC38" i="2"/>
  <c r="II428" i="2" s="1"/>
  <c r="EL38" i="2"/>
  <c r="HR428" i="2" s="1"/>
  <c r="DV38" i="2"/>
  <c r="HB428" i="2" s="1"/>
  <c r="FE37" i="2"/>
  <c r="IK427" i="2" s="1"/>
  <c r="EN37" i="2"/>
  <c r="HT427" i="2" s="1"/>
  <c r="DX37" i="2"/>
  <c r="HD427" i="2" s="1"/>
  <c r="FN36" i="2"/>
  <c r="IT426" i="2" s="1"/>
  <c r="EX36" i="2"/>
  <c r="ID426" i="2" s="1"/>
  <c r="EG36" i="2"/>
  <c r="HM426" i="2" s="1"/>
  <c r="DQ36" i="2"/>
  <c r="GW426" i="2" s="1"/>
  <c r="EZ35" i="2"/>
  <c r="IF425" i="2" s="1"/>
  <c r="EI35" i="2"/>
  <c r="HO425" i="2" s="1"/>
  <c r="DS35" i="2"/>
  <c r="GY425" i="2" s="1"/>
  <c r="FO34" i="2"/>
  <c r="IU424" i="2" s="1"/>
  <c r="FF34" i="2"/>
  <c r="IL424" i="2" s="1"/>
  <c r="EX34" i="2"/>
  <c r="ID424" i="2" s="1"/>
  <c r="EO34" i="2"/>
  <c r="HU424" i="2" s="1"/>
  <c r="EG34" i="2"/>
  <c r="HM424" i="2" s="1"/>
  <c r="DY34" i="2"/>
  <c r="HE424" i="2" s="1"/>
  <c r="DQ34" i="2"/>
  <c r="GW424" i="2" s="1"/>
  <c r="FM33" i="2"/>
  <c r="IS423" i="2" s="1"/>
  <c r="FE33" i="2"/>
  <c r="IK423" i="2" s="1"/>
  <c r="EV33" i="2"/>
  <c r="IB423" i="2" s="1"/>
  <c r="EN33" i="2"/>
  <c r="HT423" i="2" s="1"/>
  <c r="EF33" i="2"/>
  <c r="HL423" i="2" s="1"/>
  <c r="DX33" i="2"/>
  <c r="HD423" i="2" s="1"/>
  <c r="DP33" i="2"/>
  <c r="GV423" i="2" s="1"/>
  <c r="FO32" i="2"/>
  <c r="IU422" i="2" s="1"/>
  <c r="FG32" i="2"/>
  <c r="IM422" i="2" s="1"/>
  <c r="EY32" i="2"/>
  <c r="IE422" i="2" s="1"/>
  <c r="EP32" i="2"/>
  <c r="HV422" i="2" s="1"/>
  <c r="EH32" i="2"/>
  <c r="HN422" i="2" s="1"/>
  <c r="DZ32" i="2"/>
  <c r="HF422" i="2" s="1"/>
  <c r="DR32" i="2"/>
  <c r="GX422" i="2" s="1"/>
  <c r="FH31" i="2"/>
  <c r="IN421" i="2" s="1"/>
  <c r="FB31" i="2"/>
  <c r="IH421" i="2" s="1"/>
  <c r="EV31" i="2"/>
  <c r="EQ31" i="2"/>
  <c r="EK31" i="2"/>
  <c r="EG31" i="2"/>
  <c r="EC31" i="2"/>
  <c r="DY31" i="2"/>
  <c r="DU31" i="2"/>
  <c r="DQ31" i="2"/>
  <c r="DM31" i="2"/>
  <c r="FL30" i="2"/>
  <c r="IR420" i="2" s="1"/>
  <c r="FH30" i="2"/>
  <c r="IN420" i="2" s="1"/>
  <c r="FD30" i="2"/>
  <c r="IJ420" i="2" s="1"/>
  <c r="EZ30" i="2"/>
  <c r="IF420" i="2" s="1"/>
  <c r="EU30" i="2"/>
  <c r="IA420" i="2" s="1"/>
  <c r="EQ30" i="2"/>
  <c r="HW420" i="2" s="1"/>
  <c r="EM30" i="2"/>
  <c r="HS420" i="2" s="1"/>
  <c r="EI30" i="2"/>
  <c r="HO420" i="2" s="1"/>
  <c r="EE30" i="2"/>
  <c r="HK420" i="2" s="1"/>
  <c r="EA30" i="2"/>
  <c r="HG420" i="2" s="1"/>
  <c r="DW30" i="2"/>
  <c r="HC420" i="2" s="1"/>
  <c r="DS30" i="2"/>
  <c r="GY420" i="2" s="1"/>
  <c r="DO30" i="2"/>
  <c r="GU420" i="2" s="1"/>
  <c r="DK30" i="2"/>
  <c r="GQ420" i="2" s="1"/>
  <c r="FN29" i="2"/>
  <c r="IT419" i="2" s="1"/>
  <c r="FJ29" i="2"/>
  <c r="IP419" i="2" s="1"/>
  <c r="FF29" i="2"/>
  <c r="IL419" i="2" s="1"/>
  <c r="FB29" i="2"/>
  <c r="IH419" i="2" s="1"/>
  <c r="EX29" i="2"/>
  <c r="ID419" i="2" s="1"/>
  <c r="ES29" i="2"/>
  <c r="HY419" i="2" s="1"/>
  <c r="EO29" i="2"/>
  <c r="HU419" i="2" s="1"/>
  <c r="EK29" i="2"/>
  <c r="HQ419" i="2" s="1"/>
  <c r="EG29" i="2"/>
  <c r="HM419" i="2" s="1"/>
  <c r="EC29" i="2"/>
  <c r="HI419" i="2" s="1"/>
  <c r="DY29" i="2"/>
  <c r="HE419" i="2" s="1"/>
  <c r="DU29" i="2"/>
  <c r="HA419" i="2" s="1"/>
  <c r="DQ29" i="2"/>
  <c r="GW419" i="2" s="1"/>
  <c r="DM29" i="2"/>
  <c r="GS419" i="2" s="1"/>
  <c r="FL28" i="2"/>
  <c r="IR418" i="2" s="1"/>
  <c r="FH28" i="2"/>
  <c r="IN418" i="2" s="1"/>
  <c r="FD28" i="2"/>
  <c r="IJ418" i="2" s="1"/>
  <c r="EZ28" i="2"/>
  <c r="IF418" i="2" s="1"/>
  <c r="EU28" i="2"/>
  <c r="IA418" i="2" s="1"/>
  <c r="EQ28" i="2"/>
  <c r="HW418" i="2" s="1"/>
  <c r="EM28" i="2"/>
  <c r="HS418" i="2" s="1"/>
  <c r="EI28" i="2"/>
  <c r="HO418" i="2" s="1"/>
  <c r="EE28" i="2"/>
  <c r="HK418" i="2" s="1"/>
  <c r="EA28" i="2"/>
  <c r="HG418" i="2" s="1"/>
  <c r="DW28" i="2"/>
  <c r="HC418" i="2" s="1"/>
  <c r="DS28" i="2"/>
  <c r="GY418" i="2" s="1"/>
  <c r="DO28" i="2"/>
  <c r="GU418" i="2" s="1"/>
  <c r="DK28" i="2"/>
  <c r="GQ418" i="2" s="1"/>
  <c r="FN27" i="2"/>
  <c r="IT417" i="2" s="1"/>
  <c r="FJ27" i="2"/>
  <c r="IP417" i="2" s="1"/>
  <c r="FF27" i="2"/>
  <c r="IL417" i="2" s="1"/>
  <c r="FB27" i="2"/>
  <c r="IH417" i="2" s="1"/>
  <c r="EX27" i="2"/>
  <c r="ID417" i="2" s="1"/>
  <c r="ES27" i="2"/>
  <c r="HY417" i="2" s="1"/>
  <c r="EO27" i="2"/>
  <c r="HU417" i="2" s="1"/>
  <c r="EK27" i="2"/>
  <c r="HQ417" i="2" s="1"/>
  <c r="EG27" i="2"/>
  <c r="HM417" i="2" s="1"/>
  <c r="EC27" i="2"/>
  <c r="HI417" i="2" s="1"/>
  <c r="DY27" i="2"/>
  <c r="HE417" i="2" s="1"/>
  <c r="DU27" i="2"/>
  <c r="HA417" i="2" s="1"/>
  <c r="DQ27" i="2"/>
  <c r="GW417" i="2" s="1"/>
  <c r="DM27" i="2"/>
  <c r="GS417" i="2" s="1"/>
  <c r="FL26" i="2"/>
  <c r="IR416" i="2" s="1"/>
  <c r="FH26" i="2"/>
  <c r="IN416" i="2" s="1"/>
  <c r="FD26" i="2"/>
  <c r="IJ416" i="2" s="1"/>
  <c r="EZ26" i="2"/>
  <c r="IF416" i="2" s="1"/>
  <c r="EU26" i="2"/>
  <c r="IA416" i="2" s="1"/>
  <c r="EQ26" i="2"/>
  <c r="HW416" i="2" s="1"/>
  <c r="EM26" i="2"/>
  <c r="HS416" i="2" s="1"/>
  <c r="EI26" i="2"/>
  <c r="HO416" i="2" s="1"/>
  <c r="EE26" i="2"/>
  <c r="HK416" i="2" s="1"/>
  <c r="EA26" i="2"/>
  <c r="HG416" i="2" s="1"/>
  <c r="DW26" i="2"/>
  <c r="HC416" i="2" s="1"/>
  <c r="DS26" i="2"/>
  <c r="GY416" i="2" s="1"/>
  <c r="DO26" i="2"/>
  <c r="GU416" i="2" s="1"/>
  <c r="DK26" i="2"/>
  <c r="GQ416" i="2" s="1"/>
  <c r="FN25" i="2"/>
  <c r="IT415" i="2" s="1"/>
  <c r="FJ25" i="2"/>
  <c r="IP415" i="2" s="1"/>
  <c r="FF25" i="2"/>
  <c r="IL415" i="2" s="1"/>
  <c r="FB25" i="2"/>
  <c r="IH415" i="2" s="1"/>
  <c r="EX25" i="2"/>
  <c r="ID415" i="2" s="1"/>
  <c r="ES25" i="2"/>
  <c r="HY415" i="2" s="1"/>
  <c r="EO25" i="2"/>
  <c r="HU415" i="2" s="1"/>
  <c r="EK25" i="2"/>
  <c r="HQ415" i="2" s="1"/>
  <c r="EG25" i="2"/>
  <c r="HM415" i="2" s="1"/>
  <c r="EC25" i="2"/>
  <c r="HI415" i="2" s="1"/>
  <c r="DY25" i="2"/>
  <c r="HE415" i="2" s="1"/>
  <c r="DU25" i="2"/>
  <c r="HA415" i="2" s="1"/>
  <c r="DQ25" i="2"/>
  <c r="GW415" i="2" s="1"/>
  <c r="DM25" i="2"/>
  <c r="GS415" i="2" s="1"/>
  <c r="FL24" i="2"/>
  <c r="IR414" i="2" s="1"/>
  <c r="FH24" i="2"/>
  <c r="IN414" i="2" s="1"/>
  <c r="FD24" i="2"/>
  <c r="IJ414" i="2" s="1"/>
  <c r="EZ24" i="2"/>
  <c r="IF414" i="2" s="1"/>
  <c r="EU24" i="2"/>
  <c r="IA414" i="2" s="1"/>
  <c r="EQ24" i="2"/>
  <c r="HW414" i="2" s="1"/>
  <c r="EM24" i="2"/>
  <c r="HS414" i="2" s="1"/>
  <c r="EI24" i="2"/>
  <c r="HO414" i="2" s="1"/>
  <c r="EE24" i="2"/>
  <c r="HK414" i="2" s="1"/>
  <c r="EA24" i="2"/>
  <c r="HG414" i="2" s="1"/>
  <c r="DW24" i="2"/>
  <c r="HC414" i="2" s="1"/>
  <c r="DS24" i="2"/>
  <c r="GY414" i="2" s="1"/>
  <c r="DO24" i="2"/>
  <c r="GU414" i="2" s="1"/>
  <c r="DK24" i="2"/>
  <c r="GQ414" i="2" s="1"/>
  <c r="FN23" i="2"/>
  <c r="IT413" i="2" s="1"/>
  <c r="FJ23" i="2"/>
  <c r="IP413" i="2" s="1"/>
  <c r="FF23" i="2"/>
  <c r="IL413" i="2" s="1"/>
  <c r="FB23" i="2"/>
  <c r="IH413" i="2" s="1"/>
  <c r="EX23" i="2"/>
  <c r="ID413" i="2" s="1"/>
  <c r="ES23" i="2"/>
  <c r="HY413" i="2" s="1"/>
  <c r="EO23" i="2"/>
  <c r="HU413" i="2" s="1"/>
  <c r="EK23" i="2"/>
  <c r="HQ413" i="2" s="1"/>
  <c r="EG23" i="2"/>
  <c r="HM413" i="2" s="1"/>
  <c r="EC23" i="2"/>
  <c r="HI413" i="2" s="1"/>
  <c r="DY23" i="2"/>
  <c r="HE413" i="2" s="1"/>
  <c r="DU23" i="2"/>
  <c r="HA413" i="2" s="1"/>
  <c r="DQ23" i="2"/>
  <c r="GW413" i="2" s="1"/>
  <c r="DM23" i="2"/>
  <c r="GS413" i="2" s="1"/>
  <c r="FL22" i="2"/>
  <c r="IR412" i="2" s="1"/>
  <c r="FH22" i="2"/>
  <c r="IN412" i="2" s="1"/>
  <c r="FD22" i="2"/>
  <c r="IJ412" i="2" s="1"/>
  <c r="EZ22" i="2"/>
  <c r="IF412" i="2" s="1"/>
  <c r="EU22" i="2"/>
  <c r="IA412" i="2" s="1"/>
  <c r="EQ22" i="2"/>
  <c r="HW412" i="2" s="1"/>
  <c r="EM22" i="2"/>
  <c r="HS412" i="2" s="1"/>
  <c r="EI22" i="2"/>
  <c r="HO412" i="2" s="1"/>
  <c r="EE22" i="2"/>
  <c r="HK412" i="2" s="1"/>
  <c r="EA22" i="2"/>
  <c r="HG412" i="2" s="1"/>
  <c r="DW22" i="2"/>
  <c r="HC412" i="2" s="1"/>
  <c r="DS22" i="2"/>
  <c r="GY412" i="2" s="1"/>
  <c r="DO22" i="2"/>
  <c r="GU412" i="2" s="1"/>
  <c r="DK22" i="2"/>
  <c r="GQ412" i="2" s="1"/>
  <c r="EJ41" i="2"/>
  <c r="HP431" i="2" s="1"/>
  <c r="FE40" i="2"/>
  <c r="IK430" i="2" s="1"/>
  <c r="DX40" i="2"/>
  <c r="HD430" i="2" s="1"/>
  <c r="FD39" i="2"/>
  <c r="IJ429" i="2" s="1"/>
  <c r="EB39" i="2"/>
  <c r="HH429" i="2" s="1"/>
  <c r="DL39" i="2"/>
  <c r="GR429" i="2" s="1"/>
  <c r="FN38" i="2"/>
  <c r="IT428" i="2" s="1"/>
  <c r="EX38" i="2"/>
  <c r="ID428" i="2" s="1"/>
  <c r="EG38" i="2"/>
  <c r="HM428" i="2" s="1"/>
  <c r="DQ38" i="2"/>
  <c r="GW428" i="2" s="1"/>
  <c r="FD37" i="2"/>
  <c r="IJ427" i="2" s="1"/>
  <c r="EM37" i="2"/>
  <c r="HS427" i="2" s="1"/>
  <c r="DW37" i="2"/>
  <c r="HC427" i="2" s="1"/>
  <c r="FG36" i="2"/>
  <c r="IM426" i="2" s="1"/>
  <c r="EP36" i="2"/>
  <c r="HV426" i="2" s="1"/>
  <c r="DZ36" i="2"/>
  <c r="HF426" i="2" s="1"/>
  <c r="FM35" i="2"/>
  <c r="IS425" i="2" s="1"/>
  <c r="EV35" i="2"/>
  <c r="IB425" i="2" s="1"/>
  <c r="EF35" i="2"/>
  <c r="HL425" i="2" s="1"/>
  <c r="DP35" i="2"/>
  <c r="GV425" i="2" s="1"/>
  <c r="FK34" i="2"/>
  <c r="IQ424" i="2" s="1"/>
  <c r="FC34" i="2"/>
  <c r="II424" i="2" s="1"/>
  <c r="ET34" i="2"/>
  <c r="HZ424" i="2" s="1"/>
  <c r="EL34" i="2"/>
  <c r="HR424" i="2" s="1"/>
  <c r="ED34" i="2"/>
  <c r="HJ424" i="2" s="1"/>
  <c r="DV34" i="2"/>
  <c r="HB424" i="2" s="1"/>
  <c r="DN34" i="2"/>
  <c r="GT424" i="2" s="1"/>
  <c r="FL33" i="2"/>
  <c r="IR423" i="2" s="1"/>
  <c r="FD33" i="2"/>
  <c r="IJ423" i="2" s="1"/>
  <c r="EU33" i="2"/>
  <c r="IA423" i="2" s="1"/>
  <c r="EM33" i="2"/>
  <c r="HS423" i="2" s="1"/>
  <c r="EE33" i="2"/>
  <c r="HK423" i="2" s="1"/>
  <c r="DW33" i="2"/>
  <c r="HC423" i="2" s="1"/>
  <c r="DO33" i="2"/>
  <c r="GU423" i="2" s="1"/>
  <c r="FN32" i="2"/>
  <c r="IT422" i="2" s="1"/>
  <c r="FF32" i="2"/>
  <c r="IL422" i="2" s="1"/>
  <c r="EX32" i="2"/>
  <c r="ID422" i="2" s="1"/>
  <c r="EO32" i="2"/>
  <c r="HU422" i="2" s="1"/>
  <c r="EG32" i="2"/>
  <c r="HM422" i="2" s="1"/>
  <c r="DY32" i="2"/>
  <c r="HE422" i="2" s="1"/>
  <c r="DQ32" i="2"/>
  <c r="GW422" i="2" s="1"/>
  <c r="FM31" i="2"/>
  <c r="IS421" i="2" s="1"/>
  <c r="FF31" i="2"/>
  <c r="IL421" i="2" s="1"/>
  <c r="FA31" i="2"/>
  <c r="IG421" i="2" s="1"/>
  <c r="EU31" i="2"/>
  <c r="EO31" i="2"/>
  <c r="EJ31" i="2"/>
  <c r="EF31" i="2"/>
  <c r="EB31" i="2"/>
  <c r="DX31" i="2"/>
  <c r="DT31" i="2"/>
  <c r="DP31" i="2"/>
  <c r="DL31" i="2"/>
  <c r="FO30" i="2"/>
  <c r="IU420" i="2" s="1"/>
  <c r="FK30" i="2"/>
  <c r="IQ420" i="2" s="1"/>
  <c r="FG30" i="2"/>
  <c r="IM420" i="2" s="1"/>
  <c r="FC30" i="2"/>
  <c r="II420" i="2" s="1"/>
  <c r="EY30" i="2"/>
  <c r="IE420" i="2" s="1"/>
  <c r="ET30" i="2"/>
  <c r="HZ420" i="2" s="1"/>
  <c r="EP30" i="2"/>
  <c r="HV420" i="2" s="1"/>
  <c r="EL30" i="2"/>
  <c r="HR420" i="2" s="1"/>
  <c r="EH30" i="2"/>
  <c r="HN420" i="2" s="1"/>
  <c r="ED30" i="2"/>
  <c r="HJ420" i="2" s="1"/>
  <c r="DZ30" i="2"/>
  <c r="HF420" i="2" s="1"/>
  <c r="DV30" i="2"/>
  <c r="HB420" i="2" s="1"/>
  <c r="DR30" i="2"/>
  <c r="GX420" i="2" s="1"/>
  <c r="DN30" i="2"/>
  <c r="GT420" i="2" s="1"/>
  <c r="FM29" i="2"/>
  <c r="IS419" i="2" s="1"/>
  <c r="FI29" i="2"/>
  <c r="IO419" i="2" s="1"/>
  <c r="FE29" i="2"/>
  <c r="IK419" i="2" s="1"/>
  <c r="FA29" i="2"/>
  <c r="IG419" i="2" s="1"/>
  <c r="EV29" i="2"/>
  <c r="IB419" i="2" s="1"/>
  <c r="ER29" i="2"/>
  <c r="HX419" i="2" s="1"/>
  <c r="EN29" i="2"/>
  <c r="HT419" i="2" s="1"/>
  <c r="EJ29" i="2"/>
  <c r="HP419" i="2" s="1"/>
  <c r="EF29" i="2"/>
  <c r="HL419" i="2" s="1"/>
  <c r="EB29" i="2"/>
  <c r="HH419" i="2" s="1"/>
  <c r="DX29" i="2"/>
  <c r="HD419" i="2" s="1"/>
  <c r="DT29" i="2"/>
  <c r="GZ419" i="2" s="1"/>
  <c r="DP29" i="2"/>
  <c r="GV419" i="2" s="1"/>
  <c r="DL29" i="2"/>
  <c r="GR419" i="2" s="1"/>
  <c r="FO28" i="2"/>
  <c r="IU418" i="2" s="1"/>
  <c r="FK28" i="2"/>
  <c r="IQ418" i="2" s="1"/>
  <c r="FG28" i="2"/>
  <c r="IM418" i="2" s="1"/>
  <c r="FC28" i="2"/>
  <c r="II418" i="2" s="1"/>
  <c r="EY28" i="2"/>
  <c r="IE418" i="2" s="1"/>
  <c r="ET28" i="2"/>
  <c r="HZ418" i="2" s="1"/>
  <c r="EP28" i="2"/>
  <c r="HV418" i="2" s="1"/>
  <c r="EL28" i="2"/>
  <c r="HR418" i="2" s="1"/>
  <c r="EH28" i="2"/>
  <c r="HN418" i="2" s="1"/>
  <c r="ED28" i="2"/>
  <c r="HJ418" i="2" s="1"/>
  <c r="DZ28" i="2"/>
  <c r="HF418" i="2" s="1"/>
  <c r="DV28" i="2"/>
  <c r="HB418" i="2" s="1"/>
  <c r="DR28" i="2"/>
  <c r="GX418" i="2" s="1"/>
  <c r="DN28" i="2"/>
  <c r="GT418" i="2" s="1"/>
  <c r="FM27" i="2"/>
  <c r="IS417" i="2" s="1"/>
  <c r="FI27" i="2"/>
  <c r="IO417" i="2" s="1"/>
  <c r="FE27" i="2"/>
  <c r="IK417" i="2" s="1"/>
  <c r="FA27" i="2"/>
  <c r="IG417" i="2" s="1"/>
  <c r="EV27" i="2"/>
  <c r="IB417" i="2" s="1"/>
  <c r="ER27" i="2"/>
  <c r="HX417" i="2" s="1"/>
  <c r="EN27" i="2"/>
  <c r="HT417" i="2" s="1"/>
  <c r="EJ27" i="2"/>
  <c r="HP417" i="2" s="1"/>
  <c r="EF27" i="2"/>
  <c r="HL417" i="2" s="1"/>
  <c r="EB27" i="2"/>
  <c r="HH417" i="2" s="1"/>
  <c r="DX27" i="2"/>
  <c r="HD417" i="2" s="1"/>
  <c r="DT27" i="2"/>
  <c r="GZ417" i="2" s="1"/>
  <c r="DP27" i="2"/>
  <c r="GV417" i="2" s="1"/>
  <c r="DL27" i="2"/>
  <c r="GR417" i="2" s="1"/>
  <c r="FO26" i="2"/>
  <c r="IU416" i="2" s="1"/>
  <c r="FK26" i="2"/>
  <c r="IQ416" i="2" s="1"/>
  <c r="FG26" i="2"/>
  <c r="IM416" i="2" s="1"/>
  <c r="FC26" i="2"/>
  <c r="II416" i="2" s="1"/>
  <c r="EY26" i="2"/>
  <c r="IE416" i="2" s="1"/>
  <c r="ET26" i="2"/>
  <c r="HZ416" i="2" s="1"/>
  <c r="EP26" i="2"/>
  <c r="HV416" i="2" s="1"/>
  <c r="EL26" i="2"/>
  <c r="HR416" i="2" s="1"/>
  <c r="EH26" i="2"/>
  <c r="HN416" i="2" s="1"/>
  <c r="ED26" i="2"/>
  <c r="HJ416" i="2" s="1"/>
  <c r="DZ26" i="2"/>
  <c r="HF416" i="2" s="1"/>
  <c r="DV26" i="2"/>
  <c r="HB416" i="2" s="1"/>
  <c r="DR26" i="2"/>
  <c r="GX416" i="2" s="1"/>
  <c r="DN26" i="2"/>
  <c r="GT416" i="2" s="1"/>
  <c r="FM25" i="2"/>
  <c r="IS415" i="2" s="1"/>
  <c r="FI25" i="2"/>
  <c r="IO415" i="2" s="1"/>
  <c r="FE25" i="2"/>
  <c r="IK415" i="2" s="1"/>
  <c r="FA25" i="2"/>
  <c r="IG415" i="2" s="1"/>
  <c r="EV25" i="2"/>
  <c r="IB415" i="2" s="1"/>
  <c r="ER25" i="2"/>
  <c r="HX415" i="2" s="1"/>
  <c r="EN25" i="2"/>
  <c r="HT415" i="2" s="1"/>
  <c r="EJ25" i="2"/>
  <c r="HP415" i="2" s="1"/>
  <c r="EF25" i="2"/>
  <c r="HL415" i="2" s="1"/>
  <c r="EB25" i="2"/>
  <c r="HH415" i="2" s="1"/>
  <c r="DX25" i="2"/>
  <c r="HD415" i="2" s="1"/>
  <c r="DT25" i="2"/>
  <c r="GZ415" i="2" s="1"/>
  <c r="DP25" i="2"/>
  <c r="GV415" i="2" s="1"/>
  <c r="DL25" i="2"/>
  <c r="GR415" i="2" s="1"/>
  <c r="FO24" i="2"/>
  <c r="IU414" i="2" s="1"/>
  <c r="FK24" i="2"/>
  <c r="IQ414" i="2" s="1"/>
  <c r="FG24" i="2"/>
  <c r="IM414" i="2" s="1"/>
  <c r="FC24" i="2"/>
  <c r="II414" i="2" s="1"/>
  <c r="EY24" i="2"/>
  <c r="IE414" i="2" s="1"/>
  <c r="ET24" i="2"/>
  <c r="HZ414" i="2" s="1"/>
  <c r="EP24" i="2"/>
  <c r="HV414" i="2" s="1"/>
  <c r="EL24" i="2"/>
  <c r="HR414" i="2" s="1"/>
  <c r="EH24" i="2"/>
  <c r="HN414" i="2" s="1"/>
  <c r="ED24" i="2"/>
  <c r="HJ414" i="2" s="1"/>
  <c r="DZ24" i="2"/>
  <c r="HF414" i="2" s="1"/>
  <c r="DV24" i="2"/>
  <c r="HB414" i="2" s="1"/>
  <c r="DR24" i="2"/>
  <c r="GX414" i="2" s="1"/>
  <c r="DN24" i="2"/>
  <c r="GT414" i="2" s="1"/>
  <c r="FM23" i="2"/>
  <c r="IS413" i="2" s="1"/>
  <c r="FI23" i="2"/>
  <c r="IO413" i="2" s="1"/>
  <c r="FE23" i="2"/>
  <c r="IK413" i="2" s="1"/>
  <c r="FA23" i="2"/>
  <c r="IG413" i="2" s="1"/>
  <c r="EV23" i="2"/>
  <c r="IB413" i="2" s="1"/>
  <c r="ER23" i="2"/>
  <c r="HX413" i="2" s="1"/>
  <c r="EN23" i="2"/>
  <c r="HT413" i="2" s="1"/>
  <c r="EJ23" i="2"/>
  <c r="HP413" i="2" s="1"/>
  <c r="EF23" i="2"/>
  <c r="HL413" i="2" s="1"/>
  <c r="EB23" i="2"/>
  <c r="HH413" i="2" s="1"/>
  <c r="DX23" i="2"/>
  <c r="HD413" i="2" s="1"/>
  <c r="DT23" i="2"/>
  <c r="GZ413" i="2" s="1"/>
  <c r="DP23" i="2"/>
  <c r="GV413" i="2" s="1"/>
  <c r="DL23" i="2"/>
  <c r="GR413" i="2" s="1"/>
  <c r="FO22" i="2"/>
  <c r="IU412" i="2" s="1"/>
  <c r="FK22" i="2"/>
  <c r="IQ412" i="2" s="1"/>
  <c r="FG22" i="2"/>
  <c r="IM412" i="2" s="1"/>
  <c r="FC22" i="2"/>
  <c r="II412" i="2" s="1"/>
  <c r="EY22" i="2"/>
  <c r="IE412" i="2" s="1"/>
  <c r="ET22" i="2"/>
  <c r="HZ412" i="2" s="1"/>
  <c r="EP22" i="2"/>
  <c r="HV412" i="2" s="1"/>
  <c r="EL22" i="2"/>
  <c r="HR412" i="2" s="1"/>
  <c r="EH22" i="2"/>
  <c r="HN412" i="2" s="1"/>
  <c r="FB40" i="2"/>
  <c r="IH430" i="2" s="1"/>
  <c r="ET39" i="2"/>
  <c r="HZ429" i="2" s="1"/>
  <c r="EO38" i="2"/>
  <c r="HU428" i="2" s="1"/>
  <c r="EU37" i="2"/>
  <c r="IA427" i="2" s="1"/>
  <c r="DO37" i="2"/>
  <c r="GU427" i="2" s="1"/>
  <c r="EY36" i="2"/>
  <c r="IE426" i="2" s="1"/>
  <c r="DR36" i="2"/>
  <c r="GX426" i="2" s="1"/>
  <c r="EQ35" i="2"/>
  <c r="HW425" i="2" s="1"/>
  <c r="DK35" i="2"/>
  <c r="GQ425" i="2" s="1"/>
  <c r="FG34" i="2"/>
  <c r="IM424" i="2" s="1"/>
  <c r="EP34" i="2"/>
  <c r="HV424" i="2" s="1"/>
  <c r="DZ34" i="2"/>
  <c r="HF424" i="2" s="1"/>
  <c r="EZ33" i="2"/>
  <c r="IF423" i="2" s="1"/>
  <c r="EI33" i="2"/>
  <c r="HO423" i="2" s="1"/>
  <c r="DS33" i="2"/>
  <c r="GY423" i="2" s="1"/>
  <c r="FJ32" i="2"/>
  <c r="IP422" i="2" s="1"/>
  <c r="ES32" i="2"/>
  <c r="HY422" i="2" s="1"/>
  <c r="EC32" i="2"/>
  <c r="HI422" i="2" s="1"/>
  <c r="DM32" i="2"/>
  <c r="GS422" i="2" s="1"/>
  <c r="FD31" i="2"/>
  <c r="IJ421" i="2" s="1"/>
  <c r="ER31" i="2"/>
  <c r="EH31" i="2"/>
  <c r="DZ31" i="2"/>
  <c r="DR31" i="2"/>
  <c r="FI30" i="2"/>
  <c r="IO420" i="2" s="1"/>
  <c r="FA30" i="2"/>
  <c r="IG420" i="2" s="1"/>
  <c r="ER30" i="2"/>
  <c r="HX420" i="2" s="1"/>
  <c r="EJ30" i="2"/>
  <c r="HP420" i="2" s="1"/>
  <c r="EB30" i="2"/>
  <c r="HH420" i="2" s="1"/>
  <c r="DT30" i="2"/>
  <c r="GZ420" i="2" s="1"/>
  <c r="DL30" i="2"/>
  <c r="GR420" i="2" s="1"/>
  <c r="FH29" i="2"/>
  <c r="IN419" i="2" s="1"/>
  <c r="EZ29" i="2"/>
  <c r="IF419" i="2" s="1"/>
  <c r="EQ29" i="2"/>
  <c r="HW419" i="2" s="1"/>
  <c r="EI29" i="2"/>
  <c r="HO419" i="2" s="1"/>
  <c r="EA29" i="2"/>
  <c r="HG419" i="2" s="1"/>
  <c r="DS29" i="2"/>
  <c r="GY419" i="2" s="1"/>
  <c r="DK29" i="2"/>
  <c r="GQ419" i="2" s="1"/>
  <c r="FJ28" i="2"/>
  <c r="IP418" i="2" s="1"/>
  <c r="FB28" i="2"/>
  <c r="IH418" i="2" s="1"/>
  <c r="ES28" i="2"/>
  <c r="HY418" i="2" s="1"/>
  <c r="EK28" i="2"/>
  <c r="HQ418" i="2" s="1"/>
  <c r="EC28" i="2"/>
  <c r="HI418" i="2" s="1"/>
  <c r="DU28" i="2"/>
  <c r="HA418" i="2" s="1"/>
  <c r="DM28" i="2"/>
  <c r="GS418" i="2" s="1"/>
  <c r="FK27" i="2"/>
  <c r="IQ417" i="2" s="1"/>
  <c r="FC27" i="2"/>
  <c r="II417" i="2" s="1"/>
  <c r="ET27" i="2"/>
  <c r="HZ417" i="2" s="1"/>
  <c r="EL27" i="2"/>
  <c r="HR417" i="2" s="1"/>
  <c r="ED27" i="2"/>
  <c r="HJ417" i="2" s="1"/>
  <c r="DV27" i="2"/>
  <c r="HB417" i="2" s="1"/>
  <c r="DN27" i="2"/>
  <c r="GT417" i="2" s="1"/>
  <c r="FM26" i="2"/>
  <c r="IS416" i="2" s="1"/>
  <c r="FE26" i="2"/>
  <c r="IK416" i="2" s="1"/>
  <c r="EV26" i="2"/>
  <c r="IB416" i="2" s="1"/>
  <c r="EN26" i="2"/>
  <c r="HT416" i="2" s="1"/>
  <c r="EF26" i="2"/>
  <c r="HL416" i="2" s="1"/>
  <c r="DX26" i="2"/>
  <c r="HD416" i="2" s="1"/>
  <c r="DP26" i="2"/>
  <c r="GV416" i="2" s="1"/>
  <c r="FL25" i="2"/>
  <c r="IR415" i="2" s="1"/>
  <c r="FD25" i="2"/>
  <c r="IJ415" i="2" s="1"/>
  <c r="EU25" i="2"/>
  <c r="IA415" i="2" s="1"/>
  <c r="EM25" i="2"/>
  <c r="HS415" i="2" s="1"/>
  <c r="EE25" i="2"/>
  <c r="HK415" i="2" s="1"/>
  <c r="DW25" i="2"/>
  <c r="HC415" i="2" s="1"/>
  <c r="DO25" i="2"/>
  <c r="GU415" i="2" s="1"/>
  <c r="FN24" i="2"/>
  <c r="IT414" i="2" s="1"/>
  <c r="FF24" i="2"/>
  <c r="IL414" i="2" s="1"/>
  <c r="EX24" i="2"/>
  <c r="ID414" i="2" s="1"/>
  <c r="EO24" i="2"/>
  <c r="HU414" i="2" s="1"/>
  <c r="EG24" i="2"/>
  <c r="HM414" i="2" s="1"/>
  <c r="DY24" i="2"/>
  <c r="HE414" i="2" s="1"/>
  <c r="DQ24" i="2"/>
  <c r="GW414" i="2" s="1"/>
  <c r="FO23" i="2"/>
  <c r="IU413" i="2" s="1"/>
  <c r="FG23" i="2"/>
  <c r="IM413" i="2" s="1"/>
  <c r="EY23" i="2"/>
  <c r="IE413" i="2" s="1"/>
  <c r="EP23" i="2"/>
  <c r="HV413" i="2" s="1"/>
  <c r="EH23" i="2"/>
  <c r="HN413" i="2" s="1"/>
  <c r="DZ23" i="2"/>
  <c r="HF413" i="2" s="1"/>
  <c r="DR23" i="2"/>
  <c r="GX413" i="2" s="1"/>
  <c r="FI22" i="2"/>
  <c r="IO412" i="2" s="1"/>
  <c r="FA22" i="2"/>
  <c r="IG412" i="2" s="1"/>
  <c r="ER22" i="2"/>
  <c r="HX412" i="2" s="1"/>
  <c r="EJ22" i="2"/>
  <c r="HP412" i="2" s="1"/>
  <c r="EC22" i="2"/>
  <c r="HI412" i="2" s="1"/>
  <c r="DX22" i="2"/>
  <c r="HD412" i="2" s="1"/>
  <c r="DR22" i="2"/>
  <c r="GX412" i="2" s="1"/>
  <c r="DM22" i="2"/>
  <c r="GS412" i="2" s="1"/>
  <c r="FO21" i="2"/>
  <c r="IU411" i="2" s="1"/>
  <c r="FK21" i="2"/>
  <c r="IQ411" i="2" s="1"/>
  <c r="FG21" i="2"/>
  <c r="IM411" i="2" s="1"/>
  <c r="FC21" i="2"/>
  <c r="II411" i="2" s="1"/>
  <c r="EY21" i="2"/>
  <c r="IE411" i="2" s="1"/>
  <c r="ET21" i="2"/>
  <c r="HZ411" i="2" s="1"/>
  <c r="EP21" i="2"/>
  <c r="HV411" i="2" s="1"/>
  <c r="EL21" i="2"/>
  <c r="HR411" i="2" s="1"/>
  <c r="EH21" i="2"/>
  <c r="HN411" i="2" s="1"/>
  <c r="ED21" i="2"/>
  <c r="HJ411" i="2" s="1"/>
  <c r="DZ21" i="2"/>
  <c r="HF411" i="2" s="1"/>
  <c r="DV21" i="2"/>
  <c r="HB411" i="2" s="1"/>
  <c r="DR21" i="2"/>
  <c r="GX411" i="2" s="1"/>
  <c r="DN21" i="2"/>
  <c r="GT411" i="2" s="1"/>
  <c r="FM20" i="2"/>
  <c r="IS410" i="2" s="1"/>
  <c r="FI20" i="2"/>
  <c r="IO410" i="2" s="1"/>
  <c r="FE20" i="2"/>
  <c r="IK410" i="2" s="1"/>
  <c r="FA20" i="2"/>
  <c r="IG410" i="2" s="1"/>
  <c r="EV20" i="2"/>
  <c r="IB410" i="2" s="1"/>
  <c r="ER20" i="2"/>
  <c r="HX410" i="2" s="1"/>
  <c r="EN20" i="2"/>
  <c r="HT410" i="2" s="1"/>
  <c r="EJ20" i="2"/>
  <c r="HP410" i="2" s="1"/>
  <c r="EF20" i="2"/>
  <c r="HL410" i="2" s="1"/>
  <c r="EB20" i="2"/>
  <c r="HH410" i="2" s="1"/>
  <c r="DX20" i="2"/>
  <c r="HD410" i="2" s="1"/>
  <c r="DT20" i="2"/>
  <c r="GZ410" i="2" s="1"/>
  <c r="DP20" i="2"/>
  <c r="GV410" i="2" s="1"/>
  <c r="DL20" i="2"/>
  <c r="GR410" i="2" s="1"/>
  <c r="FO19" i="2"/>
  <c r="IU409" i="2" s="1"/>
  <c r="FK19" i="2"/>
  <c r="IQ409" i="2" s="1"/>
  <c r="FG19" i="2"/>
  <c r="IM409" i="2" s="1"/>
  <c r="FC19" i="2"/>
  <c r="II409" i="2" s="1"/>
  <c r="EY19" i="2"/>
  <c r="IE409" i="2" s="1"/>
  <c r="ET19" i="2"/>
  <c r="HZ409" i="2" s="1"/>
  <c r="EP19" i="2"/>
  <c r="HV409" i="2" s="1"/>
  <c r="EL19" i="2"/>
  <c r="HR409" i="2" s="1"/>
  <c r="EH19" i="2"/>
  <c r="HN409" i="2" s="1"/>
  <c r="ED19" i="2"/>
  <c r="HJ409" i="2" s="1"/>
  <c r="DZ19" i="2"/>
  <c r="HF409" i="2" s="1"/>
  <c r="DV19" i="2"/>
  <c r="HB409" i="2" s="1"/>
  <c r="DR19" i="2"/>
  <c r="GX409" i="2" s="1"/>
  <c r="DN19" i="2"/>
  <c r="GT409" i="2" s="1"/>
  <c r="FM18" i="2"/>
  <c r="IS408" i="2" s="1"/>
  <c r="FI18" i="2"/>
  <c r="IO408" i="2" s="1"/>
  <c r="FE18" i="2"/>
  <c r="IK408" i="2" s="1"/>
  <c r="FA18" i="2"/>
  <c r="IG408" i="2" s="1"/>
  <c r="EV18" i="2"/>
  <c r="IB408" i="2" s="1"/>
  <c r="ER18" i="2"/>
  <c r="HX408" i="2" s="1"/>
  <c r="EN18" i="2"/>
  <c r="HT408" i="2" s="1"/>
  <c r="EJ18" i="2"/>
  <c r="HP408" i="2" s="1"/>
  <c r="EF18" i="2"/>
  <c r="HL408" i="2" s="1"/>
  <c r="EB18" i="2"/>
  <c r="HH408" i="2" s="1"/>
  <c r="DX18" i="2"/>
  <c r="HD408" i="2" s="1"/>
  <c r="DT18" i="2"/>
  <c r="GZ408" i="2" s="1"/>
  <c r="DP18" i="2"/>
  <c r="GV408" i="2" s="1"/>
  <c r="DL18" i="2"/>
  <c r="GR408" i="2" s="1"/>
  <c r="FO17" i="2"/>
  <c r="IU407" i="2" s="1"/>
  <c r="FK17" i="2"/>
  <c r="IQ407" i="2" s="1"/>
  <c r="FG17" i="2"/>
  <c r="IM407" i="2" s="1"/>
  <c r="FC17" i="2"/>
  <c r="II407" i="2" s="1"/>
  <c r="EY17" i="2"/>
  <c r="IE407" i="2" s="1"/>
  <c r="ET17" i="2"/>
  <c r="HZ407" i="2" s="1"/>
  <c r="EP17" i="2"/>
  <c r="HV407" i="2" s="1"/>
  <c r="EL17" i="2"/>
  <c r="HR407" i="2" s="1"/>
  <c r="EH17" i="2"/>
  <c r="HN407" i="2" s="1"/>
  <c r="ED17" i="2"/>
  <c r="HJ407" i="2" s="1"/>
  <c r="DZ17" i="2"/>
  <c r="HF407" i="2" s="1"/>
  <c r="DV17" i="2"/>
  <c r="HB407" i="2" s="1"/>
  <c r="DR17" i="2"/>
  <c r="GX407" i="2" s="1"/>
  <c r="DN17" i="2"/>
  <c r="GT407" i="2" s="1"/>
  <c r="FM16" i="2"/>
  <c r="IS406" i="2" s="1"/>
  <c r="FI16" i="2"/>
  <c r="IO406" i="2" s="1"/>
  <c r="FE16" i="2"/>
  <c r="IK406" i="2" s="1"/>
  <c r="FA16" i="2"/>
  <c r="IG406" i="2" s="1"/>
  <c r="EV16" i="2"/>
  <c r="IB406" i="2" s="1"/>
  <c r="ER16" i="2"/>
  <c r="HX406" i="2" s="1"/>
  <c r="EN16" i="2"/>
  <c r="HT406" i="2" s="1"/>
  <c r="EJ16" i="2"/>
  <c r="HP406" i="2" s="1"/>
  <c r="EF16" i="2"/>
  <c r="HL406" i="2" s="1"/>
  <c r="EB16" i="2"/>
  <c r="HH406" i="2" s="1"/>
  <c r="DX16" i="2"/>
  <c r="HD406" i="2" s="1"/>
  <c r="DT16" i="2"/>
  <c r="GZ406" i="2" s="1"/>
  <c r="DP16" i="2"/>
  <c r="GV406" i="2" s="1"/>
  <c r="DL16" i="2"/>
  <c r="GR406" i="2" s="1"/>
  <c r="EN40" i="2"/>
  <c r="HT430" i="2" s="1"/>
  <c r="EM39" i="2"/>
  <c r="HS429" i="2" s="1"/>
  <c r="FK38" i="2"/>
  <c r="IQ428" i="2" s="1"/>
  <c r="ED38" i="2"/>
  <c r="HJ428" i="2" s="1"/>
  <c r="FM37" i="2"/>
  <c r="IS427" i="2" s="1"/>
  <c r="EF37" i="2"/>
  <c r="HL427" i="2" s="1"/>
  <c r="EO36" i="2"/>
  <c r="HU426" i="2" s="1"/>
  <c r="EN35" i="2"/>
  <c r="HT425" i="2" s="1"/>
  <c r="FB34" i="2"/>
  <c r="IH424" i="2" s="1"/>
  <c r="EK34" i="2"/>
  <c r="HQ424" i="2" s="1"/>
  <c r="DU34" i="2"/>
  <c r="HA424" i="2" s="1"/>
  <c r="FI33" i="2"/>
  <c r="IO423" i="2" s="1"/>
  <c r="ER33" i="2"/>
  <c r="HX423" i="2" s="1"/>
  <c r="EB33" i="2"/>
  <c r="HH423" i="2" s="1"/>
  <c r="DL33" i="2"/>
  <c r="GR423" i="2" s="1"/>
  <c r="FC32" i="2"/>
  <c r="II422" i="2" s="1"/>
  <c r="EL32" i="2"/>
  <c r="HR422" i="2" s="1"/>
  <c r="DV32" i="2"/>
  <c r="HB422" i="2" s="1"/>
  <c r="FL31" i="2"/>
  <c r="IR421" i="2" s="1"/>
  <c r="EZ31" i="2"/>
  <c r="IF421" i="2" s="1"/>
  <c r="EN31" i="2"/>
  <c r="EE31" i="2"/>
  <c r="DW31" i="2"/>
  <c r="DO31" i="2"/>
  <c r="FN30" i="2"/>
  <c r="IT420" i="2" s="1"/>
  <c r="FF30" i="2"/>
  <c r="IL420" i="2" s="1"/>
  <c r="EX30" i="2"/>
  <c r="ID420" i="2" s="1"/>
  <c r="EO30" i="2"/>
  <c r="HU420" i="2" s="1"/>
  <c r="EG30" i="2"/>
  <c r="HM420" i="2" s="1"/>
  <c r="DY30" i="2"/>
  <c r="HE420" i="2" s="1"/>
  <c r="DQ30" i="2"/>
  <c r="GW420" i="2" s="1"/>
  <c r="FO29" i="2"/>
  <c r="IU419" i="2" s="1"/>
  <c r="FG29" i="2"/>
  <c r="IM419" i="2" s="1"/>
  <c r="EY29" i="2"/>
  <c r="IE419" i="2" s="1"/>
  <c r="EP29" i="2"/>
  <c r="HV419" i="2" s="1"/>
  <c r="EH29" i="2"/>
  <c r="HN419" i="2" s="1"/>
  <c r="DZ29" i="2"/>
  <c r="HF419" i="2" s="1"/>
  <c r="DR29" i="2"/>
  <c r="GX419" i="2" s="1"/>
  <c r="FI28" i="2"/>
  <c r="IO418" i="2" s="1"/>
  <c r="FA28" i="2"/>
  <c r="IG418" i="2" s="1"/>
  <c r="ER28" i="2"/>
  <c r="HX418" i="2" s="1"/>
  <c r="EJ28" i="2"/>
  <c r="HP418" i="2" s="1"/>
  <c r="EB28" i="2"/>
  <c r="HH418" i="2" s="1"/>
  <c r="DT28" i="2"/>
  <c r="GZ418" i="2" s="1"/>
  <c r="DL28" i="2"/>
  <c r="GR418" i="2" s="1"/>
  <c r="FH27" i="2"/>
  <c r="IN417" i="2" s="1"/>
  <c r="EZ27" i="2"/>
  <c r="IF417" i="2" s="1"/>
  <c r="EQ27" i="2"/>
  <c r="HW417" i="2" s="1"/>
  <c r="EI27" i="2"/>
  <c r="HO417" i="2" s="1"/>
  <c r="EA27" i="2"/>
  <c r="HG417" i="2" s="1"/>
  <c r="DS27" i="2"/>
  <c r="GY417" i="2" s="1"/>
  <c r="DK27" i="2"/>
  <c r="GQ417" i="2" s="1"/>
  <c r="FJ26" i="2"/>
  <c r="IP416" i="2" s="1"/>
  <c r="FB26" i="2"/>
  <c r="IH416" i="2" s="1"/>
  <c r="ES26" i="2"/>
  <c r="HY416" i="2" s="1"/>
  <c r="EK26" i="2"/>
  <c r="HQ416" i="2" s="1"/>
  <c r="EC26" i="2"/>
  <c r="HI416" i="2" s="1"/>
  <c r="DU26" i="2"/>
  <c r="HA416" i="2" s="1"/>
  <c r="DM26" i="2"/>
  <c r="GS416" i="2" s="1"/>
  <c r="FK25" i="2"/>
  <c r="IQ415" i="2" s="1"/>
  <c r="FC25" i="2"/>
  <c r="II415" i="2" s="1"/>
  <c r="ET25" i="2"/>
  <c r="HZ415" i="2" s="1"/>
  <c r="EL25" i="2"/>
  <c r="HR415" i="2" s="1"/>
  <c r="ED25" i="2"/>
  <c r="HJ415" i="2" s="1"/>
  <c r="DV25" i="2"/>
  <c r="HB415" i="2" s="1"/>
  <c r="DN25" i="2"/>
  <c r="GT415" i="2" s="1"/>
  <c r="FM24" i="2"/>
  <c r="IS414" i="2" s="1"/>
  <c r="FE24" i="2"/>
  <c r="IK414" i="2" s="1"/>
  <c r="EV24" i="2"/>
  <c r="IB414" i="2" s="1"/>
  <c r="EN24" i="2"/>
  <c r="HT414" i="2" s="1"/>
  <c r="EF24" i="2"/>
  <c r="HL414" i="2" s="1"/>
  <c r="DX24" i="2"/>
  <c r="HD414" i="2" s="1"/>
  <c r="DP24" i="2"/>
  <c r="GV414" i="2" s="1"/>
  <c r="FL23" i="2"/>
  <c r="IR413" i="2" s="1"/>
  <c r="FD23" i="2"/>
  <c r="IJ413" i="2" s="1"/>
  <c r="EU23" i="2"/>
  <c r="IA413" i="2" s="1"/>
  <c r="EM23" i="2"/>
  <c r="HS413" i="2" s="1"/>
  <c r="EE23" i="2"/>
  <c r="HK413" i="2" s="1"/>
  <c r="DW23" i="2"/>
  <c r="HC413" i="2" s="1"/>
  <c r="DO23" i="2"/>
  <c r="GU413" i="2" s="1"/>
  <c r="FN22" i="2"/>
  <c r="IT412" i="2" s="1"/>
  <c r="FF22" i="2"/>
  <c r="IL412" i="2" s="1"/>
  <c r="EX22" i="2"/>
  <c r="ID412" i="2" s="1"/>
  <c r="EO22" i="2"/>
  <c r="HU412" i="2" s="1"/>
  <c r="EG22" i="2"/>
  <c r="HM412" i="2" s="1"/>
  <c r="EB22" i="2"/>
  <c r="HH412" i="2" s="1"/>
  <c r="DV22" i="2"/>
  <c r="HB412" i="2" s="1"/>
  <c r="DQ22" i="2"/>
  <c r="GW412" i="2" s="1"/>
  <c r="DL22" i="2"/>
  <c r="GR412" i="2" s="1"/>
  <c r="FN21" i="2"/>
  <c r="IT411" i="2" s="1"/>
  <c r="FJ21" i="2"/>
  <c r="IP411" i="2" s="1"/>
  <c r="FF21" i="2"/>
  <c r="IL411" i="2" s="1"/>
  <c r="FB21" i="2"/>
  <c r="IH411" i="2" s="1"/>
  <c r="EX21" i="2"/>
  <c r="ID411" i="2" s="1"/>
  <c r="ES21" i="2"/>
  <c r="HY411" i="2" s="1"/>
  <c r="EO21" i="2"/>
  <c r="HU411" i="2" s="1"/>
  <c r="EK21" i="2"/>
  <c r="HQ411" i="2" s="1"/>
  <c r="EG21" i="2"/>
  <c r="HM411" i="2" s="1"/>
  <c r="EC21" i="2"/>
  <c r="HI411" i="2" s="1"/>
  <c r="DY21" i="2"/>
  <c r="HE411" i="2" s="1"/>
  <c r="DU21" i="2"/>
  <c r="HA411" i="2" s="1"/>
  <c r="DQ21" i="2"/>
  <c r="GW411" i="2" s="1"/>
  <c r="DM21" i="2"/>
  <c r="GS411" i="2" s="1"/>
  <c r="FL20" i="2"/>
  <c r="IR410" i="2" s="1"/>
  <c r="FH20" i="2"/>
  <c r="IN410" i="2" s="1"/>
  <c r="FD20" i="2"/>
  <c r="IJ410" i="2" s="1"/>
  <c r="EZ20" i="2"/>
  <c r="IF410" i="2" s="1"/>
  <c r="EU20" i="2"/>
  <c r="IA410" i="2" s="1"/>
  <c r="EQ20" i="2"/>
  <c r="HW410" i="2" s="1"/>
  <c r="EM20" i="2"/>
  <c r="HS410" i="2" s="1"/>
  <c r="EI20" i="2"/>
  <c r="HO410" i="2" s="1"/>
  <c r="EE20" i="2"/>
  <c r="HK410" i="2" s="1"/>
  <c r="EA20" i="2"/>
  <c r="HG410" i="2" s="1"/>
  <c r="DW20" i="2"/>
  <c r="HC410" i="2" s="1"/>
  <c r="DS20" i="2"/>
  <c r="GY410" i="2" s="1"/>
  <c r="DO20" i="2"/>
  <c r="GU410" i="2" s="1"/>
  <c r="DK20" i="2"/>
  <c r="GQ410" i="2" s="1"/>
  <c r="FN19" i="2"/>
  <c r="IT409" i="2" s="1"/>
  <c r="FJ19" i="2"/>
  <c r="IP409" i="2" s="1"/>
  <c r="FF19" i="2"/>
  <c r="IL409" i="2" s="1"/>
  <c r="FB19" i="2"/>
  <c r="IH409" i="2" s="1"/>
  <c r="EX19" i="2"/>
  <c r="ID409" i="2" s="1"/>
  <c r="ES19" i="2"/>
  <c r="HY409" i="2" s="1"/>
  <c r="EO19" i="2"/>
  <c r="HU409" i="2" s="1"/>
  <c r="EK19" i="2"/>
  <c r="HQ409" i="2" s="1"/>
  <c r="EG19" i="2"/>
  <c r="HM409" i="2" s="1"/>
  <c r="EC19" i="2"/>
  <c r="HI409" i="2" s="1"/>
  <c r="DY19" i="2"/>
  <c r="HE409" i="2" s="1"/>
  <c r="DU19" i="2"/>
  <c r="HA409" i="2" s="1"/>
  <c r="DQ19" i="2"/>
  <c r="GW409" i="2" s="1"/>
  <c r="DM19" i="2"/>
  <c r="GS409" i="2" s="1"/>
  <c r="FL18" i="2"/>
  <c r="IR408" i="2" s="1"/>
  <c r="FH18" i="2"/>
  <c r="IN408" i="2" s="1"/>
  <c r="FD18" i="2"/>
  <c r="IJ408" i="2" s="1"/>
  <c r="EZ18" i="2"/>
  <c r="IF408" i="2" s="1"/>
  <c r="EU18" i="2"/>
  <c r="IA408" i="2" s="1"/>
  <c r="EQ18" i="2"/>
  <c r="HW408" i="2" s="1"/>
  <c r="EM18" i="2"/>
  <c r="HS408" i="2" s="1"/>
  <c r="EI18" i="2"/>
  <c r="HO408" i="2" s="1"/>
  <c r="EE18" i="2"/>
  <c r="HK408" i="2" s="1"/>
  <c r="EA18" i="2"/>
  <c r="HG408" i="2" s="1"/>
  <c r="DW18" i="2"/>
  <c r="HC408" i="2" s="1"/>
  <c r="DS18" i="2"/>
  <c r="GY408" i="2" s="1"/>
  <c r="DO18" i="2"/>
  <c r="GU408" i="2" s="1"/>
  <c r="DK18" i="2"/>
  <c r="GQ408" i="2" s="1"/>
  <c r="FN17" i="2"/>
  <c r="IT407" i="2" s="1"/>
  <c r="FJ17" i="2"/>
  <c r="IP407" i="2" s="1"/>
  <c r="FF17" i="2"/>
  <c r="IL407" i="2" s="1"/>
  <c r="FB17" i="2"/>
  <c r="IH407" i="2" s="1"/>
  <c r="EX17" i="2"/>
  <c r="ID407" i="2" s="1"/>
  <c r="ES17" i="2"/>
  <c r="HY407" i="2" s="1"/>
  <c r="EO17" i="2"/>
  <c r="HU407" i="2" s="1"/>
  <c r="EK17" i="2"/>
  <c r="HQ407" i="2" s="1"/>
  <c r="EG17" i="2"/>
  <c r="HM407" i="2" s="1"/>
  <c r="EC17" i="2"/>
  <c r="HI407" i="2" s="1"/>
  <c r="DY17" i="2"/>
  <c r="HE407" i="2" s="1"/>
  <c r="DU17" i="2"/>
  <c r="HA407" i="2" s="1"/>
  <c r="DQ17" i="2"/>
  <c r="GW407" i="2" s="1"/>
  <c r="DM17" i="2"/>
  <c r="GS407" i="2" s="1"/>
  <c r="FL16" i="2"/>
  <c r="IR406" i="2" s="1"/>
  <c r="FH16" i="2"/>
  <c r="IN406" i="2" s="1"/>
  <c r="FD16" i="2"/>
  <c r="IJ406" i="2" s="1"/>
  <c r="EZ16" i="2"/>
  <c r="IF406" i="2" s="1"/>
  <c r="EU16" i="2"/>
  <c r="IA406" i="2" s="1"/>
  <c r="EQ16" i="2"/>
  <c r="HW406" i="2" s="1"/>
  <c r="EM16" i="2"/>
  <c r="HS406" i="2" s="1"/>
  <c r="EI16" i="2"/>
  <c r="HO406" i="2" s="1"/>
  <c r="EE16" i="2"/>
  <c r="HK406" i="2" s="1"/>
  <c r="EA16" i="2"/>
  <c r="HG406" i="2" s="1"/>
  <c r="DW16" i="2"/>
  <c r="HC406" i="2" s="1"/>
  <c r="DS16" i="2"/>
  <c r="GY406" i="2" s="1"/>
  <c r="DO16" i="2"/>
  <c r="GU406" i="2" s="1"/>
  <c r="DK16" i="2"/>
  <c r="GQ406" i="2" s="1"/>
  <c r="DN14" i="2"/>
  <c r="GT404" i="2" s="1"/>
  <c r="DR14" i="2"/>
  <c r="GX404" i="2" s="1"/>
  <c r="DV14" i="2"/>
  <c r="HB404" i="2" s="1"/>
  <c r="DZ14" i="2"/>
  <c r="HF404" i="2" s="1"/>
  <c r="ED14" i="2"/>
  <c r="HJ404" i="2" s="1"/>
  <c r="EH14" i="2"/>
  <c r="HN404" i="2" s="1"/>
  <c r="EL14" i="2"/>
  <c r="HR404" i="2" s="1"/>
  <c r="EP14" i="2"/>
  <c r="HV404" i="2" s="1"/>
  <c r="ET14" i="2"/>
  <c r="HZ404" i="2" s="1"/>
  <c r="EY14" i="2"/>
  <c r="IE404" i="2" s="1"/>
  <c r="FC14" i="2"/>
  <c r="II404" i="2" s="1"/>
  <c r="FG14" i="2"/>
  <c r="IM404" i="2" s="1"/>
  <c r="FK14" i="2"/>
  <c r="IQ404" i="2" s="1"/>
  <c r="FO14" i="2"/>
  <c r="IU404" i="2" s="1"/>
  <c r="VI49" i="2"/>
  <c r="YK435" i="2" s="1"/>
  <c r="VE49" i="2"/>
  <c r="YG435" i="2" s="1"/>
  <c r="VA49" i="2"/>
  <c r="YC435" i="2" s="1"/>
  <c r="UW49" i="2"/>
  <c r="XY435" i="2" s="1"/>
  <c r="US49" i="2"/>
  <c r="XU435" i="2" s="1"/>
  <c r="UO49" i="2"/>
  <c r="XQ435" i="2" s="1"/>
  <c r="UK49" i="2"/>
  <c r="XM435" i="2" s="1"/>
  <c r="UG49" i="2"/>
  <c r="XI435" i="2" s="1"/>
  <c r="UC49" i="2"/>
  <c r="XE435" i="2" s="1"/>
  <c r="TY49" i="2"/>
  <c r="XA435" i="2" s="1"/>
  <c r="TU49" i="2"/>
  <c r="WW435" i="2" s="1"/>
  <c r="VJ48" i="2"/>
  <c r="YL434" i="2" s="1"/>
  <c r="VF48" i="2"/>
  <c r="YH434" i="2" s="1"/>
  <c r="VB48" i="2"/>
  <c r="YD434" i="2" s="1"/>
  <c r="UX48" i="2"/>
  <c r="XZ434" i="2" s="1"/>
  <c r="UT48" i="2"/>
  <c r="XV434" i="2" s="1"/>
  <c r="UP48" i="2"/>
  <c r="XR434" i="2" s="1"/>
  <c r="UL48" i="2"/>
  <c r="XN434" i="2" s="1"/>
  <c r="UH48" i="2"/>
  <c r="XJ434" i="2" s="1"/>
  <c r="UD48" i="2"/>
  <c r="XF434" i="2" s="1"/>
  <c r="TZ48" i="2"/>
  <c r="XB434" i="2" s="1"/>
  <c r="TV48" i="2"/>
  <c r="WX434" i="2" s="1"/>
  <c r="TR48" i="2"/>
  <c r="WT434" i="2" s="1"/>
  <c r="VK47" i="2"/>
  <c r="YM433" i="2" s="1"/>
  <c r="VG47" i="2"/>
  <c r="YI433" i="2" s="1"/>
  <c r="VC47" i="2"/>
  <c r="YE433" i="2" s="1"/>
  <c r="UY47" i="2"/>
  <c r="YA433" i="2" s="1"/>
  <c r="UU47" i="2"/>
  <c r="XW433" i="2" s="1"/>
  <c r="UQ47" i="2"/>
  <c r="XS433" i="2" s="1"/>
  <c r="UM47" i="2"/>
  <c r="XO433" i="2" s="1"/>
  <c r="UI47" i="2"/>
  <c r="XK433" i="2" s="1"/>
  <c r="UE47" i="2"/>
  <c r="XG433" i="2" s="1"/>
  <c r="UA47" i="2"/>
  <c r="XC433" i="2" s="1"/>
  <c r="TW47" i="2"/>
  <c r="WY433" i="2" s="1"/>
  <c r="TS47" i="2"/>
  <c r="WU433" i="2" s="1"/>
  <c r="VL46" i="2"/>
  <c r="VH46" i="2"/>
  <c r="VD46" i="2"/>
  <c r="UZ46" i="2"/>
  <c r="UV46" i="2"/>
  <c r="UR46" i="2"/>
  <c r="UN46" i="2"/>
  <c r="UJ46" i="2"/>
  <c r="UF46" i="2"/>
  <c r="UB46" i="2"/>
  <c r="TX46" i="2"/>
  <c r="TT46" i="2"/>
  <c r="VI45" i="2"/>
  <c r="YK431" i="2" s="1"/>
  <c r="VE45" i="2"/>
  <c r="YG431" i="2" s="1"/>
  <c r="VA45" i="2"/>
  <c r="YC431" i="2" s="1"/>
  <c r="UW45" i="2"/>
  <c r="XY431" i="2" s="1"/>
  <c r="US45" i="2"/>
  <c r="XU431" i="2" s="1"/>
  <c r="UO45" i="2"/>
  <c r="XQ431" i="2" s="1"/>
  <c r="UK45" i="2"/>
  <c r="XM431" i="2" s="1"/>
  <c r="UG45" i="2"/>
  <c r="XI431" i="2" s="1"/>
  <c r="UC45" i="2"/>
  <c r="XE431" i="2" s="1"/>
  <c r="TY45" i="2"/>
  <c r="XA431" i="2" s="1"/>
  <c r="TU45" i="2"/>
  <c r="WW431" i="2" s="1"/>
  <c r="VJ44" i="2"/>
  <c r="YL430" i="2" s="1"/>
  <c r="VF44" i="2"/>
  <c r="YH430" i="2" s="1"/>
  <c r="VB44" i="2"/>
  <c r="YD430" i="2" s="1"/>
  <c r="UX44" i="2"/>
  <c r="XZ430" i="2" s="1"/>
  <c r="UT44" i="2"/>
  <c r="XV430" i="2" s="1"/>
  <c r="UP44" i="2"/>
  <c r="XR430" i="2" s="1"/>
  <c r="UL44" i="2"/>
  <c r="XN430" i="2" s="1"/>
  <c r="UH44" i="2"/>
  <c r="XJ430" i="2" s="1"/>
  <c r="UD44" i="2"/>
  <c r="XF430" i="2" s="1"/>
  <c r="TZ44" i="2"/>
  <c r="XB430" i="2" s="1"/>
  <c r="TV44" i="2"/>
  <c r="WX430" i="2" s="1"/>
  <c r="TR44" i="2"/>
  <c r="WT430" i="2" s="1"/>
  <c r="VL43" i="2"/>
  <c r="YN429" i="2" s="1"/>
  <c r="VH43" i="2"/>
  <c r="YJ429" i="2" s="1"/>
  <c r="VD43" i="2"/>
  <c r="YF429" i="2" s="1"/>
  <c r="UZ43" i="2"/>
  <c r="YB429" i="2" s="1"/>
  <c r="UV43" i="2"/>
  <c r="XX429" i="2" s="1"/>
  <c r="UR43" i="2"/>
  <c r="XT429" i="2" s="1"/>
  <c r="UN43" i="2"/>
  <c r="XP429" i="2" s="1"/>
  <c r="UJ43" i="2"/>
  <c r="XL429" i="2" s="1"/>
  <c r="UF43" i="2"/>
  <c r="XH429" i="2" s="1"/>
  <c r="UB43" i="2"/>
  <c r="XD429" i="2" s="1"/>
  <c r="TX43" i="2"/>
  <c r="WZ429" i="2" s="1"/>
  <c r="VL49" i="2"/>
  <c r="YN435" i="2" s="1"/>
  <c r="VH49" i="2"/>
  <c r="YJ435" i="2" s="1"/>
  <c r="VD49" i="2"/>
  <c r="YF435" i="2" s="1"/>
  <c r="UZ49" i="2"/>
  <c r="YB435" i="2" s="1"/>
  <c r="UV49" i="2"/>
  <c r="XX435" i="2" s="1"/>
  <c r="UR49" i="2"/>
  <c r="XT435" i="2" s="1"/>
  <c r="UN49" i="2"/>
  <c r="XP435" i="2" s="1"/>
  <c r="UJ49" i="2"/>
  <c r="XL435" i="2" s="1"/>
  <c r="UF49" i="2"/>
  <c r="XH435" i="2" s="1"/>
  <c r="UB49" i="2"/>
  <c r="XD435" i="2" s="1"/>
  <c r="TX49" i="2"/>
  <c r="WZ435" i="2" s="1"/>
  <c r="TT49" i="2"/>
  <c r="WV435" i="2" s="1"/>
  <c r="VI48" i="2"/>
  <c r="YK434" i="2" s="1"/>
  <c r="VE48" i="2"/>
  <c r="YG434" i="2" s="1"/>
  <c r="VA48" i="2"/>
  <c r="YC434" i="2" s="1"/>
  <c r="UW48" i="2"/>
  <c r="XY434" i="2" s="1"/>
  <c r="US48" i="2"/>
  <c r="XU434" i="2" s="1"/>
  <c r="UO48" i="2"/>
  <c r="XQ434" i="2" s="1"/>
  <c r="UK48" i="2"/>
  <c r="XM434" i="2" s="1"/>
  <c r="UG48" i="2"/>
  <c r="XI434" i="2" s="1"/>
  <c r="UC48" i="2"/>
  <c r="XE434" i="2" s="1"/>
  <c r="TY48" i="2"/>
  <c r="XA434" i="2" s="1"/>
  <c r="TU48" i="2"/>
  <c r="WW434" i="2" s="1"/>
  <c r="VJ47" i="2"/>
  <c r="YL433" i="2" s="1"/>
  <c r="VF47" i="2"/>
  <c r="YH433" i="2" s="1"/>
  <c r="VB47" i="2"/>
  <c r="YD433" i="2" s="1"/>
  <c r="UX47" i="2"/>
  <c r="XZ433" i="2" s="1"/>
  <c r="UT47" i="2"/>
  <c r="XV433" i="2" s="1"/>
  <c r="UP47" i="2"/>
  <c r="XR433" i="2" s="1"/>
  <c r="UL47" i="2"/>
  <c r="XN433" i="2" s="1"/>
  <c r="UH47" i="2"/>
  <c r="XJ433" i="2" s="1"/>
  <c r="UD47" i="2"/>
  <c r="XF433" i="2" s="1"/>
  <c r="TZ47" i="2"/>
  <c r="XB433" i="2" s="1"/>
  <c r="TV47" i="2"/>
  <c r="WX433" i="2" s="1"/>
  <c r="TR47" i="2"/>
  <c r="WT433" i="2" s="1"/>
  <c r="VK46" i="2"/>
  <c r="VG46" i="2"/>
  <c r="VC46" i="2"/>
  <c r="UY46" i="2"/>
  <c r="UU46" i="2"/>
  <c r="UQ46" i="2"/>
  <c r="UM46" i="2"/>
  <c r="UI46" i="2"/>
  <c r="UE46" i="2"/>
  <c r="UA46" i="2"/>
  <c r="TW46" i="2"/>
  <c r="TS46" i="2"/>
  <c r="VL45" i="2"/>
  <c r="YN431" i="2" s="1"/>
  <c r="VH45" i="2"/>
  <c r="YJ431" i="2" s="1"/>
  <c r="VD45" i="2"/>
  <c r="YF431" i="2" s="1"/>
  <c r="UZ45" i="2"/>
  <c r="YB431" i="2" s="1"/>
  <c r="UV45" i="2"/>
  <c r="XX431" i="2" s="1"/>
  <c r="UR45" i="2"/>
  <c r="XT431" i="2" s="1"/>
  <c r="UN45" i="2"/>
  <c r="XP431" i="2" s="1"/>
  <c r="UJ45" i="2"/>
  <c r="XL431" i="2" s="1"/>
  <c r="UF45" i="2"/>
  <c r="XH431" i="2" s="1"/>
  <c r="UB45" i="2"/>
  <c r="XD431" i="2" s="1"/>
  <c r="TX45" i="2"/>
  <c r="WZ431" i="2" s="1"/>
  <c r="TT45" i="2"/>
  <c r="WV431" i="2" s="1"/>
  <c r="VI44" i="2"/>
  <c r="YK430" i="2" s="1"/>
  <c r="VE44" i="2"/>
  <c r="YG430" i="2" s="1"/>
  <c r="VA44" i="2"/>
  <c r="YC430" i="2" s="1"/>
  <c r="UW44" i="2"/>
  <c r="XY430" i="2" s="1"/>
  <c r="US44" i="2"/>
  <c r="XU430" i="2" s="1"/>
  <c r="UO44" i="2"/>
  <c r="XQ430" i="2" s="1"/>
  <c r="UK44" i="2"/>
  <c r="XM430" i="2" s="1"/>
  <c r="UG44" i="2"/>
  <c r="XI430" i="2" s="1"/>
  <c r="UC44" i="2"/>
  <c r="XE430" i="2" s="1"/>
  <c r="TY44" i="2"/>
  <c r="XA430" i="2" s="1"/>
  <c r="TU44" i="2"/>
  <c r="WW430" i="2" s="1"/>
  <c r="VK43" i="2"/>
  <c r="YM429" i="2" s="1"/>
  <c r="VG43" i="2"/>
  <c r="YI429" i="2" s="1"/>
  <c r="VC43" i="2"/>
  <c r="YE429" i="2" s="1"/>
  <c r="UY43" i="2"/>
  <c r="YA429" i="2" s="1"/>
  <c r="UU43" i="2"/>
  <c r="XW429" i="2" s="1"/>
  <c r="UQ43" i="2"/>
  <c r="XS429" i="2" s="1"/>
  <c r="UM43" i="2"/>
  <c r="XO429" i="2" s="1"/>
  <c r="UI43" i="2"/>
  <c r="XK429" i="2" s="1"/>
  <c r="UE43" i="2"/>
  <c r="XG429" i="2" s="1"/>
  <c r="UA43" i="2"/>
  <c r="XC429" i="2" s="1"/>
  <c r="TW43" i="2"/>
  <c r="WY429" i="2" s="1"/>
  <c r="TS43" i="2"/>
  <c r="WU429" i="2" s="1"/>
  <c r="VK49" i="2"/>
  <c r="YM435" i="2" s="1"/>
  <c r="VC49" i="2"/>
  <c r="YE435" i="2" s="1"/>
  <c r="UU49" i="2"/>
  <c r="XW435" i="2" s="1"/>
  <c r="UM49" i="2"/>
  <c r="XO435" i="2" s="1"/>
  <c r="UE49" i="2"/>
  <c r="XG435" i="2" s="1"/>
  <c r="TW49" i="2"/>
  <c r="WY435" i="2" s="1"/>
  <c r="VG48" i="2"/>
  <c r="YI434" i="2" s="1"/>
  <c r="UY48" i="2"/>
  <c r="YA434" i="2" s="1"/>
  <c r="UQ48" i="2"/>
  <c r="XS434" i="2" s="1"/>
  <c r="UI48" i="2"/>
  <c r="XK434" i="2" s="1"/>
  <c r="UA48" i="2"/>
  <c r="XC434" i="2" s="1"/>
  <c r="TS48" i="2"/>
  <c r="WU434" i="2" s="1"/>
  <c r="VI47" i="2"/>
  <c r="YK433" i="2" s="1"/>
  <c r="VA47" i="2"/>
  <c r="YC433" i="2" s="1"/>
  <c r="US47" i="2"/>
  <c r="XU433" i="2" s="1"/>
  <c r="UK47" i="2"/>
  <c r="XM433" i="2" s="1"/>
  <c r="UC47" i="2"/>
  <c r="XE433" i="2" s="1"/>
  <c r="TU47" i="2"/>
  <c r="WW433" i="2" s="1"/>
  <c r="VJ46" i="2"/>
  <c r="VB46" i="2"/>
  <c r="UT46" i="2"/>
  <c r="UL46" i="2"/>
  <c r="UD46" i="2"/>
  <c r="TV46" i="2"/>
  <c r="VK45" i="2"/>
  <c r="YM431" i="2" s="1"/>
  <c r="VC45" i="2"/>
  <c r="YE431" i="2" s="1"/>
  <c r="UU45" i="2"/>
  <c r="XW431" i="2" s="1"/>
  <c r="UM45" i="2"/>
  <c r="XO431" i="2" s="1"/>
  <c r="UE45" i="2"/>
  <c r="XG431" i="2" s="1"/>
  <c r="TW45" i="2"/>
  <c r="WY431" i="2" s="1"/>
  <c r="VG44" i="2"/>
  <c r="YI430" i="2" s="1"/>
  <c r="UY44" i="2"/>
  <c r="YA430" i="2" s="1"/>
  <c r="UQ44" i="2"/>
  <c r="XS430" i="2" s="1"/>
  <c r="UI44" i="2"/>
  <c r="XK430" i="2" s="1"/>
  <c r="UA44" i="2"/>
  <c r="XC430" i="2" s="1"/>
  <c r="TS44" i="2"/>
  <c r="WU430" i="2" s="1"/>
  <c r="VJ43" i="2"/>
  <c r="YL429" i="2" s="1"/>
  <c r="VB43" i="2"/>
  <c r="YD429" i="2" s="1"/>
  <c r="UT43" i="2"/>
  <c r="XV429" i="2" s="1"/>
  <c r="UL43" i="2"/>
  <c r="XN429" i="2" s="1"/>
  <c r="UD43" i="2"/>
  <c r="XF429" i="2" s="1"/>
  <c r="TV43" i="2"/>
  <c r="WX429" i="2" s="1"/>
  <c r="VJ42" i="2"/>
  <c r="YL428" i="2" s="1"/>
  <c r="VF42" i="2"/>
  <c r="YH428" i="2" s="1"/>
  <c r="VB42" i="2"/>
  <c r="YD428" i="2" s="1"/>
  <c r="UX42" i="2"/>
  <c r="XZ428" i="2" s="1"/>
  <c r="UT42" i="2"/>
  <c r="XV428" i="2" s="1"/>
  <c r="UP42" i="2"/>
  <c r="XR428" i="2" s="1"/>
  <c r="UL42" i="2"/>
  <c r="XN428" i="2" s="1"/>
  <c r="UH42" i="2"/>
  <c r="XJ428" i="2" s="1"/>
  <c r="UD42" i="2"/>
  <c r="XF428" i="2" s="1"/>
  <c r="TZ42" i="2"/>
  <c r="XB428" i="2" s="1"/>
  <c r="TV42" i="2"/>
  <c r="WX428" i="2" s="1"/>
  <c r="TR42" i="2"/>
  <c r="WT428" i="2" s="1"/>
  <c r="VL41" i="2"/>
  <c r="YN427" i="2" s="1"/>
  <c r="VH41" i="2"/>
  <c r="YJ427" i="2" s="1"/>
  <c r="VD41" i="2"/>
  <c r="YF427" i="2" s="1"/>
  <c r="UZ41" i="2"/>
  <c r="YB427" i="2" s="1"/>
  <c r="UV41" i="2"/>
  <c r="XX427" i="2" s="1"/>
  <c r="UR41" i="2"/>
  <c r="XT427" i="2" s="1"/>
  <c r="UN41" i="2"/>
  <c r="XP427" i="2" s="1"/>
  <c r="UJ41" i="2"/>
  <c r="XL427" i="2" s="1"/>
  <c r="UF41" i="2"/>
  <c r="XH427" i="2" s="1"/>
  <c r="UB41" i="2"/>
  <c r="XD427" i="2" s="1"/>
  <c r="TX41" i="2"/>
  <c r="WZ427" i="2" s="1"/>
  <c r="TT41" i="2"/>
  <c r="WV427" i="2" s="1"/>
  <c r="VJ40" i="2"/>
  <c r="YL426" i="2" s="1"/>
  <c r="VF49" i="2"/>
  <c r="YH435" i="2" s="1"/>
  <c r="UX49" i="2"/>
  <c r="XZ435" i="2" s="1"/>
  <c r="UP49" i="2"/>
  <c r="XR435" i="2" s="1"/>
  <c r="UH49" i="2"/>
  <c r="XJ435" i="2" s="1"/>
  <c r="TZ49" i="2"/>
  <c r="XB435" i="2" s="1"/>
  <c r="TR49" i="2"/>
  <c r="WT435" i="2" s="1"/>
  <c r="VH48" i="2"/>
  <c r="YJ434" i="2" s="1"/>
  <c r="UZ48" i="2"/>
  <c r="YB434" i="2" s="1"/>
  <c r="UR48" i="2"/>
  <c r="XT434" i="2" s="1"/>
  <c r="UJ48" i="2"/>
  <c r="XL434" i="2" s="1"/>
  <c r="UB48" i="2"/>
  <c r="XD434" i="2" s="1"/>
  <c r="TT48" i="2"/>
  <c r="WV434" i="2" s="1"/>
  <c r="VL47" i="2"/>
  <c r="YN433" i="2" s="1"/>
  <c r="VD47" i="2"/>
  <c r="YF433" i="2" s="1"/>
  <c r="UV47" i="2"/>
  <c r="XX433" i="2" s="1"/>
  <c r="UN47" i="2"/>
  <c r="XP433" i="2" s="1"/>
  <c r="UF47" i="2"/>
  <c r="XH433" i="2" s="1"/>
  <c r="TX47" i="2"/>
  <c r="WZ433" i="2" s="1"/>
  <c r="VE46" i="2"/>
  <c r="UW46" i="2"/>
  <c r="UO46" i="2"/>
  <c r="UG46" i="2"/>
  <c r="TY46" i="2"/>
  <c r="VF45" i="2"/>
  <c r="YH431" i="2" s="1"/>
  <c r="UX45" i="2"/>
  <c r="XZ431" i="2" s="1"/>
  <c r="UP45" i="2"/>
  <c r="XR431" i="2" s="1"/>
  <c r="UH45" i="2"/>
  <c r="XJ431" i="2" s="1"/>
  <c r="TZ45" i="2"/>
  <c r="XB431" i="2" s="1"/>
  <c r="TR45" i="2"/>
  <c r="WT431" i="2" s="1"/>
  <c r="VH44" i="2"/>
  <c r="YJ430" i="2" s="1"/>
  <c r="UZ44" i="2"/>
  <c r="YB430" i="2" s="1"/>
  <c r="UR44" i="2"/>
  <c r="XT430" i="2" s="1"/>
  <c r="UJ44" i="2"/>
  <c r="XL430" i="2" s="1"/>
  <c r="UB44" i="2"/>
  <c r="XD430" i="2" s="1"/>
  <c r="TT44" i="2"/>
  <c r="WV430" i="2" s="1"/>
  <c r="VE43" i="2"/>
  <c r="YG429" i="2" s="1"/>
  <c r="UW43" i="2"/>
  <c r="XY429" i="2" s="1"/>
  <c r="UO43" i="2"/>
  <c r="XQ429" i="2" s="1"/>
  <c r="UG43" i="2"/>
  <c r="XI429" i="2" s="1"/>
  <c r="TY43" i="2"/>
  <c r="XA429" i="2" s="1"/>
  <c r="TR43" i="2"/>
  <c r="WT429" i="2" s="1"/>
  <c r="VK42" i="2"/>
  <c r="YM428" i="2" s="1"/>
  <c r="VG42" i="2"/>
  <c r="YI428" i="2" s="1"/>
  <c r="VC42" i="2"/>
  <c r="YE428" i="2" s="1"/>
  <c r="UY42" i="2"/>
  <c r="YA428" i="2" s="1"/>
  <c r="UU42" i="2"/>
  <c r="XW428" i="2" s="1"/>
  <c r="UQ42" i="2"/>
  <c r="XS428" i="2" s="1"/>
  <c r="UM42" i="2"/>
  <c r="XO428" i="2" s="1"/>
  <c r="UI42" i="2"/>
  <c r="XK428" i="2" s="1"/>
  <c r="UE42" i="2"/>
  <c r="XG428" i="2" s="1"/>
  <c r="UA42" i="2"/>
  <c r="XC428" i="2" s="1"/>
  <c r="TW42" i="2"/>
  <c r="WY428" i="2" s="1"/>
  <c r="TS42" i="2"/>
  <c r="WU428" i="2" s="1"/>
  <c r="VI41" i="2"/>
  <c r="YK427" i="2" s="1"/>
  <c r="VE41" i="2"/>
  <c r="YG427" i="2" s="1"/>
  <c r="VA41" i="2"/>
  <c r="YC427" i="2" s="1"/>
  <c r="UW41" i="2"/>
  <c r="XY427" i="2" s="1"/>
  <c r="US41" i="2"/>
  <c r="XU427" i="2" s="1"/>
  <c r="UO41" i="2"/>
  <c r="XQ427" i="2" s="1"/>
  <c r="UK41" i="2"/>
  <c r="XM427" i="2" s="1"/>
  <c r="UG41" i="2"/>
  <c r="XI427" i="2" s="1"/>
  <c r="UC41" i="2"/>
  <c r="XE427" i="2" s="1"/>
  <c r="TY41" i="2"/>
  <c r="XA427" i="2" s="1"/>
  <c r="TU41" i="2"/>
  <c r="WW427" i="2" s="1"/>
  <c r="VK40" i="2"/>
  <c r="YM426" i="2" s="1"/>
  <c r="VG40" i="2"/>
  <c r="YI426" i="2" s="1"/>
  <c r="VC40" i="2"/>
  <c r="YE426" i="2" s="1"/>
  <c r="VJ49" i="2"/>
  <c r="YL435" i="2" s="1"/>
  <c r="UT49" i="2"/>
  <c r="XV435" i="2" s="1"/>
  <c r="UD49" i="2"/>
  <c r="XF435" i="2" s="1"/>
  <c r="VC48" i="2"/>
  <c r="YE434" i="2" s="1"/>
  <c r="UM48" i="2"/>
  <c r="XO434" i="2" s="1"/>
  <c r="TW48" i="2"/>
  <c r="WY434" i="2" s="1"/>
  <c r="VE47" i="2"/>
  <c r="YG433" i="2" s="1"/>
  <c r="UO47" i="2"/>
  <c r="XQ433" i="2" s="1"/>
  <c r="TY47" i="2"/>
  <c r="XA433" i="2" s="1"/>
  <c r="VF46" i="2"/>
  <c r="UP46" i="2"/>
  <c r="TZ46" i="2"/>
  <c r="VJ45" i="2"/>
  <c r="YL431" i="2" s="1"/>
  <c r="UT45" i="2"/>
  <c r="XV431" i="2" s="1"/>
  <c r="UD45" i="2"/>
  <c r="XF431" i="2" s="1"/>
  <c r="VC44" i="2"/>
  <c r="YE430" i="2" s="1"/>
  <c r="UM44" i="2"/>
  <c r="XO430" i="2" s="1"/>
  <c r="TW44" i="2"/>
  <c r="WY430" i="2" s="1"/>
  <c r="VF43" i="2"/>
  <c r="YH429" i="2" s="1"/>
  <c r="UP43" i="2"/>
  <c r="XR429" i="2" s="1"/>
  <c r="TZ43" i="2"/>
  <c r="XB429" i="2" s="1"/>
  <c r="VE42" i="2"/>
  <c r="YG428" i="2" s="1"/>
  <c r="UW42" i="2"/>
  <c r="XY428" i="2" s="1"/>
  <c r="UO42" i="2"/>
  <c r="XQ428" i="2" s="1"/>
  <c r="UG42" i="2"/>
  <c r="XI428" i="2" s="1"/>
  <c r="TY42" i="2"/>
  <c r="XA428" i="2" s="1"/>
  <c r="VG41" i="2"/>
  <c r="YI427" i="2" s="1"/>
  <c r="UY41" i="2"/>
  <c r="YA427" i="2" s="1"/>
  <c r="UQ41" i="2"/>
  <c r="XS427" i="2" s="1"/>
  <c r="UI41" i="2"/>
  <c r="XK427" i="2" s="1"/>
  <c r="UA41" i="2"/>
  <c r="XC427" i="2" s="1"/>
  <c r="TS41" i="2"/>
  <c r="WU427" i="2" s="1"/>
  <c r="VL40" i="2"/>
  <c r="YN426" i="2" s="1"/>
  <c r="VE40" i="2"/>
  <c r="YG426" i="2" s="1"/>
  <c r="UZ40" i="2"/>
  <c r="YB426" i="2" s="1"/>
  <c r="UV40" i="2"/>
  <c r="XX426" i="2" s="1"/>
  <c r="UR40" i="2"/>
  <c r="XT426" i="2" s="1"/>
  <c r="UN40" i="2"/>
  <c r="XP426" i="2" s="1"/>
  <c r="UJ40" i="2"/>
  <c r="XL426" i="2" s="1"/>
  <c r="UF40" i="2"/>
  <c r="XH426" i="2" s="1"/>
  <c r="UB40" i="2"/>
  <c r="XD426" i="2" s="1"/>
  <c r="TX40" i="2"/>
  <c r="WZ426" i="2" s="1"/>
  <c r="TT40" i="2"/>
  <c r="WV426" i="2" s="1"/>
  <c r="VJ39" i="2"/>
  <c r="YL425" i="2" s="1"/>
  <c r="VF39" i="2"/>
  <c r="YH425" i="2" s="1"/>
  <c r="VB39" i="2"/>
  <c r="YD425" i="2" s="1"/>
  <c r="UX39" i="2"/>
  <c r="XZ425" i="2" s="1"/>
  <c r="UT39" i="2"/>
  <c r="XV425" i="2" s="1"/>
  <c r="UP39" i="2"/>
  <c r="XR425" i="2" s="1"/>
  <c r="UL39" i="2"/>
  <c r="XN425" i="2" s="1"/>
  <c r="UH39" i="2"/>
  <c r="XJ425" i="2" s="1"/>
  <c r="UD39" i="2"/>
  <c r="XF425" i="2" s="1"/>
  <c r="TZ39" i="2"/>
  <c r="XB425" i="2" s="1"/>
  <c r="TV39" i="2"/>
  <c r="WX425" i="2" s="1"/>
  <c r="TR39" i="2"/>
  <c r="WT425" i="2" s="1"/>
  <c r="UY49" i="2"/>
  <c r="YA435" i="2" s="1"/>
  <c r="UI49" i="2"/>
  <c r="XK435" i="2" s="1"/>
  <c r="TS49" i="2"/>
  <c r="WU435" i="2" s="1"/>
  <c r="VD48" i="2"/>
  <c r="YF434" i="2" s="1"/>
  <c r="UN48" i="2"/>
  <c r="XP434" i="2" s="1"/>
  <c r="TX48" i="2"/>
  <c r="WZ434" i="2" s="1"/>
  <c r="VH47" i="2"/>
  <c r="YJ433" i="2" s="1"/>
  <c r="UR47" i="2"/>
  <c r="XT433" i="2" s="1"/>
  <c r="UB47" i="2"/>
  <c r="XD433" i="2" s="1"/>
  <c r="VI46" i="2"/>
  <c r="US46" i="2"/>
  <c r="UC46" i="2"/>
  <c r="UY45" i="2"/>
  <c r="YA431" i="2" s="1"/>
  <c r="UI45" i="2"/>
  <c r="XK431" i="2" s="1"/>
  <c r="TS45" i="2"/>
  <c r="WU431" i="2" s="1"/>
  <c r="VD44" i="2"/>
  <c r="YF430" i="2" s="1"/>
  <c r="UN44" i="2"/>
  <c r="XP430" i="2" s="1"/>
  <c r="TX44" i="2"/>
  <c r="WZ430" i="2" s="1"/>
  <c r="VI43" i="2"/>
  <c r="YK429" i="2" s="1"/>
  <c r="US43" i="2"/>
  <c r="XU429" i="2" s="1"/>
  <c r="UC43" i="2"/>
  <c r="XE429" i="2" s="1"/>
  <c r="VH42" i="2"/>
  <c r="YJ428" i="2" s="1"/>
  <c r="UZ42" i="2"/>
  <c r="YB428" i="2" s="1"/>
  <c r="UR42" i="2"/>
  <c r="XT428" i="2" s="1"/>
  <c r="UJ42" i="2"/>
  <c r="XL428" i="2" s="1"/>
  <c r="UB42" i="2"/>
  <c r="XD428" i="2" s="1"/>
  <c r="TT42" i="2"/>
  <c r="WV428" i="2" s="1"/>
  <c r="VJ41" i="2"/>
  <c r="YL427" i="2" s="1"/>
  <c r="VB41" i="2"/>
  <c r="YD427" i="2" s="1"/>
  <c r="UT41" i="2"/>
  <c r="XV427" i="2" s="1"/>
  <c r="UL41" i="2"/>
  <c r="XN427" i="2" s="1"/>
  <c r="UD41" i="2"/>
  <c r="XF427" i="2" s="1"/>
  <c r="TV41" i="2"/>
  <c r="WX427" i="2" s="1"/>
  <c r="VF40" i="2"/>
  <c r="YH426" i="2" s="1"/>
  <c r="VA40" i="2"/>
  <c r="YC426" i="2" s="1"/>
  <c r="UW40" i="2"/>
  <c r="XY426" i="2" s="1"/>
  <c r="US40" i="2"/>
  <c r="XU426" i="2" s="1"/>
  <c r="UO40" i="2"/>
  <c r="XQ426" i="2" s="1"/>
  <c r="UK40" i="2"/>
  <c r="XM426" i="2" s="1"/>
  <c r="UG40" i="2"/>
  <c r="XI426" i="2" s="1"/>
  <c r="UC40" i="2"/>
  <c r="XE426" i="2" s="1"/>
  <c r="TY40" i="2"/>
  <c r="XA426" i="2" s="1"/>
  <c r="TU40" i="2"/>
  <c r="WW426" i="2" s="1"/>
  <c r="VK39" i="2"/>
  <c r="YM425" i="2" s="1"/>
  <c r="VG39" i="2"/>
  <c r="YI425" i="2" s="1"/>
  <c r="VC39" i="2"/>
  <c r="YE425" i="2" s="1"/>
  <c r="UY39" i="2"/>
  <c r="YA425" i="2" s="1"/>
  <c r="UU39" i="2"/>
  <c r="XW425" i="2" s="1"/>
  <c r="UQ39" i="2"/>
  <c r="XS425" i="2" s="1"/>
  <c r="UM39" i="2"/>
  <c r="XO425" i="2" s="1"/>
  <c r="UI39" i="2"/>
  <c r="XK425" i="2" s="1"/>
  <c r="UE39" i="2"/>
  <c r="XG425" i="2" s="1"/>
  <c r="UA39" i="2"/>
  <c r="XC425" i="2" s="1"/>
  <c r="TW39" i="2"/>
  <c r="WY425" i="2" s="1"/>
  <c r="TS39" i="2"/>
  <c r="WU425" i="2" s="1"/>
  <c r="VG49" i="2"/>
  <c r="YI435" i="2" s="1"/>
  <c r="UA49" i="2"/>
  <c r="XC435" i="2" s="1"/>
  <c r="VK48" i="2"/>
  <c r="YM434" i="2" s="1"/>
  <c r="UE48" i="2"/>
  <c r="XG434" i="2" s="1"/>
  <c r="UW47" i="2"/>
  <c r="XY433" i="2" s="1"/>
  <c r="UH46" i="2"/>
  <c r="VG45" i="2"/>
  <c r="YI431" i="2" s="1"/>
  <c r="UA45" i="2"/>
  <c r="XC431" i="2" s="1"/>
  <c r="VK44" i="2"/>
  <c r="YM430" i="2" s="1"/>
  <c r="UE44" i="2"/>
  <c r="XG430" i="2" s="1"/>
  <c r="UX43" i="2"/>
  <c r="XZ429" i="2" s="1"/>
  <c r="TT43" i="2"/>
  <c r="WV429" i="2" s="1"/>
  <c r="VI42" i="2"/>
  <c r="YK428" i="2" s="1"/>
  <c r="US42" i="2"/>
  <c r="XU428" i="2" s="1"/>
  <c r="UC42" i="2"/>
  <c r="XE428" i="2" s="1"/>
  <c r="UX41" i="2"/>
  <c r="XZ427" i="2" s="1"/>
  <c r="UH41" i="2"/>
  <c r="XJ427" i="2" s="1"/>
  <c r="TR41" i="2"/>
  <c r="WT427" i="2" s="1"/>
  <c r="VH40" i="2"/>
  <c r="YJ426" i="2" s="1"/>
  <c r="UX40" i="2"/>
  <c r="XZ426" i="2" s="1"/>
  <c r="UP40" i="2"/>
  <c r="XR426" i="2" s="1"/>
  <c r="UH40" i="2"/>
  <c r="XJ426" i="2" s="1"/>
  <c r="TZ40" i="2"/>
  <c r="XB426" i="2" s="1"/>
  <c r="TR40" i="2"/>
  <c r="WT426" i="2" s="1"/>
  <c r="VI39" i="2"/>
  <c r="YK425" i="2" s="1"/>
  <c r="VA39" i="2"/>
  <c r="YC425" i="2" s="1"/>
  <c r="US39" i="2"/>
  <c r="XU425" i="2" s="1"/>
  <c r="UK39" i="2"/>
  <c r="XM425" i="2" s="1"/>
  <c r="UC39" i="2"/>
  <c r="XE425" i="2" s="1"/>
  <c r="TU39" i="2"/>
  <c r="WW425" i="2" s="1"/>
  <c r="VJ38" i="2"/>
  <c r="YL424" i="2" s="1"/>
  <c r="VF38" i="2"/>
  <c r="YH424" i="2" s="1"/>
  <c r="VB38" i="2"/>
  <c r="YD424" i="2" s="1"/>
  <c r="UX38" i="2"/>
  <c r="XZ424" i="2" s="1"/>
  <c r="UT38" i="2"/>
  <c r="XV424" i="2" s="1"/>
  <c r="UP38" i="2"/>
  <c r="XR424" i="2" s="1"/>
  <c r="UL38" i="2"/>
  <c r="XN424" i="2" s="1"/>
  <c r="UH38" i="2"/>
  <c r="XJ424" i="2" s="1"/>
  <c r="UD38" i="2"/>
  <c r="XF424" i="2" s="1"/>
  <c r="TZ38" i="2"/>
  <c r="XB424" i="2" s="1"/>
  <c r="TV38" i="2"/>
  <c r="WX424" i="2" s="1"/>
  <c r="TR38" i="2"/>
  <c r="WT424" i="2" s="1"/>
  <c r="VL37" i="2"/>
  <c r="YN423" i="2" s="1"/>
  <c r="VH37" i="2"/>
  <c r="YJ423" i="2" s="1"/>
  <c r="VD37" i="2"/>
  <c r="YF423" i="2" s="1"/>
  <c r="UZ37" i="2"/>
  <c r="YB423" i="2" s="1"/>
  <c r="UV37" i="2"/>
  <c r="XX423" i="2" s="1"/>
  <c r="UR37" i="2"/>
  <c r="XT423" i="2" s="1"/>
  <c r="UN37" i="2"/>
  <c r="XP423" i="2" s="1"/>
  <c r="UJ37" i="2"/>
  <c r="XL423" i="2" s="1"/>
  <c r="UF37" i="2"/>
  <c r="XH423" i="2" s="1"/>
  <c r="UB37" i="2"/>
  <c r="XD423" i="2" s="1"/>
  <c r="TX37" i="2"/>
  <c r="WZ423" i="2" s="1"/>
  <c r="TT37" i="2"/>
  <c r="WV423" i="2" s="1"/>
  <c r="VJ36" i="2"/>
  <c r="YL422" i="2" s="1"/>
  <c r="VF36" i="2"/>
  <c r="YH422" i="2" s="1"/>
  <c r="VB36" i="2"/>
  <c r="YD422" i="2" s="1"/>
  <c r="UX36" i="2"/>
  <c r="XZ422" i="2" s="1"/>
  <c r="UT36" i="2"/>
  <c r="XV422" i="2" s="1"/>
  <c r="UP36" i="2"/>
  <c r="XR422" i="2" s="1"/>
  <c r="UL36" i="2"/>
  <c r="XN422" i="2" s="1"/>
  <c r="UH36" i="2"/>
  <c r="XJ422" i="2" s="1"/>
  <c r="UD36" i="2"/>
  <c r="XF422" i="2" s="1"/>
  <c r="TZ36" i="2"/>
  <c r="XB422" i="2" s="1"/>
  <c r="TV36" i="2"/>
  <c r="WX422" i="2" s="1"/>
  <c r="TR36" i="2"/>
  <c r="WT422" i="2" s="1"/>
  <c r="VL35" i="2"/>
  <c r="YN421" i="2" s="1"/>
  <c r="VH35" i="2"/>
  <c r="YJ421" i="2" s="1"/>
  <c r="VD35" i="2"/>
  <c r="YF421" i="2" s="1"/>
  <c r="UZ35" i="2"/>
  <c r="YB421" i="2" s="1"/>
  <c r="UV35" i="2"/>
  <c r="XX421" i="2" s="1"/>
  <c r="UR35" i="2"/>
  <c r="XT421" i="2" s="1"/>
  <c r="UN35" i="2"/>
  <c r="XP421" i="2" s="1"/>
  <c r="UJ35" i="2"/>
  <c r="XL421" i="2" s="1"/>
  <c r="UF35" i="2"/>
  <c r="XH421" i="2" s="1"/>
  <c r="UB35" i="2"/>
  <c r="XD421" i="2" s="1"/>
  <c r="TX35" i="2"/>
  <c r="WZ421" i="2" s="1"/>
  <c r="TT35" i="2"/>
  <c r="WV421" i="2" s="1"/>
  <c r="VJ34" i="2"/>
  <c r="YL420" i="2" s="1"/>
  <c r="VF34" i="2"/>
  <c r="YH420" i="2" s="1"/>
  <c r="VB34" i="2"/>
  <c r="YD420" i="2" s="1"/>
  <c r="UX34" i="2"/>
  <c r="XZ420" i="2" s="1"/>
  <c r="UT34" i="2"/>
  <c r="XV420" i="2" s="1"/>
  <c r="UP34" i="2"/>
  <c r="XR420" i="2" s="1"/>
  <c r="UL34" i="2"/>
  <c r="XN420" i="2" s="1"/>
  <c r="UH34" i="2"/>
  <c r="XJ420" i="2" s="1"/>
  <c r="UD34" i="2"/>
  <c r="XF420" i="2" s="1"/>
  <c r="VB49" i="2"/>
  <c r="YD435" i="2" s="1"/>
  <c r="TV49" i="2"/>
  <c r="WX435" i="2" s="1"/>
  <c r="UV48" i="2"/>
  <c r="XX434" i="2" s="1"/>
  <c r="UJ47" i="2"/>
  <c r="XL433" i="2" s="1"/>
  <c r="VA46" i="2"/>
  <c r="TU46" i="2"/>
  <c r="VB45" i="2"/>
  <c r="YD431" i="2" s="1"/>
  <c r="TV45" i="2"/>
  <c r="WX431" i="2" s="1"/>
  <c r="UV44" i="2"/>
  <c r="XX430" i="2" s="1"/>
  <c r="UK43" i="2"/>
  <c r="XM429" i="2" s="1"/>
  <c r="VD42" i="2"/>
  <c r="YF428" i="2" s="1"/>
  <c r="UN42" i="2"/>
  <c r="XP428" i="2" s="1"/>
  <c r="TX42" i="2"/>
  <c r="WZ428" i="2" s="1"/>
  <c r="VK41" i="2"/>
  <c r="YM427" i="2" s="1"/>
  <c r="UU41" i="2"/>
  <c r="XW427" i="2" s="1"/>
  <c r="UE41" i="2"/>
  <c r="XG427" i="2" s="1"/>
  <c r="VD40" i="2"/>
  <c r="YF426" i="2" s="1"/>
  <c r="UU40" i="2"/>
  <c r="XW426" i="2" s="1"/>
  <c r="UM40" i="2"/>
  <c r="XO426" i="2" s="1"/>
  <c r="UE40" i="2"/>
  <c r="XG426" i="2" s="1"/>
  <c r="TW40" i="2"/>
  <c r="WY426" i="2" s="1"/>
  <c r="VH39" i="2"/>
  <c r="YJ425" i="2" s="1"/>
  <c r="UZ39" i="2"/>
  <c r="YB425" i="2" s="1"/>
  <c r="UR39" i="2"/>
  <c r="XT425" i="2" s="1"/>
  <c r="UJ39" i="2"/>
  <c r="XL425" i="2" s="1"/>
  <c r="UB39" i="2"/>
  <c r="XD425" i="2" s="1"/>
  <c r="TT39" i="2"/>
  <c r="WV425" i="2" s="1"/>
  <c r="VI38" i="2"/>
  <c r="YK424" i="2" s="1"/>
  <c r="VE38" i="2"/>
  <c r="YG424" i="2" s="1"/>
  <c r="VA38" i="2"/>
  <c r="YC424" i="2" s="1"/>
  <c r="UW38" i="2"/>
  <c r="XY424" i="2" s="1"/>
  <c r="US38" i="2"/>
  <c r="XU424" i="2" s="1"/>
  <c r="UO38" i="2"/>
  <c r="XQ424" i="2" s="1"/>
  <c r="UK38" i="2"/>
  <c r="XM424" i="2" s="1"/>
  <c r="UG38" i="2"/>
  <c r="XI424" i="2" s="1"/>
  <c r="UC38" i="2"/>
  <c r="XE424" i="2" s="1"/>
  <c r="TY38" i="2"/>
  <c r="XA424" i="2" s="1"/>
  <c r="TU38" i="2"/>
  <c r="WW424" i="2" s="1"/>
  <c r="VK37" i="2"/>
  <c r="YM423" i="2" s="1"/>
  <c r="VG37" i="2"/>
  <c r="YI423" i="2" s="1"/>
  <c r="VC37" i="2"/>
  <c r="YE423" i="2" s="1"/>
  <c r="UY37" i="2"/>
  <c r="YA423" i="2" s="1"/>
  <c r="UU37" i="2"/>
  <c r="XW423" i="2" s="1"/>
  <c r="UQ37" i="2"/>
  <c r="XS423" i="2" s="1"/>
  <c r="UM37" i="2"/>
  <c r="XO423" i="2" s="1"/>
  <c r="UI37" i="2"/>
  <c r="XK423" i="2" s="1"/>
  <c r="UE37" i="2"/>
  <c r="XG423" i="2" s="1"/>
  <c r="UA37" i="2"/>
  <c r="XC423" i="2" s="1"/>
  <c r="TW37" i="2"/>
  <c r="WY423" i="2" s="1"/>
  <c r="TS37" i="2"/>
  <c r="WU423" i="2" s="1"/>
  <c r="VI36" i="2"/>
  <c r="YK422" i="2" s="1"/>
  <c r="VE36" i="2"/>
  <c r="YG422" i="2" s="1"/>
  <c r="VA36" i="2"/>
  <c r="YC422" i="2" s="1"/>
  <c r="UW36" i="2"/>
  <c r="XY422" i="2" s="1"/>
  <c r="US36" i="2"/>
  <c r="XU422" i="2" s="1"/>
  <c r="UO36" i="2"/>
  <c r="XQ422" i="2" s="1"/>
  <c r="UK36" i="2"/>
  <c r="XM422" i="2" s="1"/>
  <c r="UG36" i="2"/>
  <c r="XI422" i="2" s="1"/>
  <c r="UC36" i="2"/>
  <c r="XE422" i="2" s="1"/>
  <c r="TY36" i="2"/>
  <c r="XA422" i="2" s="1"/>
  <c r="TU36" i="2"/>
  <c r="WW422" i="2" s="1"/>
  <c r="VK35" i="2"/>
  <c r="YM421" i="2" s="1"/>
  <c r="VG35" i="2"/>
  <c r="YI421" i="2" s="1"/>
  <c r="VC35" i="2"/>
  <c r="YE421" i="2" s="1"/>
  <c r="UY35" i="2"/>
  <c r="YA421" i="2" s="1"/>
  <c r="UU35" i="2"/>
  <c r="XW421" i="2" s="1"/>
  <c r="UQ35" i="2"/>
  <c r="XS421" i="2" s="1"/>
  <c r="UM35" i="2"/>
  <c r="XO421" i="2" s="1"/>
  <c r="UI35" i="2"/>
  <c r="XK421" i="2" s="1"/>
  <c r="UE35" i="2"/>
  <c r="XG421" i="2" s="1"/>
  <c r="UA35" i="2"/>
  <c r="XC421" i="2" s="1"/>
  <c r="TW35" i="2"/>
  <c r="WY421" i="2" s="1"/>
  <c r="TS35" i="2"/>
  <c r="WU421" i="2" s="1"/>
  <c r="VI34" i="2"/>
  <c r="YK420" i="2" s="1"/>
  <c r="VE34" i="2"/>
  <c r="YG420" i="2" s="1"/>
  <c r="VA34" i="2"/>
  <c r="YC420" i="2" s="1"/>
  <c r="UW34" i="2"/>
  <c r="XY420" i="2" s="1"/>
  <c r="US34" i="2"/>
  <c r="XU420" i="2" s="1"/>
  <c r="UO34" i="2"/>
  <c r="XQ420" i="2" s="1"/>
  <c r="UK34" i="2"/>
  <c r="XM420" i="2" s="1"/>
  <c r="UG34" i="2"/>
  <c r="XI420" i="2" s="1"/>
  <c r="UC34" i="2"/>
  <c r="XE420" i="2" s="1"/>
  <c r="TY34" i="2"/>
  <c r="XA420" i="2" s="1"/>
  <c r="TU34" i="2"/>
  <c r="WW420" i="2" s="1"/>
  <c r="UQ49" i="2"/>
  <c r="XS435" i="2" s="1"/>
  <c r="UU48" i="2"/>
  <c r="XW434" i="2" s="1"/>
  <c r="UZ47" i="2"/>
  <c r="YB433" i="2" s="1"/>
  <c r="UX46" i="2"/>
  <c r="UQ45" i="2"/>
  <c r="XS431" i="2" s="1"/>
  <c r="UU44" i="2"/>
  <c r="XW430" i="2" s="1"/>
  <c r="VA43" i="2"/>
  <c r="YC429" i="2" s="1"/>
  <c r="UK42" i="2"/>
  <c r="XM428" i="2" s="1"/>
  <c r="UM41" i="2"/>
  <c r="XO427" i="2" s="1"/>
  <c r="UT40" i="2"/>
  <c r="XV426" i="2" s="1"/>
  <c r="UD40" i="2"/>
  <c r="XF426" i="2" s="1"/>
  <c r="VE39" i="2"/>
  <c r="YG425" i="2" s="1"/>
  <c r="UO39" i="2"/>
  <c r="XQ425" i="2" s="1"/>
  <c r="TY39" i="2"/>
  <c r="XA425" i="2" s="1"/>
  <c r="VG38" i="2"/>
  <c r="YI424" i="2" s="1"/>
  <c r="UY38" i="2"/>
  <c r="YA424" i="2" s="1"/>
  <c r="UQ38" i="2"/>
  <c r="XS424" i="2" s="1"/>
  <c r="UI38" i="2"/>
  <c r="XK424" i="2" s="1"/>
  <c r="UA38" i="2"/>
  <c r="XC424" i="2" s="1"/>
  <c r="TS38" i="2"/>
  <c r="WU424" i="2" s="1"/>
  <c r="VF37" i="2"/>
  <c r="YH423" i="2" s="1"/>
  <c r="UX37" i="2"/>
  <c r="XZ423" i="2" s="1"/>
  <c r="UP37" i="2"/>
  <c r="XR423" i="2" s="1"/>
  <c r="UH37" i="2"/>
  <c r="XJ423" i="2" s="1"/>
  <c r="TZ37" i="2"/>
  <c r="XB423" i="2" s="1"/>
  <c r="TR37" i="2"/>
  <c r="WT423" i="2" s="1"/>
  <c r="VH36" i="2"/>
  <c r="YJ422" i="2" s="1"/>
  <c r="UZ36" i="2"/>
  <c r="YB422" i="2" s="1"/>
  <c r="UR36" i="2"/>
  <c r="XT422" i="2" s="1"/>
  <c r="UJ36" i="2"/>
  <c r="XL422" i="2" s="1"/>
  <c r="UB36" i="2"/>
  <c r="XD422" i="2" s="1"/>
  <c r="TT36" i="2"/>
  <c r="WV422" i="2" s="1"/>
  <c r="VI35" i="2"/>
  <c r="YK421" i="2" s="1"/>
  <c r="VA35" i="2"/>
  <c r="YC421" i="2" s="1"/>
  <c r="US35" i="2"/>
  <c r="XU421" i="2" s="1"/>
  <c r="UK35" i="2"/>
  <c r="XM421" i="2" s="1"/>
  <c r="UC35" i="2"/>
  <c r="XE421" i="2" s="1"/>
  <c r="TU35" i="2"/>
  <c r="WW421" i="2" s="1"/>
  <c r="VK34" i="2"/>
  <c r="YM420" i="2" s="1"/>
  <c r="VC34" i="2"/>
  <c r="YE420" i="2" s="1"/>
  <c r="UU34" i="2"/>
  <c r="XW420" i="2" s="1"/>
  <c r="UM34" i="2"/>
  <c r="XO420" i="2" s="1"/>
  <c r="UE34" i="2"/>
  <c r="XG420" i="2" s="1"/>
  <c r="TX34" i="2"/>
  <c r="WZ420" i="2" s="1"/>
  <c r="TS34" i="2"/>
  <c r="WU420" i="2" s="1"/>
  <c r="VK33" i="2"/>
  <c r="YM419" i="2" s="1"/>
  <c r="VG33" i="2"/>
  <c r="YI419" i="2" s="1"/>
  <c r="VC33" i="2"/>
  <c r="YE419" i="2" s="1"/>
  <c r="UY33" i="2"/>
  <c r="YA419" i="2" s="1"/>
  <c r="UU33" i="2"/>
  <c r="XW419" i="2" s="1"/>
  <c r="UQ33" i="2"/>
  <c r="XS419" i="2" s="1"/>
  <c r="UM33" i="2"/>
  <c r="XO419" i="2" s="1"/>
  <c r="UI33" i="2"/>
  <c r="XK419" i="2" s="1"/>
  <c r="UE33" i="2"/>
  <c r="XG419" i="2" s="1"/>
  <c r="UA33" i="2"/>
  <c r="XC419" i="2" s="1"/>
  <c r="TW33" i="2"/>
  <c r="WY419" i="2" s="1"/>
  <c r="TS33" i="2"/>
  <c r="WU419" i="2" s="1"/>
  <c r="VI32" i="2"/>
  <c r="YK418" i="2" s="1"/>
  <c r="VE32" i="2"/>
  <c r="YG418" i="2" s="1"/>
  <c r="VA32" i="2"/>
  <c r="YC418" i="2" s="1"/>
  <c r="UW32" i="2"/>
  <c r="XY418" i="2" s="1"/>
  <c r="US32" i="2"/>
  <c r="XU418" i="2" s="1"/>
  <c r="UO32" i="2"/>
  <c r="XQ418" i="2" s="1"/>
  <c r="UK32" i="2"/>
  <c r="XM418" i="2" s="1"/>
  <c r="UG32" i="2"/>
  <c r="XI418" i="2" s="1"/>
  <c r="UC32" i="2"/>
  <c r="XE418" i="2" s="1"/>
  <c r="TY32" i="2"/>
  <c r="XA418" i="2" s="1"/>
  <c r="TU32" i="2"/>
  <c r="WW418" i="2" s="1"/>
  <c r="VK31" i="2"/>
  <c r="YM417" i="2" s="1"/>
  <c r="VG31" i="2"/>
  <c r="YI417" i="2" s="1"/>
  <c r="VC31" i="2"/>
  <c r="YE417" i="2" s="1"/>
  <c r="UY31" i="2"/>
  <c r="YA417" i="2" s="1"/>
  <c r="UU31" i="2"/>
  <c r="XW417" i="2" s="1"/>
  <c r="UQ31" i="2"/>
  <c r="XS417" i="2" s="1"/>
  <c r="UM31" i="2"/>
  <c r="XO417" i="2" s="1"/>
  <c r="UI31" i="2"/>
  <c r="XK417" i="2" s="1"/>
  <c r="UE31" i="2"/>
  <c r="XG417" i="2" s="1"/>
  <c r="UA31" i="2"/>
  <c r="XC417" i="2" s="1"/>
  <c r="TW31" i="2"/>
  <c r="WY417" i="2" s="1"/>
  <c r="TS31" i="2"/>
  <c r="WU417" i="2" s="1"/>
  <c r="VL48" i="2"/>
  <c r="YN434" i="2" s="1"/>
  <c r="VL44" i="2"/>
  <c r="YN430" i="2" s="1"/>
  <c r="UV42" i="2"/>
  <c r="XX428" i="2" s="1"/>
  <c r="UP41" i="2"/>
  <c r="XR427" i="2" s="1"/>
  <c r="UY40" i="2"/>
  <c r="YA426" i="2" s="1"/>
  <c r="UI40" i="2"/>
  <c r="XK426" i="2" s="1"/>
  <c r="TS40" i="2"/>
  <c r="WU426" i="2" s="1"/>
  <c r="VL39" i="2"/>
  <c r="YN425" i="2" s="1"/>
  <c r="UV39" i="2"/>
  <c r="XX425" i="2" s="1"/>
  <c r="UF39" i="2"/>
  <c r="XH425" i="2" s="1"/>
  <c r="VH38" i="2"/>
  <c r="YJ424" i="2" s="1"/>
  <c r="UZ38" i="2"/>
  <c r="YB424" i="2" s="1"/>
  <c r="UR38" i="2"/>
  <c r="XT424" i="2" s="1"/>
  <c r="UJ38" i="2"/>
  <c r="XL424" i="2" s="1"/>
  <c r="UB38" i="2"/>
  <c r="XD424" i="2" s="1"/>
  <c r="TT38" i="2"/>
  <c r="WV424" i="2" s="1"/>
  <c r="VI37" i="2"/>
  <c r="YK423" i="2" s="1"/>
  <c r="VA37" i="2"/>
  <c r="YC423" i="2" s="1"/>
  <c r="US37" i="2"/>
  <c r="XU423" i="2" s="1"/>
  <c r="UK37" i="2"/>
  <c r="XM423" i="2" s="1"/>
  <c r="UC37" i="2"/>
  <c r="XE423" i="2" s="1"/>
  <c r="TU37" i="2"/>
  <c r="WW423" i="2" s="1"/>
  <c r="VK36" i="2"/>
  <c r="YM422" i="2" s="1"/>
  <c r="VC36" i="2"/>
  <c r="YE422" i="2" s="1"/>
  <c r="UU36" i="2"/>
  <c r="XW422" i="2" s="1"/>
  <c r="UM36" i="2"/>
  <c r="XO422" i="2" s="1"/>
  <c r="UE36" i="2"/>
  <c r="XG422" i="2" s="1"/>
  <c r="TW36" i="2"/>
  <c r="WY422" i="2" s="1"/>
  <c r="VJ35" i="2"/>
  <c r="YL421" i="2" s="1"/>
  <c r="VB35" i="2"/>
  <c r="YD421" i="2" s="1"/>
  <c r="UT35" i="2"/>
  <c r="XV421" i="2" s="1"/>
  <c r="UL35" i="2"/>
  <c r="XN421" i="2" s="1"/>
  <c r="UD35" i="2"/>
  <c r="XF421" i="2" s="1"/>
  <c r="TV35" i="2"/>
  <c r="WX421" i="2" s="1"/>
  <c r="VL34" i="2"/>
  <c r="YN420" i="2" s="1"/>
  <c r="VD34" i="2"/>
  <c r="YF420" i="2" s="1"/>
  <c r="UV34" i="2"/>
  <c r="XX420" i="2" s="1"/>
  <c r="UN34" i="2"/>
  <c r="XP420" i="2" s="1"/>
  <c r="UF34" i="2"/>
  <c r="XH420" i="2" s="1"/>
  <c r="TZ34" i="2"/>
  <c r="XB420" i="2" s="1"/>
  <c r="TT34" i="2"/>
  <c r="WV420" i="2" s="1"/>
  <c r="VL33" i="2"/>
  <c r="YN419" i="2" s="1"/>
  <c r="VH33" i="2"/>
  <c r="YJ419" i="2" s="1"/>
  <c r="VD33" i="2"/>
  <c r="YF419" i="2" s="1"/>
  <c r="UZ33" i="2"/>
  <c r="YB419" i="2" s="1"/>
  <c r="UV33" i="2"/>
  <c r="XX419" i="2" s="1"/>
  <c r="UR33" i="2"/>
  <c r="XT419" i="2" s="1"/>
  <c r="UN33" i="2"/>
  <c r="XP419" i="2" s="1"/>
  <c r="UJ33" i="2"/>
  <c r="XL419" i="2" s="1"/>
  <c r="UF33" i="2"/>
  <c r="XH419" i="2" s="1"/>
  <c r="UB33" i="2"/>
  <c r="XD419" i="2" s="1"/>
  <c r="TX33" i="2"/>
  <c r="WZ419" i="2" s="1"/>
  <c r="TT33" i="2"/>
  <c r="WV419" i="2" s="1"/>
  <c r="VJ32" i="2"/>
  <c r="YL418" i="2" s="1"/>
  <c r="VF32" i="2"/>
  <c r="YH418" i="2" s="1"/>
  <c r="VB32" i="2"/>
  <c r="YD418" i="2" s="1"/>
  <c r="UX32" i="2"/>
  <c r="XZ418" i="2" s="1"/>
  <c r="UT32" i="2"/>
  <c r="XV418" i="2" s="1"/>
  <c r="UP32" i="2"/>
  <c r="XR418" i="2" s="1"/>
  <c r="UL32" i="2"/>
  <c r="XN418" i="2" s="1"/>
  <c r="UH32" i="2"/>
  <c r="XJ418" i="2" s="1"/>
  <c r="UD32" i="2"/>
  <c r="XF418" i="2" s="1"/>
  <c r="TZ32" i="2"/>
  <c r="XB418" i="2" s="1"/>
  <c r="TV32" i="2"/>
  <c r="WX418" i="2" s="1"/>
  <c r="TR32" i="2"/>
  <c r="WT418" i="2" s="1"/>
  <c r="VL31" i="2"/>
  <c r="YN417" i="2" s="1"/>
  <c r="VH31" i="2"/>
  <c r="YJ417" i="2" s="1"/>
  <c r="VD31" i="2"/>
  <c r="YF417" i="2" s="1"/>
  <c r="UZ31" i="2"/>
  <c r="YB417" i="2" s="1"/>
  <c r="UV31" i="2"/>
  <c r="XX417" i="2" s="1"/>
  <c r="UR31" i="2"/>
  <c r="XT417" i="2" s="1"/>
  <c r="UN31" i="2"/>
  <c r="XP417" i="2" s="1"/>
  <c r="UJ31" i="2"/>
  <c r="XL417" i="2" s="1"/>
  <c r="UF31" i="2"/>
  <c r="XH417" i="2" s="1"/>
  <c r="UB31" i="2"/>
  <c r="XD417" i="2" s="1"/>
  <c r="TX31" i="2"/>
  <c r="WZ417" i="2" s="1"/>
  <c r="TT31" i="2"/>
  <c r="WV417" i="2" s="1"/>
  <c r="UL49" i="2"/>
  <c r="XN435" i="2" s="1"/>
  <c r="UG47" i="2"/>
  <c r="XI433" i="2" s="1"/>
  <c r="TR46" i="2"/>
  <c r="UF44" i="2"/>
  <c r="XH430" i="2" s="1"/>
  <c r="TU43" i="2"/>
  <c r="WW429" i="2" s="1"/>
  <c r="VA42" i="2"/>
  <c r="YC428" i="2" s="1"/>
  <c r="TW41" i="2"/>
  <c r="WY427" i="2" s="1"/>
  <c r="VI40" i="2"/>
  <c r="YK426" i="2" s="1"/>
  <c r="UA40" i="2"/>
  <c r="XC426" i="2" s="1"/>
  <c r="UG39" i="2"/>
  <c r="XI425" i="2" s="1"/>
  <c r="VK38" i="2"/>
  <c r="YM424" i="2" s="1"/>
  <c r="UU38" i="2"/>
  <c r="XW424" i="2" s="1"/>
  <c r="UE38" i="2"/>
  <c r="XG424" i="2" s="1"/>
  <c r="UW37" i="2"/>
  <c r="XY423" i="2" s="1"/>
  <c r="UG37" i="2"/>
  <c r="XI423" i="2" s="1"/>
  <c r="UY36" i="2"/>
  <c r="YA422" i="2" s="1"/>
  <c r="UI36" i="2"/>
  <c r="XK422" i="2" s="1"/>
  <c r="TS36" i="2"/>
  <c r="WU422" i="2" s="1"/>
  <c r="VE35" i="2"/>
  <c r="YG421" i="2" s="1"/>
  <c r="UO35" i="2"/>
  <c r="XQ421" i="2" s="1"/>
  <c r="TY35" i="2"/>
  <c r="XA421" i="2" s="1"/>
  <c r="VH34" i="2"/>
  <c r="YJ420" i="2" s="1"/>
  <c r="UR34" i="2"/>
  <c r="XT420" i="2" s="1"/>
  <c r="UB34" i="2"/>
  <c r="XD420" i="2" s="1"/>
  <c r="TR34" i="2"/>
  <c r="WT420" i="2" s="1"/>
  <c r="VE33" i="2"/>
  <c r="YG419" i="2" s="1"/>
  <c r="UW33" i="2"/>
  <c r="XY419" i="2" s="1"/>
  <c r="UO33" i="2"/>
  <c r="XQ419" i="2" s="1"/>
  <c r="UG33" i="2"/>
  <c r="XI419" i="2" s="1"/>
  <c r="TY33" i="2"/>
  <c r="XA419" i="2" s="1"/>
  <c r="VG32" i="2"/>
  <c r="YI418" i="2" s="1"/>
  <c r="UY32" i="2"/>
  <c r="YA418" i="2" s="1"/>
  <c r="UQ32" i="2"/>
  <c r="XS418" i="2" s="1"/>
  <c r="UI32" i="2"/>
  <c r="XK418" i="2" s="1"/>
  <c r="UA32" i="2"/>
  <c r="XC418" i="2" s="1"/>
  <c r="TS32" i="2"/>
  <c r="WU418" i="2" s="1"/>
  <c r="VF31" i="2"/>
  <c r="YH417" i="2" s="1"/>
  <c r="UX31" i="2"/>
  <c r="XZ417" i="2" s="1"/>
  <c r="UP31" i="2"/>
  <c r="XR417" i="2" s="1"/>
  <c r="UH31" i="2"/>
  <c r="XJ417" i="2" s="1"/>
  <c r="TZ31" i="2"/>
  <c r="XB417" i="2" s="1"/>
  <c r="TR31" i="2"/>
  <c r="WT417" i="2" s="1"/>
  <c r="VI30" i="2"/>
  <c r="YK416" i="2" s="1"/>
  <c r="VE30" i="2"/>
  <c r="YG416" i="2" s="1"/>
  <c r="VA30" i="2"/>
  <c r="YC416" i="2" s="1"/>
  <c r="UW30" i="2"/>
  <c r="XY416" i="2" s="1"/>
  <c r="US30" i="2"/>
  <c r="XU416" i="2" s="1"/>
  <c r="UO30" i="2"/>
  <c r="XQ416" i="2" s="1"/>
  <c r="UK30" i="2"/>
  <c r="XM416" i="2" s="1"/>
  <c r="UG30" i="2"/>
  <c r="XI416" i="2" s="1"/>
  <c r="UC30" i="2"/>
  <c r="XE416" i="2" s="1"/>
  <c r="TY30" i="2"/>
  <c r="XA416" i="2" s="1"/>
  <c r="TU30" i="2"/>
  <c r="WW416" i="2" s="1"/>
  <c r="VK29" i="2"/>
  <c r="YM415" i="2" s="1"/>
  <c r="VG29" i="2"/>
  <c r="YI415" i="2" s="1"/>
  <c r="VC29" i="2"/>
  <c r="YE415" i="2" s="1"/>
  <c r="UY29" i="2"/>
  <c r="YA415" i="2" s="1"/>
  <c r="UU29" i="2"/>
  <c r="XW415" i="2" s="1"/>
  <c r="UQ29" i="2"/>
  <c r="XS415" i="2" s="1"/>
  <c r="UM29" i="2"/>
  <c r="XO415" i="2" s="1"/>
  <c r="UI29" i="2"/>
  <c r="XK415" i="2" s="1"/>
  <c r="UE29" i="2"/>
  <c r="XG415" i="2" s="1"/>
  <c r="UA29" i="2"/>
  <c r="XC415" i="2" s="1"/>
  <c r="TW29" i="2"/>
  <c r="WY415" i="2" s="1"/>
  <c r="TS29" i="2"/>
  <c r="WU415" i="2" s="1"/>
  <c r="VI28" i="2"/>
  <c r="YK414" i="2" s="1"/>
  <c r="VE28" i="2"/>
  <c r="YG414" i="2" s="1"/>
  <c r="VA28" i="2"/>
  <c r="YC414" i="2" s="1"/>
  <c r="UW28" i="2"/>
  <c r="XY414" i="2" s="1"/>
  <c r="US28" i="2"/>
  <c r="XU414" i="2" s="1"/>
  <c r="UO28" i="2"/>
  <c r="XQ414" i="2" s="1"/>
  <c r="UK28" i="2"/>
  <c r="XM414" i="2" s="1"/>
  <c r="UG28" i="2"/>
  <c r="XI414" i="2" s="1"/>
  <c r="UC28" i="2"/>
  <c r="XE414" i="2" s="1"/>
  <c r="TY28" i="2"/>
  <c r="XA414" i="2" s="1"/>
  <c r="TU28" i="2"/>
  <c r="WW414" i="2" s="1"/>
  <c r="VK27" i="2"/>
  <c r="VG27" i="2"/>
  <c r="VC27" i="2"/>
  <c r="UY27" i="2"/>
  <c r="UU27" i="2"/>
  <c r="UQ27" i="2"/>
  <c r="UM27" i="2"/>
  <c r="UI27" i="2"/>
  <c r="UE27" i="2"/>
  <c r="UA27" i="2"/>
  <c r="TW27" i="2"/>
  <c r="TS27" i="2"/>
  <c r="VI26" i="2"/>
  <c r="YK412" i="2" s="1"/>
  <c r="VE26" i="2"/>
  <c r="YG412" i="2" s="1"/>
  <c r="VA26" i="2"/>
  <c r="YC412" i="2" s="1"/>
  <c r="UW26" i="2"/>
  <c r="XY412" i="2" s="1"/>
  <c r="US26" i="2"/>
  <c r="XU412" i="2" s="1"/>
  <c r="UO26" i="2"/>
  <c r="XQ412" i="2" s="1"/>
  <c r="UK26" i="2"/>
  <c r="XM412" i="2" s="1"/>
  <c r="UG26" i="2"/>
  <c r="XI412" i="2" s="1"/>
  <c r="UC26" i="2"/>
  <c r="XE412" i="2" s="1"/>
  <c r="TY26" i="2"/>
  <c r="XA412" i="2" s="1"/>
  <c r="TU26" i="2"/>
  <c r="WW412" i="2" s="1"/>
  <c r="VK25" i="2"/>
  <c r="YM411" i="2" s="1"/>
  <c r="VG25" i="2"/>
  <c r="YI411" i="2" s="1"/>
  <c r="VC25" i="2"/>
  <c r="YE411" i="2" s="1"/>
  <c r="UY25" i="2"/>
  <c r="YA411" i="2" s="1"/>
  <c r="UU25" i="2"/>
  <c r="XW411" i="2" s="1"/>
  <c r="UQ25" i="2"/>
  <c r="XS411" i="2" s="1"/>
  <c r="UM25" i="2"/>
  <c r="XO411" i="2" s="1"/>
  <c r="UI25" i="2"/>
  <c r="XK411" i="2" s="1"/>
  <c r="UE25" i="2"/>
  <c r="XG411" i="2" s="1"/>
  <c r="UA25" i="2"/>
  <c r="XC411" i="2" s="1"/>
  <c r="TW25" i="2"/>
  <c r="WY411" i="2" s="1"/>
  <c r="TS25" i="2"/>
  <c r="WU411" i="2" s="1"/>
  <c r="VI24" i="2"/>
  <c r="YK410" i="2" s="1"/>
  <c r="VE24" i="2"/>
  <c r="YG410" i="2" s="1"/>
  <c r="VA24" i="2"/>
  <c r="YC410" i="2" s="1"/>
  <c r="UW24" i="2"/>
  <c r="XY410" i="2" s="1"/>
  <c r="US24" i="2"/>
  <c r="XU410" i="2" s="1"/>
  <c r="UO24" i="2"/>
  <c r="XQ410" i="2" s="1"/>
  <c r="UK24" i="2"/>
  <c r="XM410" i="2" s="1"/>
  <c r="UG24" i="2"/>
  <c r="XI410" i="2" s="1"/>
  <c r="UC24" i="2"/>
  <c r="XE410" i="2" s="1"/>
  <c r="TY24" i="2"/>
  <c r="XA410" i="2" s="1"/>
  <c r="TU24" i="2"/>
  <c r="WW410" i="2" s="1"/>
  <c r="VK23" i="2"/>
  <c r="YM409" i="2" s="1"/>
  <c r="VG23" i="2"/>
  <c r="YI409" i="2" s="1"/>
  <c r="VC23" i="2"/>
  <c r="YE409" i="2" s="1"/>
  <c r="UY23" i="2"/>
  <c r="YA409" i="2" s="1"/>
  <c r="UU23" i="2"/>
  <c r="XW409" i="2" s="1"/>
  <c r="UQ23" i="2"/>
  <c r="XS409" i="2" s="1"/>
  <c r="UM23" i="2"/>
  <c r="XO409" i="2" s="1"/>
  <c r="UI23" i="2"/>
  <c r="XK409" i="2" s="1"/>
  <c r="UE23" i="2"/>
  <c r="XG409" i="2" s="1"/>
  <c r="UA23" i="2"/>
  <c r="XC409" i="2" s="1"/>
  <c r="TW23" i="2"/>
  <c r="WY409" i="2" s="1"/>
  <c r="TS23" i="2"/>
  <c r="WU409" i="2" s="1"/>
  <c r="VI22" i="2"/>
  <c r="YK408" i="2" s="1"/>
  <c r="VE22" i="2"/>
  <c r="YG408" i="2" s="1"/>
  <c r="VA22" i="2"/>
  <c r="YC408" i="2" s="1"/>
  <c r="UW22" i="2"/>
  <c r="XY408" i="2" s="1"/>
  <c r="US22" i="2"/>
  <c r="XU408" i="2" s="1"/>
  <c r="UO22" i="2"/>
  <c r="XQ408" i="2" s="1"/>
  <c r="UK22" i="2"/>
  <c r="XM408" i="2" s="1"/>
  <c r="UG22" i="2"/>
  <c r="XI408" i="2" s="1"/>
  <c r="UC22" i="2"/>
  <c r="XE408" i="2" s="1"/>
  <c r="TY22" i="2"/>
  <c r="XA408" i="2" s="1"/>
  <c r="TU22" i="2"/>
  <c r="WW408" i="2" s="1"/>
  <c r="TT47" i="2"/>
  <c r="WV433" i="2" s="1"/>
  <c r="UF42" i="2"/>
  <c r="XH428" i="2" s="1"/>
  <c r="VF41" i="2"/>
  <c r="YH427" i="2" s="1"/>
  <c r="VB40" i="2"/>
  <c r="YD426" i="2" s="1"/>
  <c r="TV40" i="2"/>
  <c r="WX426" i="2" s="1"/>
  <c r="VD39" i="2"/>
  <c r="YF425" i="2" s="1"/>
  <c r="TX39" i="2"/>
  <c r="WZ425" i="2" s="1"/>
  <c r="VD38" i="2"/>
  <c r="YF424" i="2" s="1"/>
  <c r="UN38" i="2"/>
  <c r="XP424" i="2" s="1"/>
  <c r="TX38" i="2"/>
  <c r="WZ424" i="2" s="1"/>
  <c r="VJ37" i="2"/>
  <c r="YL423" i="2" s="1"/>
  <c r="UT37" i="2"/>
  <c r="XV423" i="2" s="1"/>
  <c r="UD37" i="2"/>
  <c r="XF423" i="2" s="1"/>
  <c r="VL36" i="2"/>
  <c r="YN422" i="2" s="1"/>
  <c r="UV36" i="2"/>
  <c r="XX422" i="2" s="1"/>
  <c r="UF36" i="2"/>
  <c r="XH422" i="2" s="1"/>
  <c r="UX35" i="2"/>
  <c r="XZ421" i="2" s="1"/>
  <c r="UH35" i="2"/>
  <c r="XJ421" i="2" s="1"/>
  <c r="TR35" i="2"/>
  <c r="WT421" i="2" s="1"/>
  <c r="VG34" i="2"/>
  <c r="YI420" i="2" s="1"/>
  <c r="UQ34" i="2"/>
  <c r="XS420" i="2" s="1"/>
  <c r="UA34" i="2"/>
  <c r="XC420" i="2" s="1"/>
  <c r="VJ33" i="2"/>
  <c r="YL419" i="2" s="1"/>
  <c r="VB33" i="2"/>
  <c r="YD419" i="2" s="1"/>
  <c r="UT33" i="2"/>
  <c r="XV419" i="2" s="1"/>
  <c r="UL33" i="2"/>
  <c r="XN419" i="2" s="1"/>
  <c r="UD33" i="2"/>
  <c r="XF419" i="2" s="1"/>
  <c r="TV33" i="2"/>
  <c r="WX419" i="2" s="1"/>
  <c r="VL32" i="2"/>
  <c r="YN418" i="2" s="1"/>
  <c r="VD32" i="2"/>
  <c r="YF418" i="2" s="1"/>
  <c r="UV32" i="2"/>
  <c r="XX418" i="2" s="1"/>
  <c r="UN32" i="2"/>
  <c r="XP418" i="2" s="1"/>
  <c r="UF32" i="2"/>
  <c r="XH418" i="2" s="1"/>
  <c r="TX32" i="2"/>
  <c r="WZ418" i="2" s="1"/>
  <c r="VE31" i="2"/>
  <c r="YG417" i="2" s="1"/>
  <c r="UW31" i="2"/>
  <c r="XY417" i="2" s="1"/>
  <c r="UO31" i="2"/>
  <c r="XQ417" i="2" s="1"/>
  <c r="UG31" i="2"/>
  <c r="XI417" i="2" s="1"/>
  <c r="TY31" i="2"/>
  <c r="XA417" i="2" s="1"/>
  <c r="VL30" i="2"/>
  <c r="YN416" i="2" s="1"/>
  <c r="VH30" i="2"/>
  <c r="YJ416" i="2" s="1"/>
  <c r="VD30" i="2"/>
  <c r="YF416" i="2" s="1"/>
  <c r="UZ30" i="2"/>
  <c r="YB416" i="2" s="1"/>
  <c r="UV30" i="2"/>
  <c r="XX416" i="2" s="1"/>
  <c r="UR30" i="2"/>
  <c r="XT416" i="2" s="1"/>
  <c r="UN30" i="2"/>
  <c r="XP416" i="2" s="1"/>
  <c r="UJ30" i="2"/>
  <c r="XL416" i="2" s="1"/>
  <c r="UF30" i="2"/>
  <c r="XH416" i="2" s="1"/>
  <c r="UB30" i="2"/>
  <c r="XD416" i="2" s="1"/>
  <c r="TX30" i="2"/>
  <c r="WZ416" i="2" s="1"/>
  <c r="TT30" i="2"/>
  <c r="WV416" i="2" s="1"/>
  <c r="VJ29" i="2"/>
  <c r="YL415" i="2" s="1"/>
  <c r="VF29" i="2"/>
  <c r="YH415" i="2" s="1"/>
  <c r="VB29" i="2"/>
  <c r="YD415" i="2" s="1"/>
  <c r="UX29" i="2"/>
  <c r="XZ415" i="2" s="1"/>
  <c r="UT29" i="2"/>
  <c r="XV415" i="2" s="1"/>
  <c r="UP29" i="2"/>
  <c r="XR415" i="2" s="1"/>
  <c r="UL29" i="2"/>
  <c r="XN415" i="2" s="1"/>
  <c r="UH29" i="2"/>
  <c r="XJ415" i="2" s="1"/>
  <c r="UD29" i="2"/>
  <c r="XF415" i="2" s="1"/>
  <c r="TZ29" i="2"/>
  <c r="XB415" i="2" s="1"/>
  <c r="TV29" i="2"/>
  <c r="WX415" i="2" s="1"/>
  <c r="TR29" i="2"/>
  <c r="VL28" i="2"/>
  <c r="YN414" i="2" s="1"/>
  <c r="VH28" i="2"/>
  <c r="YJ414" i="2" s="1"/>
  <c r="VD28" i="2"/>
  <c r="YF414" i="2" s="1"/>
  <c r="UZ28" i="2"/>
  <c r="YB414" i="2" s="1"/>
  <c r="UV28" i="2"/>
  <c r="XX414" i="2" s="1"/>
  <c r="UR28" i="2"/>
  <c r="XT414" i="2" s="1"/>
  <c r="UN28" i="2"/>
  <c r="XP414" i="2" s="1"/>
  <c r="UJ28" i="2"/>
  <c r="XL414" i="2" s="1"/>
  <c r="UF28" i="2"/>
  <c r="XH414" i="2" s="1"/>
  <c r="UB28" i="2"/>
  <c r="XD414" i="2" s="1"/>
  <c r="TX28" i="2"/>
  <c r="WZ414" i="2" s="1"/>
  <c r="TT28" i="2"/>
  <c r="WV414" i="2" s="1"/>
  <c r="VJ27" i="2"/>
  <c r="VF27" i="2"/>
  <c r="VB27" i="2"/>
  <c r="YD413" i="2" s="1"/>
  <c r="UX27" i="2"/>
  <c r="UT27" i="2"/>
  <c r="UP27" i="2"/>
  <c r="UL27" i="2"/>
  <c r="UH27" i="2"/>
  <c r="XJ413" i="2" s="1"/>
  <c r="UD27" i="2"/>
  <c r="TZ27" i="2"/>
  <c r="TV27" i="2"/>
  <c r="WX413" i="2" s="1"/>
  <c r="TR27" i="2"/>
  <c r="VL26" i="2"/>
  <c r="YN412" i="2" s="1"/>
  <c r="VH26" i="2"/>
  <c r="YJ412" i="2" s="1"/>
  <c r="VD26" i="2"/>
  <c r="YF412" i="2" s="1"/>
  <c r="UZ26" i="2"/>
  <c r="YB412" i="2" s="1"/>
  <c r="UV26" i="2"/>
  <c r="XX412" i="2" s="1"/>
  <c r="UR26" i="2"/>
  <c r="XT412" i="2" s="1"/>
  <c r="UN26" i="2"/>
  <c r="XP412" i="2" s="1"/>
  <c r="UJ26" i="2"/>
  <c r="XL412" i="2" s="1"/>
  <c r="UF26" i="2"/>
  <c r="XH412" i="2" s="1"/>
  <c r="UB26" i="2"/>
  <c r="XD412" i="2" s="1"/>
  <c r="TX26" i="2"/>
  <c r="WZ412" i="2" s="1"/>
  <c r="TT26" i="2"/>
  <c r="WV412" i="2" s="1"/>
  <c r="VJ25" i="2"/>
  <c r="YL411" i="2" s="1"/>
  <c r="VF25" i="2"/>
  <c r="YH411" i="2" s="1"/>
  <c r="VB25" i="2"/>
  <c r="YD411" i="2" s="1"/>
  <c r="UX25" i="2"/>
  <c r="XZ411" i="2" s="1"/>
  <c r="UT25" i="2"/>
  <c r="XV411" i="2" s="1"/>
  <c r="UP25" i="2"/>
  <c r="XR411" i="2" s="1"/>
  <c r="UL25" i="2"/>
  <c r="XN411" i="2" s="1"/>
  <c r="UH25" i="2"/>
  <c r="XJ411" i="2" s="1"/>
  <c r="UD25" i="2"/>
  <c r="XF411" i="2" s="1"/>
  <c r="TZ25" i="2"/>
  <c r="XB411" i="2" s="1"/>
  <c r="TV25" i="2"/>
  <c r="WX411" i="2" s="1"/>
  <c r="TR25" i="2"/>
  <c r="WT411" i="2" s="1"/>
  <c r="VL24" i="2"/>
  <c r="YN410" i="2" s="1"/>
  <c r="VH24" i="2"/>
  <c r="YJ410" i="2" s="1"/>
  <c r="VD24" i="2"/>
  <c r="YF410" i="2" s="1"/>
  <c r="UZ24" i="2"/>
  <c r="YB410" i="2" s="1"/>
  <c r="UV24" i="2"/>
  <c r="XX410" i="2" s="1"/>
  <c r="UR24" i="2"/>
  <c r="XT410" i="2" s="1"/>
  <c r="UN24" i="2"/>
  <c r="XP410" i="2" s="1"/>
  <c r="UJ24" i="2"/>
  <c r="XL410" i="2" s="1"/>
  <c r="UF24" i="2"/>
  <c r="XH410" i="2" s="1"/>
  <c r="UB24" i="2"/>
  <c r="XD410" i="2" s="1"/>
  <c r="TX24" i="2"/>
  <c r="WZ410" i="2" s="1"/>
  <c r="TT24" i="2"/>
  <c r="WV410" i="2" s="1"/>
  <c r="VJ23" i="2"/>
  <c r="YL409" i="2" s="1"/>
  <c r="VF23" i="2"/>
  <c r="YH409" i="2" s="1"/>
  <c r="VB23" i="2"/>
  <c r="YD409" i="2" s="1"/>
  <c r="UX23" i="2"/>
  <c r="XZ409" i="2" s="1"/>
  <c r="UT23" i="2"/>
  <c r="XV409" i="2" s="1"/>
  <c r="UP23" i="2"/>
  <c r="XR409" i="2" s="1"/>
  <c r="UL23" i="2"/>
  <c r="XN409" i="2" s="1"/>
  <c r="UH23" i="2"/>
  <c r="XJ409" i="2" s="1"/>
  <c r="UD23" i="2"/>
  <c r="XF409" i="2" s="1"/>
  <c r="TZ23" i="2"/>
  <c r="XB409" i="2" s="1"/>
  <c r="TV23" i="2"/>
  <c r="WX409" i="2" s="1"/>
  <c r="TR23" i="2"/>
  <c r="WT409" i="2" s="1"/>
  <c r="VL22" i="2"/>
  <c r="YN408" i="2" s="1"/>
  <c r="VH22" i="2"/>
  <c r="YJ408" i="2" s="1"/>
  <c r="VD22" i="2"/>
  <c r="YF408" i="2" s="1"/>
  <c r="UZ22" i="2"/>
  <c r="YB408" i="2" s="1"/>
  <c r="UV22" i="2"/>
  <c r="XX408" i="2" s="1"/>
  <c r="UR22" i="2"/>
  <c r="XT408" i="2" s="1"/>
  <c r="UN22" i="2"/>
  <c r="XP408" i="2" s="1"/>
  <c r="UJ22" i="2"/>
  <c r="XL408" i="2" s="1"/>
  <c r="UF22" i="2"/>
  <c r="XH408" i="2" s="1"/>
  <c r="UB22" i="2"/>
  <c r="XD408" i="2" s="1"/>
  <c r="TX22" i="2"/>
  <c r="WZ408" i="2" s="1"/>
  <c r="TT22" i="2"/>
  <c r="WV408" i="2" s="1"/>
  <c r="UK46" i="2"/>
  <c r="UQ40" i="2"/>
  <c r="XS426" i="2" s="1"/>
  <c r="UW39" i="2"/>
  <c r="XY425" i="2" s="1"/>
  <c r="UM38" i="2"/>
  <c r="XO424" i="2" s="1"/>
  <c r="UL37" i="2"/>
  <c r="XN423" i="2" s="1"/>
  <c r="UQ36" i="2"/>
  <c r="XS422" i="2" s="1"/>
  <c r="UW35" i="2"/>
  <c r="XY421" i="2" s="1"/>
  <c r="UJ34" i="2"/>
  <c r="XL420" i="2" s="1"/>
  <c r="UX33" i="2"/>
  <c r="XZ419" i="2" s="1"/>
  <c r="UH33" i="2"/>
  <c r="XJ419" i="2" s="1"/>
  <c r="TR33" i="2"/>
  <c r="WT419" i="2" s="1"/>
  <c r="VK32" i="2"/>
  <c r="YM418" i="2" s="1"/>
  <c r="UU32" i="2"/>
  <c r="XW418" i="2" s="1"/>
  <c r="UE32" i="2"/>
  <c r="XG418" i="2" s="1"/>
  <c r="VB31" i="2"/>
  <c r="YD417" i="2" s="1"/>
  <c r="UL31" i="2"/>
  <c r="XN417" i="2" s="1"/>
  <c r="TV31" i="2"/>
  <c r="WX417" i="2" s="1"/>
  <c r="VF30" i="2"/>
  <c r="YH416" i="2" s="1"/>
  <c r="UX30" i="2"/>
  <c r="XZ416" i="2" s="1"/>
  <c r="UP30" i="2"/>
  <c r="XR416" i="2" s="1"/>
  <c r="UH30" i="2"/>
  <c r="XJ416" i="2" s="1"/>
  <c r="TZ30" i="2"/>
  <c r="XB416" i="2" s="1"/>
  <c r="TR30" i="2"/>
  <c r="WT416" i="2" s="1"/>
  <c r="VI29" i="2"/>
  <c r="YK415" i="2" s="1"/>
  <c r="VA29" i="2"/>
  <c r="YC415" i="2" s="1"/>
  <c r="US29" i="2"/>
  <c r="XU415" i="2" s="1"/>
  <c r="UK29" i="2"/>
  <c r="XM415" i="2" s="1"/>
  <c r="UC29" i="2"/>
  <c r="XE415" i="2" s="1"/>
  <c r="TU29" i="2"/>
  <c r="WW415" i="2" s="1"/>
  <c r="VG28" i="2"/>
  <c r="YI414" i="2" s="1"/>
  <c r="UY28" i="2"/>
  <c r="YA414" i="2" s="1"/>
  <c r="UQ28" i="2"/>
  <c r="XS414" i="2" s="1"/>
  <c r="UI28" i="2"/>
  <c r="XK414" i="2" s="1"/>
  <c r="UA28" i="2"/>
  <c r="XC414" i="2" s="1"/>
  <c r="TS28" i="2"/>
  <c r="WU414" i="2" s="1"/>
  <c r="VL27" i="2"/>
  <c r="YN413" i="2" s="1"/>
  <c r="VD27" i="2"/>
  <c r="UV27" i="2"/>
  <c r="XX413" i="2" s="1"/>
  <c r="UN27" i="2"/>
  <c r="UF27" i="2"/>
  <c r="TX27" i="2"/>
  <c r="VJ26" i="2"/>
  <c r="YL412" i="2" s="1"/>
  <c r="VB26" i="2"/>
  <c r="YD412" i="2" s="1"/>
  <c r="UT26" i="2"/>
  <c r="XV412" i="2" s="1"/>
  <c r="UL26" i="2"/>
  <c r="XN412" i="2" s="1"/>
  <c r="UD26" i="2"/>
  <c r="XF412" i="2" s="1"/>
  <c r="TV26" i="2"/>
  <c r="WX412" i="2" s="1"/>
  <c r="VE25" i="2"/>
  <c r="YG411" i="2" s="1"/>
  <c r="UW25" i="2"/>
  <c r="XY411" i="2" s="1"/>
  <c r="UO25" i="2"/>
  <c r="XQ411" i="2" s="1"/>
  <c r="UG25" i="2"/>
  <c r="XI411" i="2" s="1"/>
  <c r="TY25" i="2"/>
  <c r="XA411" i="2" s="1"/>
  <c r="VK24" i="2"/>
  <c r="YM410" i="2" s="1"/>
  <c r="VC24" i="2"/>
  <c r="YE410" i="2" s="1"/>
  <c r="UU24" i="2"/>
  <c r="XW410" i="2" s="1"/>
  <c r="UM24" i="2"/>
  <c r="XO410" i="2" s="1"/>
  <c r="UE24" i="2"/>
  <c r="XG410" i="2" s="1"/>
  <c r="TW24" i="2"/>
  <c r="WY410" i="2" s="1"/>
  <c r="VH23" i="2"/>
  <c r="YJ409" i="2" s="1"/>
  <c r="UZ23" i="2"/>
  <c r="YB409" i="2" s="1"/>
  <c r="UR23" i="2"/>
  <c r="XT409" i="2" s="1"/>
  <c r="UJ23" i="2"/>
  <c r="XL409" i="2" s="1"/>
  <c r="UB23" i="2"/>
  <c r="XD409" i="2" s="1"/>
  <c r="TT23" i="2"/>
  <c r="WV409" i="2" s="1"/>
  <c r="VF22" i="2"/>
  <c r="YH408" i="2" s="1"/>
  <c r="UX22" i="2"/>
  <c r="XZ408" i="2" s="1"/>
  <c r="UP22" i="2"/>
  <c r="XR408" i="2" s="1"/>
  <c r="UH22" i="2"/>
  <c r="XJ408" i="2" s="1"/>
  <c r="TZ22" i="2"/>
  <c r="XB408" i="2" s="1"/>
  <c r="TR22" i="2"/>
  <c r="WT408" i="2" s="1"/>
  <c r="VL21" i="2"/>
  <c r="YN407" i="2" s="1"/>
  <c r="VH21" i="2"/>
  <c r="YJ407" i="2" s="1"/>
  <c r="VD21" i="2"/>
  <c r="YF407" i="2" s="1"/>
  <c r="UZ21" i="2"/>
  <c r="YB407" i="2" s="1"/>
  <c r="UV21" i="2"/>
  <c r="XX407" i="2" s="1"/>
  <c r="UR21" i="2"/>
  <c r="XT407" i="2" s="1"/>
  <c r="UN21" i="2"/>
  <c r="XP407" i="2" s="1"/>
  <c r="UJ21" i="2"/>
  <c r="XL407" i="2" s="1"/>
  <c r="UF21" i="2"/>
  <c r="XH407" i="2" s="1"/>
  <c r="UB21" i="2"/>
  <c r="XD407" i="2" s="1"/>
  <c r="TX21" i="2"/>
  <c r="WZ407" i="2" s="1"/>
  <c r="TT21" i="2"/>
  <c r="WV407" i="2" s="1"/>
  <c r="VJ20" i="2"/>
  <c r="YL406" i="2" s="1"/>
  <c r="VF20" i="2"/>
  <c r="YH406" i="2" s="1"/>
  <c r="VB20" i="2"/>
  <c r="YD406" i="2" s="1"/>
  <c r="UX20" i="2"/>
  <c r="XZ406" i="2" s="1"/>
  <c r="UT20" i="2"/>
  <c r="XV406" i="2" s="1"/>
  <c r="UP20" i="2"/>
  <c r="XR406" i="2" s="1"/>
  <c r="UL20" i="2"/>
  <c r="XN406" i="2" s="1"/>
  <c r="UH20" i="2"/>
  <c r="XJ406" i="2" s="1"/>
  <c r="UD20" i="2"/>
  <c r="XF406" i="2" s="1"/>
  <c r="TZ20" i="2"/>
  <c r="XB406" i="2" s="1"/>
  <c r="TV20" i="2"/>
  <c r="WX406" i="2" s="1"/>
  <c r="TR20" i="2"/>
  <c r="WT406" i="2" s="1"/>
  <c r="VL19" i="2"/>
  <c r="YN405" i="2" s="1"/>
  <c r="VH19" i="2"/>
  <c r="YJ405" i="2" s="1"/>
  <c r="VD19" i="2"/>
  <c r="YF405" i="2" s="1"/>
  <c r="UZ19" i="2"/>
  <c r="YB405" i="2" s="1"/>
  <c r="UV19" i="2"/>
  <c r="XX405" i="2" s="1"/>
  <c r="UR19" i="2"/>
  <c r="XT405" i="2" s="1"/>
  <c r="UN19" i="2"/>
  <c r="XP405" i="2" s="1"/>
  <c r="UJ19" i="2"/>
  <c r="XL405" i="2" s="1"/>
  <c r="UF19" i="2"/>
  <c r="XH405" i="2" s="1"/>
  <c r="UB19" i="2"/>
  <c r="XD405" i="2" s="1"/>
  <c r="TX19" i="2"/>
  <c r="WZ405" i="2" s="1"/>
  <c r="TT19" i="2"/>
  <c r="WV405" i="2" s="1"/>
  <c r="VJ18" i="2"/>
  <c r="YL404" i="2" s="1"/>
  <c r="VF18" i="2"/>
  <c r="YH404" i="2" s="1"/>
  <c r="VB18" i="2"/>
  <c r="YD404" i="2" s="1"/>
  <c r="UX18" i="2"/>
  <c r="XZ404" i="2" s="1"/>
  <c r="UT18" i="2"/>
  <c r="XV404" i="2" s="1"/>
  <c r="UP18" i="2"/>
  <c r="XR404" i="2" s="1"/>
  <c r="UL18" i="2"/>
  <c r="XN404" i="2" s="1"/>
  <c r="UH18" i="2"/>
  <c r="XJ404" i="2" s="1"/>
  <c r="UD18" i="2"/>
  <c r="XF404" i="2" s="1"/>
  <c r="TZ18" i="2"/>
  <c r="XB404" i="2" s="1"/>
  <c r="TV18" i="2"/>
  <c r="WX404" i="2" s="1"/>
  <c r="TR18" i="2"/>
  <c r="WT404" i="2" s="1"/>
  <c r="VL17" i="2"/>
  <c r="YN403" i="2" s="1"/>
  <c r="VH17" i="2"/>
  <c r="YJ403" i="2" s="1"/>
  <c r="VD17" i="2"/>
  <c r="YF403" i="2" s="1"/>
  <c r="UZ17" i="2"/>
  <c r="YB403" i="2" s="1"/>
  <c r="UV17" i="2"/>
  <c r="XX403" i="2" s="1"/>
  <c r="UR17" i="2"/>
  <c r="XT403" i="2" s="1"/>
  <c r="UN17" i="2"/>
  <c r="XP403" i="2" s="1"/>
  <c r="UJ17" i="2"/>
  <c r="XL403" i="2" s="1"/>
  <c r="UF17" i="2"/>
  <c r="XH403" i="2" s="1"/>
  <c r="UB17" i="2"/>
  <c r="XD403" i="2" s="1"/>
  <c r="TX17" i="2"/>
  <c r="WZ403" i="2" s="1"/>
  <c r="TT17" i="2"/>
  <c r="WV403" i="2" s="1"/>
  <c r="VJ16" i="2"/>
  <c r="YL402" i="2" s="1"/>
  <c r="VF16" i="2"/>
  <c r="YH402" i="2" s="1"/>
  <c r="VB16" i="2"/>
  <c r="YD402" i="2" s="1"/>
  <c r="UX16" i="2"/>
  <c r="XZ402" i="2" s="1"/>
  <c r="UT16" i="2"/>
  <c r="XV402" i="2" s="1"/>
  <c r="UP16" i="2"/>
  <c r="XR402" i="2" s="1"/>
  <c r="UL16" i="2"/>
  <c r="XN402" i="2" s="1"/>
  <c r="UH16" i="2"/>
  <c r="XJ402" i="2" s="1"/>
  <c r="UD16" i="2"/>
  <c r="XF402" i="2" s="1"/>
  <c r="TZ16" i="2"/>
  <c r="XB402" i="2" s="1"/>
  <c r="TV16" i="2"/>
  <c r="WX402" i="2" s="1"/>
  <c r="TR16" i="2"/>
  <c r="WT402" i="2" s="1"/>
  <c r="VL15" i="2"/>
  <c r="YN401" i="2" s="1"/>
  <c r="VH15" i="2"/>
  <c r="YJ401" i="2" s="1"/>
  <c r="VD15" i="2"/>
  <c r="YF401" i="2" s="1"/>
  <c r="UZ15" i="2"/>
  <c r="YB401" i="2" s="1"/>
  <c r="UF48" i="2"/>
  <c r="XH434" i="2" s="1"/>
  <c r="VL42" i="2"/>
  <c r="YN428" i="2" s="1"/>
  <c r="VC41" i="2"/>
  <c r="YE427" i="2" s="1"/>
  <c r="UL40" i="2"/>
  <c r="XN426" i="2" s="1"/>
  <c r="UN39" i="2"/>
  <c r="XP425" i="2" s="1"/>
  <c r="VL38" i="2"/>
  <c r="YN424" i="2" s="1"/>
  <c r="UF38" i="2"/>
  <c r="VE37" i="2"/>
  <c r="YG423" i="2" s="1"/>
  <c r="TY37" i="2"/>
  <c r="XA423" i="2" s="1"/>
  <c r="UN36" i="2"/>
  <c r="XP422" i="2" s="1"/>
  <c r="UP35" i="2"/>
  <c r="XR421" i="2" s="1"/>
  <c r="UI34" i="2"/>
  <c r="XK420" i="2" s="1"/>
  <c r="VI33" i="2"/>
  <c r="YK419" i="2" s="1"/>
  <c r="US33" i="2"/>
  <c r="XU419" i="2" s="1"/>
  <c r="UC33" i="2"/>
  <c r="VH32" i="2"/>
  <c r="YJ418" i="2" s="1"/>
  <c r="UR32" i="2"/>
  <c r="XT418" i="2" s="1"/>
  <c r="UB32" i="2"/>
  <c r="XD418" i="2" s="1"/>
  <c r="VA31" i="2"/>
  <c r="YC417" i="2" s="1"/>
  <c r="UK31" i="2"/>
  <c r="XM417" i="2" s="1"/>
  <c r="TU31" i="2"/>
  <c r="WW417" i="2" s="1"/>
  <c r="VK30" i="2"/>
  <c r="YM416" i="2" s="1"/>
  <c r="VC30" i="2"/>
  <c r="YE416" i="2" s="1"/>
  <c r="UU30" i="2"/>
  <c r="XW416" i="2" s="1"/>
  <c r="UM30" i="2"/>
  <c r="XO416" i="2" s="1"/>
  <c r="UE30" i="2"/>
  <c r="XG416" i="2" s="1"/>
  <c r="TW30" i="2"/>
  <c r="WY416" i="2" s="1"/>
  <c r="VH29" i="2"/>
  <c r="YJ415" i="2" s="1"/>
  <c r="UZ29" i="2"/>
  <c r="YB415" i="2" s="1"/>
  <c r="UR29" i="2"/>
  <c r="XT415" i="2" s="1"/>
  <c r="UJ29" i="2"/>
  <c r="XL415" i="2" s="1"/>
  <c r="UB29" i="2"/>
  <c r="XD415" i="2" s="1"/>
  <c r="TT29" i="2"/>
  <c r="WV415" i="2" s="1"/>
  <c r="VF28" i="2"/>
  <c r="YH414" i="2" s="1"/>
  <c r="UX28" i="2"/>
  <c r="XZ414" i="2" s="1"/>
  <c r="UP28" i="2"/>
  <c r="XR414" i="2" s="1"/>
  <c r="UH28" i="2"/>
  <c r="XJ414" i="2" s="1"/>
  <c r="TZ28" i="2"/>
  <c r="XB414" i="2" s="1"/>
  <c r="TR28" i="2"/>
  <c r="WT414" i="2" s="1"/>
  <c r="VI27" i="2"/>
  <c r="VA27" i="2"/>
  <c r="YC413" i="2" s="1"/>
  <c r="US27" i="2"/>
  <c r="XU413" i="2" s="1"/>
  <c r="UK27" i="2"/>
  <c r="UC27" i="2"/>
  <c r="XE413" i="2" s="1"/>
  <c r="TU27" i="2"/>
  <c r="VG26" i="2"/>
  <c r="YI412" i="2" s="1"/>
  <c r="UY26" i="2"/>
  <c r="YA412" i="2" s="1"/>
  <c r="UQ26" i="2"/>
  <c r="XS412" i="2" s="1"/>
  <c r="UI26" i="2"/>
  <c r="XK412" i="2" s="1"/>
  <c r="UA26" i="2"/>
  <c r="XC412" i="2" s="1"/>
  <c r="TS26" i="2"/>
  <c r="WU412" i="2" s="1"/>
  <c r="VL25" i="2"/>
  <c r="YN411" i="2" s="1"/>
  <c r="VD25" i="2"/>
  <c r="YF411" i="2" s="1"/>
  <c r="UV25" i="2"/>
  <c r="XX411" i="2" s="1"/>
  <c r="UN25" i="2"/>
  <c r="XP411" i="2" s="1"/>
  <c r="UF25" i="2"/>
  <c r="XH411" i="2" s="1"/>
  <c r="TX25" i="2"/>
  <c r="WZ411" i="2" s="1"/>
  <c r="VJ24" i="2"/>
  <c r="YL410" i="2" s="1"/>
  <c r="VB24" i="2"/>
  <c r="YD410" i="2" s="1"/>
  <c r="UT24" i="2"/>
  <c r="XV410" i="2" s="1"/>
  <c r="UL24" i="2"/>
  <c r="XN410" i="2" s="1"/>
  <c r="UD24" i="2"/>
  <c r="XF410" i="2" s="1"/>
  <c r="TV24" i="2"/>
  <c r="WX410" i="2" s="1"/>
  <c r="VE23" i="2"/>
  <c r="YG409" i="2" s="1"/>
  <c r="UW23" i="2"/>
  <c r="XY409" i="2" s="1"/>
  <c r="UO23" i="2"/>
  <c r="XQ409" i="2" s="1"/>
  <c r="UG23" i="2"/>
  <c r="XI409" i="2" s="1"/>
  <c r="TY23" i="2"/>
  <c r="XA409" i="2" s="1"/>
  <c r="VK22" i="2"/>
  <c r="YM408" i="2" s="1"/>
  <c r="VC22" i="2"/>
  <c r="YE408" i="2" s="1"/>
  <c r="UU22" i="2"/>
  <c r="XW408" i="2" s="1"/>
  <c r="UM22" i="2"/>
  <c r="XO408" i="2" s="1"/>
  <c r="UE22" i="2"/>
  <c r="XG408" i="2" s="1"/>
  <c r="TW22" i="2"/>
  <c r="WY408" i="2" s="1"/>
  <c r="VK21" i="2"/>
  <c r="YM407" i="2" s="1"/>
  <c r="VG21" i="2"/>
  <c r="YI407" i="2" s="1"/>
  <c r="VC21" i="2"/>
  <c r="YE407" i="2" s="1"/>
  <c r="UY21" i="2"/>
  <c r="YA407" i="2" s="1"/>
  <c r="UU21" i="2"/>
  <c r="XW407" i="2" s="1"/>
  <c r="UQ21" i="2"/>
  <c r="XS407" i="2" s="1"/>
  <c r="UM21" i="2"/>
  <c r="XO407" i="2" s="1"/>
  <c r="UI21" i="2"/>
  <c r="XK407" i="2" s="1"/>
  <c r="UE21" i="2"/>
  <c r="XG407" i="2" s="1"/>
  <c r="UA21" i="2"/>
  <c r="XC407" i="2" s="1"/>
  <c r="TW21" i="2"/>
  <c r="WY407" i="2" s="1"/>
  <c r="TS21" i="2"/>
  <c r="VI20" i="2"/>
  <c r="YK406" i="2" s="1"/>
  <c r="VE20" i="2"/>
  <c r="YG406" i="2" s="1"/>
  <c r="VA20" i="2"/>
  <c r="YC406" i="2" s="1"/>
  <c r="UW20" i="2"/>
  <c r="XY406" i="2" s="1"/>
  <c r="US20" i="2"/>
  <c r="XU406" i="2" s="1"/>
  <c r="UO20" i="2"/>
  <c r="XQ406" i="2" s="1"/>
  <c r="UK20" i="2"/>
  <c r="XM406" i="2" s="1"/>
  <c r="UG20" i="2"/>
  <c r="XI406" i="2" s="1"/>
  <c r="UC20" i="2"/>
  <c r="XE406" i="2" s="1"/>
  <c r="TY20" i="2"/>
  <c r="XA406" i="2" s="1"/>
  <c r="TU20" i="2"/>
  <c r="WW406" i="2" s="1"/>
  <c r="VK19" i="2"/>
  <c r="YM405" i="2" s="1"/>
  <c r="VG19" i="2"/>
  <c r="YI405" i="2" s="1"/>
  <c r="VC19" i="2"/>
  <c r="YE405" i="2" s="1"/>
  <c r="UY19" i="2"/>
  <c r="YA405" i="2" s="1"/>
  <c r="UU19" i="2"/>
  <c r="XW405" i="2" s="1"/>
  <c r="UQ19" i="2"/>
  <c r="XS405" i="2" s="1"/>
  <c r="UM19" i="2"/>
  <c r="XO405" i="2" s="1"/>
  <c r="UI19" i="2"/>
  <c r="XK405" i="2" s="1"/>
  <c r="UE19" i="2"/>
  <c r="XG405" i="2" s="1"/>
  <c r="UA19" i="2"/>
  <c r="XC405" i="2" s="1"/>
  <c r="TW19" i="2"/>
  <c r="WY405" i="2" s="1"/>
  <c r="TS19" i="2"/>
  <c r="WU405" i="2" s="1"/>
  <c r="VI18" i="2"/>
  <c r="YK404" i="2" s="1"/>
  <c r="VE18" i="2"/>
  <c r="YG404" i="2" s="1"/>
  <c r="VA18" i="2"/>
  <c r="YC404" i="2" s="1"/>
  <c r="UW18" i="2"/>
  <c r="XY404" i="2" s="1"/>
  <c r="US18" i="2"/>
  <c r="XU404" i="2" s="1"/>
  <c r="UO18" i="2"/>
  <c r="XQ404" i="2" s="1"/>
  <c r="UK18" i="2"/>
  <c r="XM404" i="2" s="1"/>
  <c r="UG18" i="2"/>
  <c r="XI404" i="2" s="1"/>
  <c r="UC18" i="2"/>
  <c r="XE404" i="2" s="1"/>
  <c r="TY18" i="2"/>
  <c r="XA404" i="2" s="1"/>
  <c r="TU18" i="2"/>
  <c r="WW404" i="2" s="1"/>
  <c r="VK17" i="2"/>
  <c r="YM403" i="2" s="1"/>
  <c r="VG17" i="2"/>
  <c r="YI403" i="2" s="1"/>
  <c r="VC17" i="2"/>
  <c r="YE403" i="2" s="1"/>
  <c r="UY17" i="2"/>
  <c r="YA403" i="2" s="1"/>
  <c r="UU17" i="2"/>
  <c r="XW403" i="2" s="1"/>
  <c r="UQ17" i="2"/>
  <c r="XS403" i="2" s="1"/>
  <c r="UM17" i="2"/>
  <c r="XO403" i="2" s="1"/>
  <c r="UI17" i="2"/>
  <c r="XK403" i="2" s="1"/>
  <c r="UE17" i="2"/>
  <c r="XG403" i="2" s="1"/>
  <c r="UA17" i="2"/>
  <c r="XC403" i="2" s="1"/>
  <c r="TW17" i="2"/>
  <c r="WY403" i="2" s="1"/>
  <c r="TS17" i="2"/>
  <c r="WU403" i="2" s="1"/>
  <c r="VI16" i="2"/>
  <c r="YK402" i="2" s="1"/>
  <c r="VE16" i="2"/>
  <c r="YG402" i="2" s="1"/>
  <c r="VA16" i="2"/>
  <c r="YC402" i="2" s="1"/>
  <c r="UW16" i="2"/>
  <c r="XY402" i="2" s="1"/>
  <c r="US16" i="2"/>
  <c r="XU402" i="2" s="1"/>
  <c r="UO16" i="2"/>
  <c r="XQ402" i="2" s="1"/>
  <c r="UK16" i="2"/>
  <c r="XM402" i="2" s="1"/>
  <c r="UG16" i="2"/>
  <c r="XI402" i="2" s="1"/>
  <c r="UC16" i="2"/>
  <c r="XE402" i="2" s="1"/>
  <c r="TY16" i="2"/>
  <c r="XA402" i="2" s="1"/>
  <c r="TU16" i="2"/>
  <c r="WW402" i="2" s="1"/>
  <c r="VK15" i="2"/>
  <c r="YM401" i="2" s="1"/>
  <c r="VG15" i="2"/>
  <c r="YI401" i="2" s="1"/>
  <c r="VC15" i="2"/>
  <c r="YE401" i="2" s="1"/>
  <c r="UY15" i="2"/>
  <c r="YA401" i="2" s="1"/>
  <c r="UU15" i="2"/>
  <c r="XW401" i="2" s="1"/>
  <c r="UQ15" i="2"/>
  <c r="XS401" i="2" s="1"/>
  <c r="UM15" i="2"/>
  <c r="XO401" i="2" s="1"/>
  <c r="UI15" i="2"/>
  <c r="XK401" i="2" s="1"/>
  <c r="UE15" i="2"/>
  <c r="XG401" i="2" s="1"/>
  <c r="UA15" i="2"/>
  <c r="XC401" i="2" s="1"/>
  <c r="TW15" i="2"/>
  <c r="WY401" i="2" s="1"/>
  <c r="TU14" i="2"/>
  <c r="WW400" i="2" s="1"/>
  <c r="TY14" i="2"/>
  <c r="XA400" i="2" s="1"/>
  <c r="UC14" i="2"/>
  <c r="XE400" i="2" s="1"/>
  <c r="UG14" i="2"/>
  <c r="XI400" i="2" s="1"/>
  <c r="UK14" i="2"/>
  <c r="XM400" i="2" s="1"/>
  <c r="UO14" i="2"/>
  <c r="XQ400" i="2" s="1"/>
  <c r="US14" i="2"/>
  <c r="XU400" i="2" s="1"/>
  <c r="UW14" i="2"/>
  <c r="XY400" i="2" s="1"/>
  <c r="VA14" i="2"/>
  <c r="YC400" i="2" s="1"/>
  <c r="VE14" i="2"/>
  <c r="YG400" i="2" s="1"/>
  <c r="VI14" i="2"/>
  <c r="YK400" i="2" s="1"/>
  <c r="DM15" i="2"/>
  <c r="GS405" i="2" s="1"/>
  <c r="DQ15" i="2"/>
  <c r="GW405" i="2" s="1"/>
  <c r="DU15" i="2"/>
  <c r="HA405" i="2" s="1"/>
  <c r="DY15" i="2"/>
  <c r="HE405" i="2" s="1"/>
  <c r="EC15" i="2"/>
  <c r="HI405" i="2" s="1"/>
  <c r="EG15" i="2"/>
  <c r="HM405" i="2" s="1"/>
  <c r="EK15" i="2"/>
  <c r="HQ405" i="2" s="1"/>
  <c r="EO15" i="2"/>
  <c r="HU405" i="2" s="1"/>
  <c r="ES15" i="2"/>
  <c r="HY405" i="2" s="1"/>
  <c r="EX15" i="2"/>
  <c r="ID405" i="2" s="1"/>
  <c r="FB15" i="2"/>
  <c r="IH405" i="2" s="1"/>
  <c r="FF15" i="2"/>
  <c r="IL405" i="2" s="1"/>
  <c r="FJ15" i="2"/>
  <c r="FN15" i="2"/>
  <c r="CH45" i="2"/>
  <c r="TS15" i="2"/>
  <c r="WU401" i="2" s="1"/>
  <c r="TX15" i="2"/>
  <c r="WZ401" i="2" s="1"/>
  <c r="UC15" i="2"/>
  <c r="XE401" i="2" s="1"/>
  <c r="UH15" i="2"/>
  <c r="XJ401" i="2" s="1"/>
  <c r="UN15" i="2"/>
  <c r="XP401" i="2" s="1"/>
  <c r="US15" i="2"/>
  <c r="XU401" i="2" s="1"/>
  <c r="UX15" i="2"/>
  <c r="XZ401" i="2" s="1"/>
  <c r="VF15" i="2"/>
  <c r="YH401" i="2" s="1"/>
  <c r="DR16" i="2"/>
  <c r="GX406" i="2" s="1"/>
  <c r="DZ16" i="2"/>
  <c r="HF406" i="2" s="1"/>
  <c r="EH16" i="2"/>
  <c r="HN406" i="2" s="1"/>
  <c r="EP16" i="2"/>
  <c r="HV406" i="2" s="1"/>
  <c r="EY16" i="2"/>
  <c r="FG16" i="2"/>
  <c r="IM406" i="2" s="1"/>
  <c r="FO16" i="2"/>
  <c r="IU406" i="2" s="1"/>
  <c r="TS16" i="2"/>
  <c r="WU402" i="2" s="1"/>
  <c r="UA16" i="2"/>
  <c r="XC402" i="2" s="1"/>
  <c r="UI16" i="2"/>
  <c r="XK402" i="2" s="1"/>
  <c r="UQ16" i="2"/>
  <c r="XS402" i="2" s="1"/>
  <c r="UY16" i="2"/>
  <c r="YA402" i="2" s="1"/>
  <c r="VG16" i="2"/>
  <c r="YI402" i="2" s="1"/>
  <c r="DP17" i="2"/>
  <c r="GV407" i="2" s="1"/>
  <c r="DX17" i="2"/>
  <c r="HD407" i="2" s="1"/>
  <c r="EF17" i="2"/>
  <c r="HL407" i="2" s="1"/>
  <c r="EN17" i="2"/>
  <c r="HT407" i="2" s="1"/>
  <c r="EV17" i="2"/>
  <c r="IB407" i="2" s="1"/>
  <c r="FE17" i="2"/>
  <c r="FM17" i="2"/>
  <c r="IS407" i="2" s="1"/>
  <c r="TY17" i="2"/>
  <c r="XA403" i="2" s="1"/>
  <c r="UG17" i="2"/>
  <c r="XI403" i="2" s="1"/>
  <c r="UO17" i="2"/>
  <c r="XQ403" i="2" s="1"/>
  <c r="UW17" i="2"/>
  <c r="XY403" i="2" s="1"/>
  <c r="VE17" i="2"/>
  <c r="YG403" i="2" s="1"/>
  <c r="DQ18" i="2"/>
  <c r="GW408" i="2" s="1"/>
  <c r="DY18" i="2"/>
  <c r="HE408" i="2" s="1"/>
  <c r="EG18" i="2"/>
  <c r="HM408" i="2" s="1"/>
  <c r="EO18" i="2"/>
  <c r="HU408" i="2" s="1"/>
  <c r="EX18" i="2"/>
  <c r="FF18" i="2"/>
  <c r="IL408" i="2" s="1"/>
  <c r="FN18" i="2"/>
  <c r="IT408" i="2" s="1"/>
  <c r="TX18" i="2"/>
  <c r="WZ404" i="2" s="1"/>
  <c r="UF18" i="2"/>
  <c r="XH404" i="2" s="1"/>
  <c r="UN18" i="2"/>
  <c r="XP404" i="2" s="1"/>
  <c r="UV18" i="2"/>
  <c r="XX404" i="2" s="1"/>
  <c r="VD18" i="2"/>
  <c r="YF404" i="2" s="1"/>
  <c r="VL18" i="2"/>
  <c r="YN404" i="2" s="1"/>
  <c r="DO19" i="2"/>
  <c r="GU409" i="2" s="1"/>
  <c r="DW19" i="2"/>
  <c r="HC409" i="2" s="1"/>
  <c r="EE19" i="2"/>
  <c r="HK409" i="2" s="1"/>
  <c r="EM19" i="2"/>
  <c r="HS409" i="2" s="1"/>
  <c r="EU19" i="2"/>
  <c r="IA409" i="2" s="1"/>
  <c r="FD19" i="2"/>
  <c r="IJ409" i="2" s="1"/>
  <c r="FL19" i="2"/>
  <c r="IR409" i="2" s="1"/>
  <c r="TV19" i="2"/>
  <c r="UD19" i="2"/>
  <c r="XF405" i="2" s="1"/>
  <c r="UL19" i="2"/>
  <c r="XN405" i="2" s="1"/>
  <c r="UT19" i="2"/>
  <c r="XV405" i="2" s="1"/>
  <c r="VB19" i="2"/>
  <c r="YD405" i="2" s="1"/>
  <c r="VJ19" i="2"/>
  <c r="YL405" i="2" s="1"/>
  <c r="DN20" i="2"/>
  <c r="DV20" i="2"/>
  <c r="HB410" i="2" s="1"/>
  <c r="ED20" i="2"/>
  <c r="HJ410" i="2" s="1"/>
  <c r="EL20" i="2"/>
  <c r="HR410" i="2" s="1"/>
  <c r="ET20" i="2"/>
  <c r="HZ410" i="2" s="1"/>
  <c r="FC20" i="2"/>
  <c r="FK20" i="2"/>
  <c r="IQ410" i="2" s="1"/>
  <c r="TW20" i="2"/>
  <c r="UE20" i="2"/>
  <c r="XG406" i="2" s="1"/>
  <c r="UM20" i="2"/>
  <c r="XO406" i="2" s="1"/>
  <c r="UU20" i="2"/>
  <c r="XW406" i="2" s="1"/>
  <c r="VC20" i="2"/>
  <c r="YE406" i="2" s="1"/>
  <c r="VK20" i="2"/>
  <c r="YM406" i="2" s="1"/>
  <c r="DL21" i="2"/>
  <c r="GR411" i="2" s="1"/>
  <c r="DT21" i="2"/>
  <c r="GZ411" i="2" s="1"/>
  <c r="EB21" i="2"/>
  <c r="HH411" i="2" s="1"/>
  <c r="EJ21" i="2"/>
  <c r="HP411" i="2" s="1"/>
  <c r="ER21" i="2"/>
  <c r="HX411" i="2" s="1"/>
  <c r="FA21" i="2"/>
  <c r="IG411" i="2" s="1"/>
  <c r="FI21" i="2"/>
  <c r="TU21" i="2"/>
  <c r="WW407" i="2" s="1"/>
  <c r="UC21" i="2"/>
  <c r="XE407" i="2" s="1"/>
  <c r="UK21" i="2"/>
  <c r="XM407" i="2" s="1"/>
  <c r="US21" i="2"/>
  <c r="XU407" i="2" s="1"/>
  <c r="VA21" i="2"/>
  <c r="YC407" i="2" s="1"/>
  <c r="VI21" i="2"/>
  <c r="YK407" i="2" s="1"/>
  <c r="DN22" i="2"/>
  <c r="DY22" i="2"/>
  <c r="HE412" i="2" s="1"/>
  <c r="EK22" i="2"/>
  <c r="HQ412" i="2" s="1"/>
  <c r="FB22" i="2"/>
  <c r="TV22" i="2"/>
  <c r="WX408" i="2" s="1"/>
  <c r="UL22" i="2"/>
  <c r="VB22" i="2"/>
  <c r="YD408" i="2" s="1"/>
  <c r="DK23" i="2"/>
  <c r="EA23" i="2"/>
  <c r="HG413" i="2" s="1"/>
  <c r="EQ23" i="2"/>
  <c r="FH23" i="2"/>
  <c r="IN413" i="2" s="1"/>
  <c r="UF23" i="2"/>
  <c r="UV23" i="2"/>
  <c r="XX409" i="2" s="1"/>
  <c r="VL23" i="2"/>
  <c r="YN409" i="2" s="1"/>
  <c r="DT24" i="2"/>
  <c r="GZ414" i="2" s="1"/>
  <c r="EJ24" i="2"/>
  <c r="HP414" i="2" s="1"/>
  <c r="FA24" i="2"/>
  <c r="TR24" i="2"/>
  <c r="UH24" i="2"/>
  <c r="XJ410" i="2" s="1"/>
  <c r="UX24" i="2"/>
  <c r="XZ410" i="2" s="1"/>
  <c r="DZ25" i="2"/>
  <c r="EP25" i="2"/>
  <c r="HV415" i="2" s="1"/>
  <c r="FG25" i="2"/>
  <c r="UB25" i="2"/>
  <c r="UR25" i="2"/>
  <c r="XT411" i="2" s="1"/>
  <c r="VH25" i="2"/>
  <c r="YJ411" i="2" s="1"/>
  <c r="DQ26" i="2"/>
  <c r="EG26" i="2"/>
  <c r="HM416" i="2" s="1"/>
  <c r="EX26" i="2"/>
  <c r="FN26" i="2"/>
  <c r="IT416" i="2" s="1"/>
  <c r="TR26" i="2"/>
  <c r="UH26" i="2"/>
  <c r="XJ412" i="2" s="1"/>
  <c r="UX26" i="2"/>
  <c r="XZ412" i="2" s="1"/>
  <c r="DZ27" i="2"/>
  <c r="HF417" i="2" s="1"/>
  <c r="EP27" i="2"/>
  <c r="HV417" i="2" s="1"/>
  <c r="FG27" i="2"/>
  <c r="UG27" i="2"/>
  <c r="XI413" i="2" s="1"/>
  <c r="UW27" i="2"/>
  <c r="XY413" i="2" s="1"/>
  <c r="DX28" i="2"/>
  <c r="EN28" i="2"/>
  <c r="HT418" i="2" s="1"/>
  <c r="FE28" i="2"/>
  <c r="UD28" i="2"/>
  <c r="UT28" i="2"/>
  <c r="XV414" i="2" s="1"/>
  <c r="VJ28" i="2"/>
  <c r="YL414" i="2" s="1"/>
  <c r="DO29" i="2"/>
  <c r="EE29" i="2"/>
  <c r="HK419" i="2" s="1"/>
  <c r="EU29" i="2"/>
  <c r="IA419" i="2" s="1"/>
  <c r="FL29" i="2"/>
  <c r="TY29" i="2"/>
  <c r="XA415" i="2" s="1"/>
  <c r="UO29" i="2"/>
  <c r="XQ415" i="2" s="1"/>
  <c r="VE29" i="2"/>
  <c r="YG415" i="2" s="1"/>
  <c r="DM30" i="2"/>
  <c r="GS420" i="2" s="1"/>
  <c r="EC30" i="2"/>
  <c r="HI420" i="2" s="1"/>
  <c r="ES30" i="2"/>
  <c r="HY420" i="2" s="1"/>
  <c r="FJ30" i="2"/>
  <c r="IP420" i="2" s="1"/>
  <c r="UD30" i="2"/>
  <c r="XF416" i="2" s="1"/>
  <c r="UT30" i="2"/>
  <c r="XV416" i="2" s="1"/>
  <c r="VJ30" i="2"/>
  <c r="YL416" i="2" s="1"/>
  <c r="DS31" i="2"/>
  <c r="AK45" i="2"/>
  <c r="EI31" i="2"/>
  <c r="HO421" i="2" s="1"/>
  <c r="FE31" i="2"/>
  <c r="UC31" i="2"/>
  <c r="XE417" i="2" s="1"/>
  <c r="VI31" i="2"/>
  <c r="YK417" i="2" s="1"/>
  <c r="DU32" i="2"/>
  <c r="HA422" i="2" s="1"/>
  <c r="FB32" i="2"/>
  <c r="IH422" i="2" s="1"/>
  <c r="UM32" i="2"/>
  <c r="XO418" i="2" s="1"/>
  <c r="DK33" i="2"/>
  <c r="GQ423" i="2" s="1"/>
  <c r="EQ33" i="2"/>
  <c r="HW423" i="2" s="1"/>
  <c r="UK33" i="2"/>
  <c r="XM419" i="2" s="1"/>
  <c r="EH34" i="2"/>
  <c r="TW34" i="2"/>
  <c r="DX35" i="2"/>
  <c r="HD425" i="2" s="1"/>
  <c r="VF35" i="2"/>
  <c r="YH421" i="2" s="1"/>
  <c r="EH36" i="2"/>
  <c r="VG36" i="2"/>
  <c r="YI422" i="2" s="1"/>
  <c r="EV37" i="2"/>
  <c r="IB427" i="2" s="1"/>
  <c r="TV37" i="2"/>
  <c r="DN38" i="2"/>
  <c r="GT428" i="2" s="1"/>
  <c r="VC38" i="2"/>
  <c r="YE424" i="2" s="1"/>
  <c r="UH43" i="2"/>
  <c r="XJ429" i="2" s="1"/>
  <c r="UL45" i="2"/>
  <c r="BR45" i="2"/>
  <c r="BM45" i="2"/>
  <c r="BB45" i="2"/>
  <c r="BN45" i="2"/>
  <c r="AO45" i="2"/>
  <c r="AD45" i="2"/>
  <c r="AX45" i="2"/>
  <c r="AM45" i="2"/>
  <c r="BC45" i="2"/>
  <c r="AP45" i="2"/>
  <c r="AR45" i="2"/>
  <c r="CI45" i="2"/>
  <c r="CF45" i="2"/>
  <c r="AT45" i="2"/>
  <c r="AI45" i="2"/>
  <c r="BZ45" i="2"/>
  <c r="AY45" i="2"/>
  <c r="AN45" i="2"/>
  <c r="AW45" i="2"/>
  <c r="AH45" i="2"/>
  <c r="BD45" i="2"/>
  <c r="CD45" i="2"/>
  <c r="CE45" i="2"/>
  <c r="CE46" i="2" s="1"/>
  <c r="CA45" i="2"/>
  <c r="CA46" i="2" s="1"/>
  <c r="BK45" i="2"/>
  <c r="BF45" i="2"/>
  <c r="BJ45" i="2"/>
  <c r="AL45" i="2"/>
  <c r="AQ45" i="2"/>
  <c r="BH45" i="2"/>
  <c r="AV45" i="2"/>
  <c r="BE45" i="2"/>
  <c r="AZ45" i="2"/>
  <c r="BA45" i="2"/>
  <c r="AG45" i="2"/>
  <c r="AJ45" i="2"/>
  <c r="BG45" i="2"/>
  <c r="AE45" i="2"/>
  <c r="AU45" i="2"/>
  <c r="BL45" i="2"/>
  <c r="AF45" i="2"/>
  <c r="BT45" i="2"/>
  <c r="BS45" i="2"/>
  <c r="CC45" i="2"/>
  <c r="CC46" i="2" s="1"/>
  <c r="BW45" i="2"/>
  <c r="CG45" i="2"/>
  <c r="BX45" i="2"/>
  <c r="BX46" i="2" s="1"/>
  <c r="BV45" i="2"/>
  <c r="CB45" i="2"/>
  <c r="BY45" i="2"/>
  <c r="BY46" i="2" s="1"/>
  <c r="YK413" i="2"/>
  <c r="RT53" i="2"/>
  <c r="XR413" i="2"/>
  <c r="RN53" i="2"/>
  <c r="XS413" i="2"/>
  <c r="RO53" i="2"/>
  <c r="WV413" i="2"/>
  <c r="QR53" i="2"/>
  <c r="YF413" i="2"/>
  <c r="SB53" i="2"/>
  <c r="XV413" i="2"/>
  <c r="RR53" i="2"/>
  <c r="XW413" i="2"/>
  <c r="RS53" i="2"/>
  <c r="YJ413" i="2"/>
  <c r="SF53" i="2"/>
  <c r="RE53" i="2"/>
  <c r="WW413" i="2"/>
  <c r="QS53" i="2"/>
  <c r="RY53" i="2"/>
  <c r="XP413" i="2"/>
  <c r="RL53" i="2"/>
  <c r="QT53" i="2"/>
  <c r="XN413" i="2"/>
  <c r="RJ53" i="2"/>
  <c r="RZ53" i="2"/>
  <c r="WY413" i="2"/>
  <c r="QU53" i="2"/>
  <c r="XO413" i="2"/>
  <c r="RK53" i="2"/>
  <c r="YE413" i="2"/>
  <c r="SA53" i="2"/>
  <c r="YB413" i="2"/>
  <c r="RX53" i="2"/>
  <c r="XD413" i="2"/>
  <c r="QZ53" i="2"/>
  <c r="XQ413" i="2"/>
  <c r="RM53" i="2"/>
  <c r="RA53" i="2"/>
  <c r="XB413" i="2"/>
  <c r="QX53" i="2"/>
  <c r="YH413" i="2"/>
  <c r="SD53" i="2"/>
  <c r="XC413" i="2"/>
  <c r="QY53" i="2"/>
  <c r="YI413" i="2"/>
  <c r="SE53" i="2"/>
  <c r="XM413" i="2"/>
  <c r="WZ413" i="2"/>
  <c r="QV53" i="2"/>
  <c r="XF413" i="2"/>
  <c r="RB53" i="2"/>
  <c r="YL413" i="2"/>
  <c r="SH53" i="2"/>
  <c r="XG413" i="2"/>
  <c r="RC53" i="2"/>
  <c r="YM413" i="2"/>
  <c r="SI53" i="2"/>
  <c r="YG413" i="2"/>
  <c r="SC53" i="2"/>
  <c r="RU53" i="2"/>
  <c r="RQ53" i="2"/>
  <c r="XH413" i="2"/>
  <c r="RD53" i="2"/>
  <c r="SJ53" i="2"/>
  <c r="WT413" i="2"/>
  <c r="QP53" i="2"/>
  <c r="RF53" i="2"/>
  <c r="XZ413" i="2"/>
  <c r="RV53" i="2"/>
  <c r="WU413" i="2"/>
  <c r="QQ53" i="2"/>
  <c r="XK413" i="2"/>
  <c r="RG53" i="2"/>
  <c r="YA413" i="2"/>
  <c r="RW53" i="2"/>
  <c r="XA413" i="2"/>
  <c r="QW53" i="2"/>
  <c r="XT413" i="2"/>
  <c r="RP53" i="2"/>
  <c r="XL413" i="2"/>
  <c r="RH53" i="2"/>
  <c r="OB404" i="2"/>
  <c r="JW48" i="2"/>
  <c r="OR404" i="2"/>
  <c r="KM48" i="2"/>
  <c r="NY404" i="2"/>
  <c r="JT48" i="2"/>
  <c r="OO404" i="2"/>
  <c r="KJ48" i="2"/>
  <c r="KJ49" i="2" s="1"/>
  <c r="HP421" i="2"/>
  <c r="HE421" i="2"/>
  <c r="GQ421" i="2"/>
  <c r="IE405" i="2"/>
  <c r="HJ421" i="2"/>
  <c r="HS421" i="2"/>
  <c r="II405" i="2"/>
  <c r="GU421" i="2"/>
  <c r="GX421" i="2"/>
  <c r="HD421" i="2"/>
  <c r="HU421" i="2"/>
  <c r="GS421" i="2"/>
  <c r="HI421" i="2"/>
  <c r="IB421" i="2"/>
  <c r="IT405" i="2"/>
  <c r="CH46" i="2"/>
  <c r="HC421" i="2"/>
  <c r="HF421" i="2"/>
  <c r="GR421" i="2"/>
  <c r="HH421" i="2"/>
  <c r="IA421" i="2"/>
  <c r="GW421" i="2"/>
  <c r="HM421" i="2"/>
  <c r="IF405" i="2"/>
  <c r="HB421" i="2"/>
  <c r="IU405" i="2"/>
  <c r="IG405" i="2"/>
  <c r="HG421" i="2"/>
  <c r="IR405" i="2"/>
  <c r="HT421" i="2"/>
  <c r="HX421" i="2"/>
  <c r="GZ421" i="2"/>
  <c r="IP405" i="2"/>
  <c r="HK421" i="2"/>
  <c r="HN421" i="2"/>
  <c r="GV421" i="2"/>
  <c r="HL421" i="2"/>
  <c r="HA421" i="2"/>
  <c r="HQ421" i="2"/>
  <c r="HR421" i="2"/>
  <c r="HY421" i="2"/>
  <c r="IM405" i="2"/>
  <c r="IS405" i="2"/>
  <c r="IJ405" i="2"/>
  <c r="IQ405" i="2"/>
  <c r="HW421" i="2"/>
  <c r="HV421" i="2"/>
  <c r="IO405" i="2"/>
  <c r="HZ421" i="2"/>
  <c r="IN405" i="2"/>
  <c r="GT421" i="2"/>
  <c r="IK405" i="2"/>
  <c r="OG412" i="2"/>
  <c r="NY412" i="2"/>
  <c r="OJ412" i="2"/>
  <c r="YG432" i="2"/>
  <c r="XN432" i="2"/>
  <c r="WW432" i="2"/>
  <c r="WU432" i="2"/>
  <c r="XJ432" i="2"/>
  <c r="XA432" i="2"/>
  <c r="XM432" i="2"/>
  <c r="XE432" i="2"/>
  <c r="XI432" i="2"/>
  <c r="XV432" i="2"/>
  <c r="XK432" i="2"/>
  <c r="YA432" i="2"/>
  <c r="XH432" i="2"/>
  <c r="XX432" i="2"/>
  <c r="YC432" i="2"/>
  <c r="XU432" i="2"/>
  <c r="YH432" i="2"/>
  <c r="XQ432" i="2"/>
  <c r="WX432" i="2"/>
  <c r="YD432" i="2"/>
  <c r="WY432" i="2"/>
  <c r="XO432" i="2"/>
  <c r="YE432" i="2"/>
  <c r="WV432" i="2"/>
  <c r="XL432" i="2"/>
  <c r="YB432" i="2"/>
  <c r="XB432" i="2"/>
  <c r="XR432" i="2"/>
  <c r="YN432" i="2"/>
  <c r="WT432" i="2"/>
  <c r="XZ432" i="2"/>
  <c r="YK432" i="2"/>
  <c r="XY432" i="2"/>
  <c r="XF432" i="2"/>
  <c r="YL432" i="2"/>
  <c r="XC432" i="2"/>
  <c r="XS432" i="2"/>
  <c r="YI432" i="2"/>
  <c r="WZ432" i="2"/>
  <c r="XP432" i="2"/>
  <c r="YF432" i="2"/>
  <c r="XG432" i="2"/>
  <c r="XW432" i="2"/>
  <c r="YM432" i="2"/>
  <c r="XD432" i="2"/>
  <c r="XT432" i="2"/>
  <c r="YJ432" i="2"/>
  <c r="FQ38" i="2"/>
  <c r="VN48" i="2"/>
  <c r="VN46" i="2"/>
  <c r="VN44" i="2"/>
  <c r="FQ35" i="2"/>
  <c r="VN41" i="2"/>
  <c r="VN42" i="2"/>
  <c r="FQ33" i="2"/>
  <c r="FQ40" i="2"/>
  <c r="FQ39" i="2"/>
  <c r="FQ37" i="2"/>
  <c r="VN39" i="2"/>
  <c r="VN49" i="2"/>
  <c r="VN47" i="2"/>
  <c r="FQ23" i="2"/>
  <c r="FQ34" i="2"/>
  <c r="FQ36" i="2"/>
  <c r="FQ41" i="2"/>
  <c r="FP40" i="2"/>
  <c r="E1" i="3"/>
  <c r="CV3" i="3"/>
  <c r="CR3" i="3"/>
  <c r="CN3" i="3"/>
  <c r="CJ3" i="3"/>
  <c r="CF3" i="3"/>
  <c r="CB3" i="3"/>
  <c r="BX3" i="3"/>
  <c r="BT3" i="3"/>
  <c r="BP3" i="3"/>
  <c r="BL3" i="3"/>
  <c r="BH3" i="3"/>
  <c r="BD3" i="3"/>
  <c r="AZ3" i="3"/>
  <c r="AV3" i="3"/>
  <c r="AR3" i="3"/>
  <c r="AN3" i="3"/>
  <c r="AJ3" i="3"/>
  <c r="AF3" i="3"/>
  <c r="AB3" i="3"/>
  <c r="X3" i="3"/>
  <c r="T3" i="3"/>
  <c r="P3" i="3"/>
  <c r="L3" i="3"/>
  <c r="H3" i="3"/>
  <c r="CU3" i="3"/>
  <c r="CQ3" i="3"/>
  <c r="CM3" i="3"/>
  <c r="CI3" i="3"/>
  <c r="CE3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O3" i="3"/>
  <c r="BY3" i="3"/>
  <c r="BQ3" i="3"/>
  <c r="BE3" i="3"/>
  <c r="AW3" i="3"/>
  <c r="AO3" i="3"/>
  <c r="AG3" i="3"/>
  <c r="U3" i="3"/>
  <c r="Q3" i="3"/>
  <c r="I3" i="3"/>
  <c r="CT3" i="3"/>
  <c r="CP3" i="3"/>
  <c r="CL3" i="3"/>
  <c r="CH3" i="3"/>
  <c r="CD3" i="3"/>
  <c r="BZ3" i="3"/>
  <c r="BV3" i="3"/>
  <c r="BR3" i="3"/>
  <c r="BN3" i="3"/>
  <c r="BJ3" i="3"/>
  <c r="BF3" i="3"/>
  <c r="BB3" i="3"/>
  <c r="AX3" i="3"/>
  <c r="AT3" i="3"/>
  <c r="AP3" i="3"/>
  <c r="AL3" i="3"/>
  <c r="AH3" i="3"/>
  <c r="AD3" i="3"/>
  <c r="Z3" i="3"/>
  <c r="V3" i="3"/>
  <c r="R3" i="3"/>
  <c r="N3" i="3"/>
  <c r="J3" i="3"/>
  <c r="F3" i="3"/>
  <c r="CS3" i="3"/>
  <c r="CK3" i="3"/>
  <c r="CG3" i="3"/>
  <c r="CC3" i="3"/>
  <c r="BU3" i="3"/>
  <c r="BM3" i="3"/>
  <c r="BI3" i="3"/>
  <c r="BA3" i="3"/>
  <c r="AS3" i="3"/>
  <c r="AK3" i="3"/>
  <c r="AC3" i="3"/>
  <c r="Y3" i="3"/>
  <c r="M3" i="3"/>
  <c r="E3" i="3"/>
  <c r="MB36" i="2" l="1"/>
  <c r="NZ424" i="2" s="1"/>
  <c r="MP34" i="2"/>
  <c r="ON422" i="2" s="1"/>
  <c r="MU31" i="2"/>
  <c r="OS419" i="2" s="1"/>
  <c r="MF22" i="2"/>
  <c r="OD410" i="2" s="1"/>
  <c r="MV36" i="2"/>
  <c r="OT424" i="2" s="1"/>
  <c r="MM35" i="2"/>
  <c r="OK423" i="2" s="1"/>
  <c r="MK33" i="2"/>
  <c r="OI421" i="2" s="1"/>
  <c r="ML30" i="2"/>
  <c r="OJ418" i="2" s="1"/>
  <c r="MD34" i="2"/>
  <c r="OB422" i="2" s="1"/>
  <c r="MR32" i="2"/>
  <c r="OP420" i="2" s="1"/>
  <c r="MI31" i="2"/>
  <c r="OG419" i="2" s="1"/>
  <c r="MT28" i="2"/>
  <c r="OR416" i="2" s="1"/>
  <c r="MB37" i="2"/>
  <c r="NZ425" i="2" s="1"/>
  <c r="LZ34" i="2"/>
  <c r="NX422" i="2" s="1"/>
  <c r="MN32" i="2"/>
  <c r="OL420" i="2" s="1"/>
  <c r="MP30" i="2"/>
  <c r="ON418" i="2" s="1"/>
  <c r="ML20" i="2"/>
  <c r="OJ408" i="2" s="1"/>
  <c r="ML28" i="2"/>
  <c r="OJ416" i="2" s="1"/>
  <c r="LZ24" i="2"/>
  <c r="NX412" i="2" s="1"/>
  <c r="MR24" i="2"/>
  <c r="OP412" i="2" s="1"/>
  <c r="MH16" i="2"/>
  <c r="KA48" i="2" s="1"/>
  <c r="ME31" i="2"/>
  <c r="OC419" i="2" s="1"/>
  <c r="MS29" i="2"/>
  <c r="OQ417" i="2" s="1"/>
  <c r="MC27" i="2"/>
  <c r="OA415" i="2" s="1"/>
  <c r="OF404" i="2"/>
  <c r="MI25" i="2"/>
  <c r="OG413" i="2" s="1"/>
  <c r="MO23" i="2"/>
  <c r="OM411" i="2" s="1"/>
  <c r="MU21" i="2"/>
  <c r="OS409" i="2" s="1"/>
  <c r="MC19" i="2"/>
  <c r="OA407" i="2" s="1"/>
  <c r="MI36" i="2"/>
  <c r="OG424" i="2" s="1"/>
  <c r="MN36" i="2"/>
  <c r="OL424" i="2" s="1"/>
  <c r="MU35" i="2"/>
  <c r="OS423" i="2" s="1"/>
  <c r="ME35" i="2"/>
  <c r="OC423" i="2" s="1"/>
  <c r="ML34" i="2"/>
  <c r="OJ422" i="2" s="1"/>
  <c r="MS33" i="2"/>
  <c r="OQ421" i="2" s="1"/>
  <c r="MC33" i="2"/>
  <c r="OA421" i="2" s="1"/>
  <c r="MJ32" i="2"/>
  <c r="OH420" i="2" s="1"/>
  <c r="MQ31" i="2"/>
  <c r="OO419" i="2" s="1"/>
  <c r="MA31" i="2"/>
  <c r="NY419" i="2" s="1"/>
  <c r="MH30" i="2"/>
  <c r="OF418" i="2" s="1"/>
  <c r="MM29" i="2"/>
  <c r="OK417" i="2" s="1"/>
  <c r="MD28" i="2"/>
  <c r="OB416" i="2" s="1"/>
  <c r="MR26" i="2"/>
  <c r="OP414" i="2" s="1"/>
  <c r="MA25" i="2"/>
  <c r="NY413" i="2" s="1"/>
  <c r="MG23" i="2"/>
  <c r="OE411" i="2" s="1"/>
  <c r="ME21" i="2"/>
  <c r="OC409" i="2" s="1"/>
  <c r="MQ17" i="2"/>
  <c r="OO405" i="2" s="1"/>
  <c r="MP35" i="2"/>
  <c r="ON423" i="2" s="1"/>
  <c r="MP25" i="2"/>
  <c r="ON413" i="2" s="1"/>
  <c r="TR14" i="2"/>
  <c r="WT400" i="2" s="1"/>
  <c r="MC37" i="2"/>
  <c r="OA425" i="2" s="1"/>
  <c r="MJ36" i="2"/>
  <c r="OH424" i="2" s="1"/>
  <c r="MQ35" i="2"/>
  <c r="OO423" i="2" s="1"/>
  <c r="MA35" i="2"/>
  <c r="NY423" i="2" s="1"/>
  <c r="MH34" i="2"/>
  <c r="OF422" i="2" s="1"/>
  <c r="MO33" i="2"/>
  <c r="OM421" i="2" s="1"/>
  <c r="MV32" i="2"/>
  <c r="OT420" i="2" s="1"/>
  <c r="MF32" i="2"/>
  <c r="OD420" i="2" s="1"/>
  <c r="MM31" i="2"/>
  <c r="OK419" i="2" s="1"/>
  <c r="MT30" i="2"/>
  <c r="OR418" i="2" s="1"/>
  <c r="MD30" i="2"/>
  <c r="OB418" i="2" s="1"/>
  <c r="ME29" i="2"/>
  <c r="OC417" i="2" s="1"/>
  <c r="MS27" i="2"/>
  <c r="OQ415" i="2" s="1"/>
  <c r="MJ26" i="2"/>
  <c r="OH414" i="2" s="1"/>
  <c r="MP24" i="2"/>
  <c r="ON412" i="2" s="1"/>
  <c r="MN22" i="2"/>
  <c r="OL410" i="2" s="1"/>
  <c r="MT20" i="2"/>
  <c r="OR408" i="2" s="1"/>
  <c r="MS34" i="2"/>
  <c r="OQ422" i="2" s="1"/>
  <c r="MS19" i="2"/>
  <c r="OQ407" i="2" s="1"/>
  <c r="MJ18" i="2"/>
  <c r="OH406" i="2" s="1"/>
  <c r="MA17" i="2"/>
  <c r="NY405" i="2" s="1"/>
  <c r="MO15" i="2"/>
  <c r="OM403" i="2" s="1"/>
  <c r="MQ36" i="2"/>
  <c r="OO424" i="2" s="1"/>
  <c r="MA36" i="2"/>
  <c r="NY424" i="2" s="1"/>
  <c r="MH35" i="2"/>
  <c r="OF423" i="2" s="1"/>
  <c r="MQ32" i="2"/>
  <c r="OO420" i="2" s="1"/>
  <c r="MK19" i="2"/>
  <c r="OI407" i="2" s="1"/>
  <c r="MB18" i="2"/>
  <c r="NZ406" i="2" s="1"/>
  <c r="MP16" i="2"/>
  <c r="MG15" i="2"/>
  <c r="OE403" i="2" s="1"/>
  <c r="MM36" i="2"/>
  <c r="OK424" i="2" s="1"/>
  <c r="MT35" i="2"/>
  <c r="OR423" i="2" s="1"/>
  <c r="MD35" i="2"/>
  <c r="OB423" i="2" s="1"/>
  <c r="MH27" i="2"/>
  <c r="OF415" i="2" s="1"/>
  <c r="MU22" i="2"/>
  <c r="OS410" i="2" s="1"/>
  <c r="MQ25" i="2"/>
  <c r="OO413" i="2" s="1"/>
  <c r="MH24" i="2"/>
  <c r="OF412" i="2" s="1"/>
  <c r="MV22" i="2"/>
  <c r="OT410" i="2" s="1"/>
  <c r="MM21" i="2"/>
  <c r="OK409" i="2" s="1"/>
  <c r="MD20" i="2"/>
  <c r="OB408" i="2" s="1"/>
  <c r="MR18" i="2"/>
  <c r="OP406" i="2" s="1"/>
  <c r="MI17" i="2"/>
  <c r="OG405" i="2" s="1"/>
  <c r="LZ16" i="2"/>
  <c r="MU36" i="2"/>
  <c r="OS424" i="2" s="1"/>
  <c r="ME36" i="2"/>
  <c r="OC424" i="2" s="1"/>
  <c r="ML35" i="2"/>
  <c r="OJ423" i="2" s="1"/>
  <c r="MC34" i="2"/>
  <c r="OA422" i="2" s="1"/>
  <c r="TZ17" i="2"/>
  <c r="XB403" i="2" s="1"/>
  <c r="DS14" i="2"/>
  <c r="GY404" i="2" s="1"/>
  <c r="MO34" i="2"/>
  <c r="OM422" i="2" s="1"/>
  <c r="MT31" i="2"/>
  <c r="OR419" i="2" s="1"/>
  <c r="LZ22" i="2"/>
  <c r="NX410" i="2" s="1"/>
  <c r="MI43" i="2"/>
  <c r="OG431" i="2" s="1"/>
  <c r="MJ33" i="2"/>
  <c r="OH421" i="2" s="1"/>
  <c r="MR21" i="2"/>
  <c r="OP409" i="2" s="1"/>
  <c r="MZ30" i="2"/>
  <c r="OX418" i="2" s="1"/>
  <c r="FP35" i="2"/>
  <c r="LZ31" i="2"/>
  <c r="NX419" i="2" s="1"/>
  <c r="ME16" i="2"/>
  <c r="ME19" i="2"/>
  <c r="OC407" i="2" s="1"/>
  <c r="MC20" i="2"/>
  <c r="OA408" i="2" s="1"/>
  <c r="NJ29" i="2"/>
  <c r="PH417" i="2" s="1"/>
  <c r="MV29" i="2"/>
  <c r="OT417" i="2" s="1"/>
  <c r="MM27" i="2"/>
  <c r="OK415" i="2" s="1"/>
  <c r="MJ16" i="2"/>
  <c r="ME40" i="2"/>
  <c r="OC428" i="2" s="1"/>
  <c r="MK28" i="2"/>
  <c r="OI416" i="2" s="1"/>
  <c r="MH17" i="2"/>
  <c r="OF405" i="2" s="1"/>
  <c r="MS14" i="2"/>
  <c r="OQ402" i="2" s="1"/>
  <c r="ND40" i="2"/>
  <c r="PB428" i="2" s="1"/>
  <c r="TR17" i="2"/>
  <c r="WT403" i="2" s="1"/>
  <c r="VN35" i="2"/>
  <c r="LZ35" i="2"/>
  <c r="MG34" i="2"/>
  <c r="OE422" i="2" s="1"/>
  <c r="MN33" i="2"/>
  <c r="OL421" i="2" s="1"/>
  <c r="MU32" i="2"/>
  <c r="OS420" i="2" s="1"/>
  <c r="MA32" i="2"/>
  <c r="MD31" i="2"/>
  <c r="OB419" i="2" s="1"/>
  <c r="MG30" i="2"/>
  <c r="OE418" i="2" s="1"/>
  <c r="MQ28" i="2"/>
  <c r="OO416" i="2" s="1"/>
  <c r="MD23" i="2"/>
  <c r="OB411" i="2" s="1"/>
  <c r="MN17" i="2"/>
  <c r="OL405" i="2" s="1"/>
  <c r="MF28" i="2"/>
  <c r="OD416" i="2" s="1"/>
  <c r="MK25" i="2"/>
  <c r="OI413" i="2" s="1"/>
  <c r="MP22" i="2"/>
  <c r="ON410" i="2" s="1"/>
  <c r="MU19" i="2"/>
  <c r="OS407" i="2" s="1"/>
  <c r="MC17" i="2"/>
  <c r="OA405" i="2" s="1"/>
  <c r="MD29" i="2"/>
  <c r="OB417" i="2" s="1"/>
  <c r="MI26" i="2"/>
  <c r="OG414" i="2" s="1"/>
  <c r="MN23" i="2"/>
  <c r="OL411" i="2" s="1"/>
  <c r="MS20" i="2"/>
  <c r="OQ408" i="2" s="1"/>
  <c r="MA18" i="2"/>
  <c r="NY406" i="2" s="1"/>
  <c r="MF15" i="2"/>
  <c r="OD403" i="2" s="1"/>
  <c r="MJ37" i="2"/>
  <c r="OH425" i="2" s="1"/>
  <c r="MD38" i="2"/>
  <c r="OB426" i="2" s="1"/>
  <c r="MM43" i="2"/>
  <c r="OK431" i="2" s="1"/>
  <c r="MT24" i="2"/>
  <c r="OR412" i="2" s="1"/>
  <c r="NL35" i="2"/>
  <c r="PJ423" i="2" s="1"/>
  <c r="NB36" i="2"/>
  <c r="OZ424" i="2" s="1"/>
  <c r="FH14" i="2"/>
  <c r="IN404" i="2" s="1"/>
  <c r="DO14" i="2"/>
  <c r="GU404" i="2" s="1"/>
  <c r="EU14" i="2"/>
  <c r="IA404" i="2" s="1"/>
  <c r="EM14" i="2"/>
  <c r="HS404" i="2" s="1"/>
  <c r="DW14" i="2"/>
  <c r="HC404" i="2" s="1"/>
  <c r="EA14" i="2"/>
  <c r="HG404" i="2" s="1"/>
  <c r="DT39" i="2"/>
  <c r="FL14" i="2"/>
  <c r="IR404" i="2" s="1"/>
  <c r="FD14" i="2"/>
  <c r="IJ404" i="2" s="1"/>
  <c r="DK14" i="2"/>
  <c r="EZ14" i="2"/>
  <c r="DN15" i="2"/>
  <c r="GT405" i="2" s="1"/>
  <c r="EQ14" i="2"/>
  <c r="HW404" i="2" s="1"/>
  <c r="EE14" i="2"/>
  <c r="HK404" i="2" s="1"/>
  <c r="DY41" i="2"/>
  <c r="EI14" i="2"/>
  <c r="HO404" i="2" s="1"/>
  <c r="BA46" i="2" s="1"/>
  <c r="NA19" i="2"/>
  <c r="OY407" i="2" s="1"/>
  <c r="NI35" i="2"/>
  <c r="PG423" i="2" s="1"/>
  <c r="MY44" i="2"/>
  <c r="OW432" i="2" s="1"/>
  <c r="NF38" i="2"/>
  <c r="PD426" i="2" s="1"/>
  <c r="MZ42" i="2"/>
  <c r="OX430" i="2" s="1"/>
  <c r="NA14" i="2"/>
  <c r="NI44" i="2"/>
  <c r="PG432" i="2" s="1"/>
  <c r="MZ24" i="2"/>
  <c r="OX412" i="2" s="1"/>
  <c r="MZ31" i="2"/>
  <c r="OX419" i="2" s="1"/>
  <c r="NF34" i="2"/>
  <c r="PD422" i="2" s="1"/>
  <c r="ND39" i="2"/>
  <c r="PB427" i="2" s="1"/>
  <c r="NB42" i="2"/>
  <c r="OZ430" i="2" s="1"/>
  <c r="NK14" i="2"/>
  <c r="MZ20" i="2"/>
  <c r="OX408" i="2" s="1"/>
  <c r="NJ25" i="2"/>
  <c r="PH413" i="2" s="1"/>
  <c r="ND29" i="2"/>
  <c r="PB417" i="2" s="1"/>
  <c r="NK30" i="2"/>
  <c r="PI418" i="2" s="1"/>
  <c r="ND32" i="2"/>
  <c r="PB420" i="2" s="1"/>
  <c r="NL33" i="2"/>
  <c r="PJ421" i="2" s="1"/>
  <c r="NE35" i="2"/>
  <c r="PC423" i="2" s="1"/>
  <c r="NI37" i="2"/>
  <c r="PG425" i="2" s="1"/>
  <c r="NF41" i="2"/>
  <c r="PD429" i="2" s="1"/>
  <c r="NH44" i="2"/>
  <c r="PF432" i="2" s="1"/>
  <c r="NC43" i="2"/>
  <c r="PA431" i="2" s="1"/>
  <c r="NJ21" i="2"/>
  <c r="PH409" i="2" s="1"/>
  <c r="NB32" i="2"/>
  <c r="OZ420" i="2" s="1"/>
  <c r="NC38" i="2"/>
  <c r="PA426" i="2" s="1"/>
  <c r="MZ43" i="2"/>
  <c r="OX431" i="2" s="1"/>
  <c r="NL16" i="2"/>
  <c r="PJ404" i="2" s="1"/>
  <c r="NF21" i="2"/>
  <c r="PD409" i="2" s="1"/>
  <c r="MZ26" i="2"/>
  <c r="OX414" i="2" s="1"/>
  <c r="MZ29" i="2"/>
  <c r="OX417" i="2" s="1"/>
  <c r="NG30" i="2"/>
  <c r="PE418" i="2" s="1"/>
  <c r="MZ32" i="2"/>
  <c r="OX420" i="2" s="1"/>
  <c r="NH33" i="2"/>
  <c r="PF421" i="2" s="1"/>
  <c r="NA35" i="2"/>
  <c r="OY423" i="2" s="1"/>
  <c r="NH36" i="2"/>
  <c r="PF424" i="2" s="1"/>
  <c r="NB38" i="2"/>
  <c r="OZ426" i="2" s="1"/>
  <c r="NG39" i="2"/>
  <c r="PE427" i="2" s="1"/>
  <c r="NG41" i="2"/>
  <c r="PE429" i="2" s="1"/>
  <c r="MZ16" i="2"/>
  <c r="OX404" i="2" s="1"/>
  <c r="NC30" i="2"/>
  <c r="PA418" i="2" s="1"/>
  <c r="ND36" i="2"/>
  <c r="PB424" i="2" s="1"/>
  <c r="ND41" i="2"/>
  <c r="PB429" i="2" s="1"/>
  <c r="MY14" i="2"/>
  <c r="KS48" i="2" s="1"/>
  <c r="MN44" i="2"/>
  <c r="OL432" i="2" s="1"/>
  <c r="LZ42" i="2"/>
  <c r="ME39" i="2"/>
  <c r="OC427" i="2" s="1"/>
  <c r="MO35" i="2"/>
  <c r="OM423" i="2" s="1"/>
  <c r="MB30" i="2"/>
  <c r="NZ418" i="2" s="1"/>
  <c r="MG19" i="2"/>
  <c r="OE407" i="2" s="1"/>
  <c r="MP14" i="2"/>
  <c r="ON402" i="2" s="1"/>
  <c r="MH43" i="2"/>
  <c r="OF431" i="2" s="1"/>
  <c r="MM40" i="2"/>
  <c r="OK428" i="2" s="1"/>
  <c r="MR37" i="2"/>
  <c r="OP425" i="2" s="1"/>
  <c r="MS32" i="2"/>
  <c r="OQ420" i="2" s="1"/>
  <c r="MQ24" i="2"/>
  <c r="OO412" i="2" s="1"/>
  <c r="ME14" i="2"/>
  <c r="OC402" i="2" s="1"/>
  <c r="MU14" i="2"/>
  <c r="OS402" i="2" s="1"/>
  <c r="MF44" i="2"/>
  <c r="OD432" i="2" s="1"/>
  <c r="MT42" i="2"/>
  <c r="OR430" i="2" s="1"/>
  <c r="MK41" i="2"/>
  <c r="OI429" i="2" s="1"/>
  <c r="MB40" i="2"/>
  <c r="MP38" i="2"/>
  <c r="ON426" i="2" s="1"/>
  <c r="MG37" i="2"/>
  <c r="OE425" i="2" s="1"/>
  <c r="MN34" i="2"/>
  <c r="OL422" i="2" s="1"/>
  <c r="MS31" i="2"/>
  <c r="OQ419" i="2" s="1"/>
  <c r="MH28" i="2"/>
  <c r="OF416" i="2" s="1"/>
  <c r="MR22" i="2"/>
  <c r="OP410" i="2" s="1"/>
  <c r="ME17" i="2"/>
  <c r="OC405" i="2" s="1"/>
  <c r="MC14" i="2"/>
  <c r="OA402" i="2" s="1"/>
  <c r="MI44" i="2"/>
  <c r="OG432" i="2" s="1"/>
  <c r="MO41" i="2"/>
  <c r="OM429" i="2" s="1"/>
  <c r="MT38" i="2"/>
  <c r="OR426" i="2" s="1"/>
  <c r="NB23" i="2"/>
  <c r="OZ411" i="2" s="1"/>
  <c r="MY40" i="2"/>
  <c r="OW428" i="2" s="1"/>
  <c r="NJ14" i="2"/>
  <c r="NF39" i="2"/>
  <c r="PD427" i="2" s="1"/>
  <c r="NB43" i="2"/>
  <c r="OZ431" i="2" s="1"/>
  <c r="NC41" i="2"/>
  <c r="PA429" i="2" s="1"/>
  <c r="MZ14" i="2"/>
  <c r="NF27" i="2"/>
  <c r="PD415" i="2" s="1"/>
  <c r="NE31" i="2"/>
  <c r="PC419" i="2" s="1"/>
  <c r="MY36" i="2"/>
  <c r="OW424" i="2" s="1"/>
  <c r="NL39" i="2"/>
  <c r="PJ427" i="2" s="1"/>
  <c r="NJ42" i="2"/>
  <c r="PH430" i="2" s="1"/>
  <c r="NF15" i="2"/>
  <c r="PD403" i="2" s="1"/>
  <c r="NB21" i="2"/>
  <c r="OZ409" i="2" s="1"/>
  <c r="NL26" i="2"/>
  <c r="PJ414" i="2" s="1"/>
  <c r="NI29" i="2"/>
  <c r="PG417" i="2" s="1"/>
  <c r="NB31" i="2"/>
  <c r="OZ419" i="2" s="1"/>
  <c r="NJ32" i="2"/>
  <c r="PH420" i="2" s="1"/>
  <c r="NC34" i="2"/>
  <c r="PA422" i="2" s="1"/>
  <c r="NJ35" i="2"/>
  <c r="PH423" i="2" s="1"/>
  <c r="NK38" i="2"/>
  <c r="PI426" i="2" s="1"/>
  <c r="ND42" i="2"/>
  <c r="PB430" i="2" s="1"/>
  <c r="NE14" i="2"/>
  <c r="NE44" i="2"/>
  <c r="PC432" i="2" s="1"/>
  <c r="ND26" i="2"/>
  <c r="PB414" i="2" s="1"/>
  <c r="NI33" i="2"/>
  <c r="PG421" i="2" s="1"/>
  <c r="NH39" i="2"/>
  <c r="PF427" i="2" s="1"/>
  <c r="NB44" i="2"/>
  <c r="OZ432" i="2" s="1"/>
  <c r="MZ18" i="2"/>
  <c r="OX406" i="2" s="1"/>
  <c r="NH22" i="2"/>
  <c r="PF410" i="2" s="1"/>
  <c r="NB27" i="2"/>
  <c r="OZ415" i="2" s="1"/>
  <c r="NE29" i="2"/>
  <c r="PC417" i="2" s="1"/>
  <c r="NL30" i="2"/>
  <c r="PJ418" i="2" s="1"/>
  <c r="NF32" i="2"/>
  <c r="PD420" i="2" s="1"/>
  <c r="MY34" i="2"/>
  <c r="OW422" i="2" s="1"/>
  <c r="NF35" i="2"/>
  <c r="PD423" i="2" s="1"/>
  <c r="MZ37" i="2"/>
  <c r="OX425" i="2" s="1"/>
  <c r="NG38" i="2"/>
  <c r="PE426" i="2" s="1"/>
  <c r="NK39" i="2"/>
  <c r="PI427" i="2" s="1"/>
  <c r="NI42" i="2"/>
  <c r="PG430" i="2" s="1"/>
  <c r="NH20" i="2"/>
  <c r="PF408" i="2" s="1"/>
  <c r="NJ31" i="2"/>
  <c r="PH419" i="2" s="1"/>
  <c r="NF37" i="2"/>
  <c r="PD425" i="2" s="1"/>
  <c r="NF42" i="2"/>
  <c r="PD430" i="2" s="1"/>
  <c r="MG14" i="2"/>
  <c r="OE402" i="2" s="1"/>
  <c r="MB44" i="2"/>
  <c r="NZ432" i="2" s="1"/>
  <c r="MG41" i="2"/>
  <c r="OE429" i="2" s="1"/>
  <c r="ML38" i="2"/>
  <c r="OJ426" i="2" s="1"/>
  <c r="MF34" i="2"/>
  <c r="OD422" i="2" s="1"/>
  <c r="MO27" i="2"/>
  <c r="OM415" i="2" s="1"/>
  <c r="MU17" i="2"/>
  <c r="OS405" i="2" s="1"/>
  <c r="MU44" i="2"/>
  <c r="OS432" i="2" s="1"/>
  <c r="MO42" i="2"/>
  <c r="OM430" i="2" s="1"/>
  <c r="MT39" i="2"/>
  <c r="OR427" i="2" s="1"/>
  <c r="LZ37" i="2"/>
  <c r="MJ31" i="2"/>
  <c r="OH419" i="2" s="1"/>
  <c r="MV21" i="2"/>
  <c r="OT409" i="2" s="1"/>
  <c r="MI14" i="2"/>
  <c r="OG402" i="2" s="1"/>
  <c r="MT44" i="2"/>
  <c r="OR432" i="2" s="1"/>
  <c r="MU43" i="2"/>
  <c r="OS431" i="2" s="1"/>
  <c r="ML42" i="2"/>
  <c r="OJ430" i="2" s="1"/>
  <c r="MC41" i="2"/>
  <c r="MQ39" i="2"/>
  <c r="OO427" i="2" s="1"/>
  <c r="MH38" i="2"/>
  <c r="OF426" i="2" s="1"/>
  <c r="MP36" i="2"/>
  <c r="ON424" i="2" s="1"/>
  <c r="MU33" i="2"/>
  <c r="OS421" i="2" s="1"/>
  <c r="MC31" i="2"/>
  <c r="MV26" i="2"/>
  <c r="OT414" i="2" s="1"/>
  <c r="MI21" i="2"/>
  <c r="OG409" i="2" s="1"/>
  <c r="MK14" i="2"/>
  <c r="OI402" i="2" s="1"/>
  <c r="MQ43" i="2"/>
  <c r="OO431" i="2" s="1"/>
  <c r="ND23" i="2"/>
  <c r="PB411" i="2" s="1"/>
  <c r="NB34" i="2"/>
  <c r="OZ422" i="2" s="1"/>
  <c r="NE43" i="2"/>
  <c r="PC431" i="2" s="1"/>
  <c r="ND37" i="2"/>
  <c r="PB425" i="2" s="1"/>
  <c r="NB41" i="2"/>
  <c r="OZ429" i="2" s="1"/>
  <c r="NL44" i="2"/>
  <c r="PJ432" i="2" s="1"/>
  <c r="NG43" i="2"/>
  <c r="PE431" i="2" s="1"/>
  <c r="NF19" i="2"/>
  <c r="PD407" i="2" s="1"/>
  <c r="NL29" i="2"/>
  <c r="PJ417" i="2" s="1"/>
  <c r="MZ34" i="2"/>
  <c r="OX422" i="2" s="1"/>
  <c r="NL37" i="2"/>
  <c r="PJ425" i="2" s="1"/>
  <c r="NH41" i="2"/>
  <c r="PF429" i="2" s="1"/>
  <c r="NF44" i="2"/>
  <c r="PD432" i="2" s="1"/>
  <c r="NJ17" i="2"/>
  <c r="PH405" i="2" s="1"/>
  <c r="NH24" i="2"/>
  <c r="PF412" i="2" s="1"/>
  <c r="NL28" i="2"/>
  <c r="PJ416" i="2" s="1"/>
  <c r="NF30" i="2"/>
  <c r="PD418" i="2" s="1"/>
  <c r="MY32" i="2"/>
  <c r="OW420" i="2" s="1"/>
  <c r="NF33" i="2"/>
  <c r="PD421" i="2" s="1"/>
  <c r="MZ35" i="2"/>
  <c r="OX423" i="2" s="1"/>
  <c r="NG36" i="2"/>
  <c r="PE424" i="2" s="1"/>
  <c r="NH40" i="2"/>
  <c r="PF428" i="2" s="1"/>
  <c r="NJ43" i="2"/>
  <c r="PH431" i="2" s="1"/>
  <c r="NA42" i="2"/>
  <c r="OY430" i="2" s="1"/>
  <c r="NB17" i="2"/>
  <c r="OZ405" i="2" s="1"/>
  <c r="NH30" i="2"/>
  <c r="PF418" i="2" s="1"/>
  <c r="NJ36" i="2"/>
  <c r="PH424" i="2" s="1"/>
  <c r="NL41" i="2"/>
  <c r="PJ429" i="2" s="1"/>
  <c r="NJ15" i="2"/>
  <c r="PH403" i="2" s="1"/>
  <c r="ND20" i="2"/>
  <c r="PB408" i="2" s="1"/>
  <c r="NL24" i="2"/>
  <c r="PJ412" i="2" s="1"/>
  <c r="NH28" i="2"/>
  <c r="PF416" i="2" s="1"/>
  <c r="NB30" i="2"/>
  <c r="OZ418" i="2" s="1"/>
  <c r="NI31" i="2"/>
  <c r="PG419" i="2" s="1"/>
  <c r="NB33" i="2"/>
  <c r="OZ421" i="2" s="1"/>
  <c r="NJ34" i="2"/>
  <c r="PH422" i="2" s="1"/>
  <c r="NC36" i="2"/>
  <c r="PA424" i="2" s="1"/>
  <c r="NJ37" i="2"/>
  <c r="PH425" i="2" s="1"/>
  <c r="NC39" i="2"/>
  <c r="PA427" i="2" s="1"/>
  <c r="NE40" i="2"/>
  <c r="PC428" i="2" s="1"/>
  <c r="NL14" i="2"/>
  <c r="NJ28" i="2"/>
  <c r="PH416" i="2" s="1"/>
  <c r="NK34" i="2"/>
  <c r="PI422" i="2" s="1"/>
  <c r="NB40" i="2"/>
  <c r="OZ428" i="2" s="1"/>
  <c r="NJ44" i="2"/>
  <c r="PH432" i="2" s="1"/>
  <c r="MV44" i="2"/>
  <c r="OT432" i="2" s="1"/>
  <c r="MP42" i="2"/>
  <c r="ON430" i="2" s="1"/>
  <c r="MU39" i="2"/>
  <c r="OS427" i="2" s="1"/>
  <c r="MA37" i="2"/>
  <c r="NY425" i="2" s="1"/>
  <c r="MK31" i="2"/>
  <c r="OI419" i="2" s="1"/>
  <c r="MB22" i="2"/>
  <c r="NZ410" i="2" s="1"/>
  <c r="MH14" i="2"/>
  <c r="OF402" i="2" s="1"/>
  <c r="MA44" i="2"/>
  <c r="MF41" i="2"/>
  <c r="OD429" i="2" s="1"/>
  <c r="MK38" i="2"/>
  <c r="OI426" i="2" s="1"/>
  <c r="ME34" i="2"/>
  <c r="ML27" i="2"/>
  <c r="OJ415" i="2" s="1"/>
  <c r="MI16" i="2"/>
  <c r="MA14" i="2"/>
  <c r="NY402" i="2" s="1"/>
  <c r="MQ14" i="2"/>
  <c r="OO402" i="2" s="1"/>
  <c r="MK44" i="2"/>
  <c r="OI432" i="2" s="1"/>
  <c r="ME43" i="2"/>
  <c r="OC431" i="2" s="1"/>
  <c r="MS41" i="2"/>
  <c r="OQ429" i="2" s="1"/>
  <c r="MJ40" i="2"/>
  <c r="OH428" i="2" s="1"/>
  <c r="MA39" i="2"/>
  <c r="MO37" i="2"/>
  <c r="OM425" i="2" s="1"/>
  <c r="MG35" i="2"/>
  <c r="OE423" i="2" s="1"/>
  <c r="ML32" i="2"/>
  <c r="OJ420" i="2" s="1"/>
  <c r="MQ29" i="2"/>
  <c r="OO417" i="2" s="1"/>
  <c r="MD24" i="2"/>
  <c r="OB412" i="2" s="1"/>
  <c r="MN18" i="2"/>
  <c r="OL406" i="2" s="1"/>
  <c r="MR44" i="2"/>
  <c r="OP432" i="2" s="1"/>
  <c r="MH42" i="2"/>
  <c r="OF430" i="2" s="1"/>
  <c r="MM39" i="2"/>
  <c r="OK427" i="2" s="1"/>
  <c r="MH36" i="2"/>
  <c r="OF424" i="2" s="1"/>
  <c r="MR30" i="2"/>
  <c r="OP418" i="2" s="1"/>
  <c r="NA41" i="2"/>
  <c r="OY429" i="2" s="1"/>
  <c r="NE42" i="2"/>
  <c r="PC430" i="2" s="1"/>
  <c r="NA37" i="2"/>
  <c r="OY425" i="2" s="1"/>
  <c r="ND22" i="2"/>
  <c r="PB410" i="2" s="1"/>
  <c r="NA33" i="2"/>
  <c r="OY421" i="2" s="1"/>
  <c r="NL42" i="2"/>
  <c r="PJ430" i="2" s="1"/>
  <c r="NB35" i="2"/>
  <c r="OZ423" i="2" s="1"/>
  <c r="NJ23" i="2"/>
  <c r="PH411" i="2" s="1"/>
  <c r="NK32" i="2"/>
  <c r="PI420" i="2" s="1"/>
  <c r="NL38" i="2"/>
  <c r="PJ426" i="2" s="1"/>
  <c r="ND33" i="2"/>
  <c r="PB421" i="2" s="1"/>
  <c r="MS37" i="2"/>
  <c r="OQ425" i="2" s="1"/>
  <c r="MD39" i="2"/>
  <c r="OB427" i="2" s="1"/>
  <c r="MM14" i="2"/>
  <c r="OK402" i="2" s="1"/>
  <c r="MR40" i="2"/>
  <c r="OP428" i="2" s="1"/>
  <c r="ME33" i="2"/>
  <c r="OC421" i="2" s="1"/>
  <c r="MV40" i="2"/>
  <c r="OT428" i="2" s="1"/>
  <c r="MV34" i="2"/>
  <c r="OT422" i="2" s="1"/>
  <c r="MF26" i="2"/>
  <c r="OD414" i="2" s="1"/>
  <c r="MD14" i="2"/>
  <c r="OB402" i="2" s="1"/>
  <c r="MG44" i="2"/>
  <c r="OE432" i="2" s="1"/>
  <c r="MN41" i="2"/>
  <c r="OL429" i="2" s="1"/>
  <c r="MS38" i="2"/>
  <c r="OQ426" i="2" s="1"/>
  <c r="MU34" i="2"/>
  <c r="OS422" i="2" s="1"/>
  <c r="MU28" i="2"/>
  <c r="OS416" i="2" s="1"/>
  <c r="MR17" i="2"/>
  <c r="OP405" i="2" s="1"/>
  <c r="MN15" i="2"/>
  <c r="OL403" i="2" s="1"/>
  <c r="MG16" i="2"/>
  <c r="LZ17" i="2"/>
  <c r="MP17" i="2"/>
  <c r="ON405" i="2" s="1"/>
  <c r="MI18" i="2"/>
  <c r="OG406" i="2" s="1"/>
  <c r="MB19" i="2"/>
  <c r="NZ407" i="2" s="1"/>
  <c r="MR19" i="2"/>
  <c r="OP407" i="2" s="1"/>
  <c r="MK20" i="2"/>
  <c r="OI408" i="2" s="1"/>
  <c r="MD21" i="2"/>
  <c r="OB409" i="2" s="1"/>
  <c r="MT21" i="2"/>
  <c r="OR409" i="2" s="1"/>
  <c r="MM22" i="2"/>
  <c r="OK410" i="2" s="1"/>
  <c r="MF23" i="2"/>
  <c r="OD411" i="2" s="1"/>
  <c r="MV23" i="2"/>
  <c r="OT411" i="2" s="1"/>
  <c r="MO24" i="2"/>
  <c r="OM412" i="2" s="1"/>
  <c r="MH25" i="2"/>
  <c r="OF413" i="2" s="1"/>
  <c r="MA26" i="2"/>
  <c r="NY414" i="2" s="1"/>
  <c r="MQ26" i="2"/>
  <c r="OO414" i="2" s="1"/>
  <c r="MJ27" i="2"/>
  <c r="OH415" i="2" s="1"/>
  <c r="MC28" i="2"/>
  <c r="OA416" i="2" s="1"/>
  <c r="MS28" i="2"/>
  <c r="OQ416" i="2" s="1"/>
  <c r="ML29" i="2"/>
  <c r="OJ417" i="2" s="1"/>
  <c r="MI15" i="2"/>
  <c r="OG403" i="2" s="1"/>
  <c r="MB16" i="2"/>
  <c r="MR16" i="2"/>
  <c r="MK17" i="2"/>
  <c r="OI405" i="2" s="1"/>
  <c r="MD18" i="2"/>
  <c r="OB406" i="2" s="1"/>
  <c r="MT18" i="2"/>
  <c r="OR406" i="2" s="1"/>
  <c r="MM19" i="2"/>
  <c r="OK407" i="2" s="1"/>
  <c r="MF20" i="2"/>
  <c r="OD408" i="2" s="1"/>
  <c r="MV20" i="2"/>
  <c r="OT408" i="2" s="1"/>
  <c r="MO21" i="2"/>
  <c r="OM409" i="2" s="1"/>
  <c r="MH22" i="2"/>
  <c r="OF410" i="2" s="1"/>
  <c r="MA23" i="2"/>
  <c r="MQ23" i="2"/>
  <c r="OO411" i="2" s="1"/>
  <c r="MJ24" i="2"/>
  <c r="OH412" i="2" s="1"/>
  <c r="MC25" i="2"/>
  <c r="OA413" i="2" s="1"/>
  <c r="MS25" i="2"/>
  <c r="OQ413" i="2" s="1"/>
  <c r="ML26" i="2"/>
  <c r="OJ414" i="2" s="1"/>
  <c r="ME27" i="2"/>
  <c r="OC415" i="2" s="1"/>
  <c r="MU27" i="2"/>
  <c r="OS415" i="2" s="1"/>
  <c r="MN28" i="2"/>
  <c r="OL416" i="2" s="1"/>
  <c r="MG29" i="2"/>
  <c r="OE417" i="2" s="1"/>
  <c r="ML15" i="2"/>
  <c r="OJ403" i="2" s="1"/>
  <c r="MU16" i="2"/>
  <c r="MG18" i="2"/>
  <c r="OE406" i="2" s="1"/>
  <c r="MP19" i="2"/>
  <c r="ON407" i="2" s="1"/>
  <c r="MB21" i="2"/>
  <c r="NZ409" i="2" s="1"/>
  <c r="MK22" i="2"/>
  <c r="OI410" i="2" s="1"/>
  <c r="MT23" i="2"/>
  <c r="OR411" i="2" s="1"/>
  <c r="MF25" i="2"/>
  <c r="OD413" i="2" s="1"/>
  <c r="MO26" i="2"/>
  <c r="OM414" i="2" s="1"/>
  <c r="MA28" i="2"/>
  <c r="NB14" i="2"/>
  <c r="ND18" i="2"/>
  <c r="PB406" i="2" s="1"/>
  <c r="NF40" i="2"/>
  <c r="PD428" i="2" s="1"/>
  <c r="NG28" i="2"/>
  <c r="PE416" i="2" s="1"/>
  <c r="NH34" i="2"/>
  <c r="PF422" i="2" s="1"/>
  <c r="MY41" i="2"/>
  <c r="OW429" i="2" s="1"/>
  <c r="NJ40" i="2"/>
  <c r="PH428" i="2" s="1"/>
  <c r="NB28" i="2"/>
  <c r="OZ416" i="2" s="1"/>
  <c r="ND34" i="2"/>
  <c r="PB422" i="2" s="1"/>
  <c r="NA40" i="2"/>
  <c r="OY428" i="2" s="1"/>
  <c r="MZ39" i="2"/>
  <c r="OX427" i="2" s="1"/>
  <c r="MO14" i="2"/>
  <c r="OM402" i="2" s="1"/>
  <c r="MT32" i="2"/>
  <c r="OR420" i="2" s="1"/>
  <c r="LZ14" i="2"/>
  <c r="MN35" i="2"/>
  <c r="OL423" i="2" s="1"/>
  <c r="MP44" i="2"/>
  <c r="ON432" i="2" s="1"/>
  <c r="MI39" i="2"/>
  <c r="OG427" i="2" s="1"/>
  <c r="MJ30" i="2"/>
  <c r="OH418" i="2" s="1"/>
  <c r="MF40" i="2"/>
  <c r="OD428" i="2" s="1"/>
  <c r="MM33" i="2"/>
  <c r="OK421" i="2" s="1"/>
  <c r="MK23" i="2"/>
  <c r="OI411" i="2" s="1"/>
  <c r="ML14" i="2"/>
  <c r="OJ402" i="2" s="1"/>
  <c r="MP43" i="2"/>
  <c r="ON431" i="2" s="1"/>
  <c r="MU40" i="2"/>
  <c r="OS428" i="2" s="1"/>
  <c r="MC38" i="2"/>
  <c r="OA426" i="2" s="1"/>
  <c r="ML33" i="2"/>
  <c r="OJ421" i="2" s="1"/>
  <c r="MC26" i="2"/>
  <c r="OA414" i="2" s="1"/>
  <c r="MB15" i="2"/>
  <c r="NZ403" i="2" s="1"/>
  <c r="MR15" i="2"/>
  <c r="OP403" i="2" s="1"/>
  <c r="MK16" i="2"/>
  <c r="MD17" i="2"/>
  <c r="OB405" i="2" s="1"/>
  <c r="MT17" i="2"/>
  <c r="OR405" i="2" s="1"/>
  <c r="MM18" i="2"/>
  <c r="OK406" i="2" s="1"/>
  <c r="MF19" i="2"/>
  <c r="OD407" i="2" s="1"/>
  <c r="MV19" i="2"/>
  <c r="OT407" i="2" s="1"/>
  <c r="MO20" i="2"/>
  <c r="OM408" i="2" s="1"/>
  <c r="MH21" i="2"/>
  <c r="OF409" i="2" s="1"/>
  <c r="MA22" i="2"/>
  <c r="MQ22" i="2"/>
  <c r="OO410" i="2" s="1"/>
  <c r="MJ23" i="2"/>
  <c r="OH411" i="2" s="1"/>
  <c r="MC24" i="2"/>
  <c r="OA412" i="2" s="1"/>
  <c r="MS24" i="2"/>
  <c r="OQ412" i="2" s="1"/>
  <c r="ML25" i="2"/>
  <c r="OJ413" i="2" s="1"/>
  <c r="ME26" i="2"/>
  <c r="OC414" i="2" s="1"/>
  <c r="MU26" i="2"/>
  <c r="OS414" i="2" s="1"/>
  <c r="MN27" i="2"/>
  <c r="OL415" i="2" s="1"/>
  <c r="MG28" i="2"/>
  <c r="OE416" i="2" s="1"/>
  <c r="LZ29" i="2"/>
  <c r="MP29" i="2"/>
  <c r="ON417" i="2" s="1"/>
  <c r="MM15" i="2"/>
  <c r="OK403" i="2" s="1"/>
  <c r="MF16" i="2"/>
  <c r="MV16" i="2"/>
  <c r="MO17" i="2"/>
  <c r="OM405" i="2" s="1"/>
  <c r="MH18" i="2"/>
  <c r="OF406" i="2" s="1"/>
  <c r="MA19" i="2"/>
  <c r="NY407" i="2" s="1"/>
  <c r="MQ19" i="2"/>
  <c r="OO407" i="2" s="1"/>
  <c r="MJ20" i="2"/>
  <c r="OH408" i="2" s="1"/>
  <c r="MC21" i="2"/>
  <c r="OA409" i="2" s="1"/>
  <c r="MS21" i="2"/>
  <c r="OQ409" i="2" s="1"/>
  <c r="ML22" i="2"/>
  <c r="OJ410" i="2" s="1"/>
  <c r="ME23" i="2"/>
  <c r="OC411" i="2" s="1"/>
  <c r="MU23" i="2"/>
  <c r="OS411" i="2" s="1"/>
  <c r="MN24" i="2"/>
  <c r="OL412" i="2" s="1"/>
  <c r="MG25" i="2"/>
  <c r="OE413" i="2" s="1"/>
  <c r="LZ26" i="2"/>
  <c r="MP26" i="2"/>
  <c r="ON414" i="2" s="1"/>
  <c r="MI27" i="2"/>
  <c r="OG415" i="2" s="1"/>
  <c r="MB28" i="2"/>
  <c r="NZ416" i="2" s="1"/>
  <c r="MR28" i="2"/>
  <c r="OP416" i="2" s="1"/>
  <c r="MK29" i="2"/>
  <c r="OI417" i="2" s="1"/>
  <c r="MT15" i="2"/>
  <c r="OR403" i="2" s="1"/>
  <c r="MF17" i="2"/>
  <c r="OD405" i="2" s="1"/>
  <c r="MO18" i="2"/>
  <c r="OM406" i="2" s="1"/>
  <c r="MA20" i="2"/>
  <c r="NY408" i="2" s="1"/>
  <c r="MJ21" i="2"/>
  <c r="OH409" i="2" s="1"/>
  <c r="MS22" i="2"/>
  <c r="OQ410" i="2" s="1"/>
  <c r="ME24" i="2"/>
  <c r="OC412" i="2" s="1"/>
  <c r="MN25" i="2"/>
  <c r="OL413" i="2" s="1"/>
  <c r="LZ27" i="2"/>
  <c r="MI28" i="2"/>
  <c r="OG416" i="2" s="1"/>
  <c r="NH29" i="2"/>
  <c r="PF417" i="2" s="1"/>
  <c r="MZ44" i="2"/>
  <c r="OX432" i="2" s="1"/>
  <c r="NL32" i="2"/>
  <c r="PJ420" i="2" s="1"/>
  <c r="NH16" i="2"/>
  <c r="PF404" i="2" s="1"/>
  <c r="NH31" i="2"/>
  <c r="PF419" i="2" s="1"/>
  <c r="NJ39" i="2"/>
  <c r="PH427" i="2" s="1"/>
  <c r="NA29" i="2"/>
  <c r="OY417" i="2" s="1"/>
  <c r="NB19" i="2"/>
  <c r="OZ407" i="2" s="1"/>
  <c r="ND31" i="2"/>
  <c r="PB419" i="2" s="1"/>
  <c r="NE37" i="2"/>
  <c r="PC425" i="2" s="1"/>
  <c r="NB25" i="2"/>
  <c r="OZ413" i="2" s="1"/>
  <c r="MN40" i="2"/>
  <c r="OL428" i="2" s="1"/>
  <c r="MC15" i="2"/>
  <c r="OA403" i="2" s="1"/>
  <c r="MV41" i="2"/>
  <c r="OT429" i="2" s="1"/>
  <c r="MD19" i="2"/>
  <c r="OB407" i="2" s="1"/>
  <c r="MD42" i="2"/>
  <c r="OB430" i="2" s="1"/>
  <c r="LZ36" i="2"/>
  <c r="LZ20" i="2"/>
  <c r="MA43" i="2"/>
  <c r="NY431" i="2" s="1"/>
  <c r="MK37" i="2"/>
  <c r="OI425" i="2" s="1"/>
  <c r="MA29" i="2"/>
  <c r="NY417" i="2" s="1"/>
  <c r="ML16" i="2"/>
  <c r="MQ44" i="2"/>
  <c r="OO432" i="2" s="1"/>
  <c r="MG42" i="2"/>
  <c r="OE430" i="2" s="1"/>
  <c r="ML39" i="2"/>
  <c r="OJ427" i="2" s="1"/>
  <c r="MG36" i="2"/>
  <c r="OE424" i="2" s="1"/>
  <c r="MQ30" i="2"/>
  <c r="OO418" i="2" s="1"/>
  <c r="MM20" i="2"/>
  <c r="OK408" i="2" s="1"/>
  <c r="MJ15" i="2"/>
  <c r="OH403" i="2" s="1"/>
  <c r="MC16" i="2"/>
  <c r="MS16" i="2"/>
  <c r="ML17" i="2"/>
  <c r="OJ405" i="2" s="1"/>
  <c r="ME18" i="2"/>
  <c r="OC406" i="2" s="1"/>
  <c r="MU18" i="2"/>
  <c r="OS406" i="2" s="1"/>
  <c r="MN19" i="2"/>
  <c r="OL407" i="2" s="1"/>
  <c r="MG20" i="2"/>
  <c r="OE408" i="2" s="1"/>
  <c r="LZ21" i="2"/>
  <c r="MP21" i="2"/>
  <c r="ON409" i="2" s="1"/>
  <c r="MI22" i="2"/>
  <c r="OG410" i="2" s="1"/>
  <c r="MB23" i="2"/>
  <c r="NZ411" i="2" s="1"/>
  <c r="MR23" i="2"/>
  <c r="OP411" i="2" s="1"/>
  <c r="MK24" i="2"/>
  <c r="OI412" i="2" s="1"/>
  <c r="MD25" i="2"/>
  <c r="OB413" i="2" s="1"/>
  <c r="MT25" i="2"/>
  <c r="OR413" i="2" s="1"/>
  <c r="MM26" i="2"/>
  <c r="OK414" i="2" s="1"/>
  <c r="MF27" i="2"/>
  <c r="OD415" i="2" s="1"/>
  <c r="MV27" i="2"/>
  <c r="OT415" i="2" s="1"/>
  <c r="MO28" i="2"/>
  <c r="OM416" i="2" s="1"/>
  <c r="MH29" i="2"/>
  <c r="OF417" i="2" s="1"/>
  <c r="ME15" i="2"/>
  <c r="OC403" i="2" s="1"/>
  <c r="MU15" i="2"/>
  <c r="OS403" i="2" s="1"/>
  <c r="MN16" i="2"/>
  <c r="MG17" i="2"/>
  <c r="OE405" i="2" s="1"/>
  <c r="LZ18" i="2"/>
  <c r="MP18" i="2"/>
  <c r="ON406" i="2" s="1"/>
  <c r="MI19" i="2"/>
  <c r="OG407" i="2" s="1"/>
  <c r="MB20" i="2"/>
  <c r="NZ408" i="2" s="1"/>
  <c r="MR20" i="2"/>
  <c r="OP408" i="2" s="1"/>
  <c r="MK21" i="2"/>
  <c r="OI409" i="2" s="1"/>
  <c r="MD22" i="2"/>
  <c r="OB410" i="2" s="1"/>
  <c r="MT22" i="2"/>
  <c r="OR410" i="2" s="1"/>
  <c r="MM23" i="2"/>
  <c r="OK411" i="2" s="1"/>
  <c r="MF24" i="2"/>
  <c r="OD412" i="2" s="1"/>
  <c r="MV24" i="2"/>
  <c r="OT412" i="2" s="1"/>
  <c r="MO25" i="2"/>
  <c r="OM413" i="2" s="1"/>
  <c r="MH26" i="2"/>
  <c r="OF414" i="2" s="1"/>
  <c r="MA27" i="2"/>
  <c r="NY415" i="2" s="1"/>
  <c r="MQ27" i="2"/>
  <c r="OO415" i="2" s="1"/>
  <c r="MJ28" i="2"/>
  <c r="OH416" i="2" s="1"/>
  <c r="MC29" i="2"/>
  <c r="OA417" i="2" s="1"/>
  <c r="MD15" i="2"/>
  <c r="OB403" i="2" s="1"/>
  <c r="MM16" i="2"/>
  <c r="MV17" i="2"/>
  <c r="OT405" i="2" s="1"/>
  <c r="MH19" i="2"/>
  <c r="OF407" i="2" s="1"/>
  <c r="MQ20" i="2"/>
  <c r="OO408" i="2" s="1"/>
  <c r="MC22" i="2"/>
  <c r="OA410" i="2" s="1"/>
  <c r="ML23" i="2"/>
  <c r="OJ411" i="2" s="1"/>
  <c r="MU24" i="2"/>
  <c r="OS412" i="2" s="1"/>
  <c r="MG26" i="2"/>
  <c r="OE414" i="2" s="1"/>
  <c r="MP27" i="2"/>
  <c r="ON415" i="2" s="1"/>
  <c r="MB29" i="2"/>
  <c r="NZ417" i="2" s="1"/>
  <c r="MC30" i="2"/>
  <c r="OA418" i="2" s="1"/>
  <c r="MS30" i="2"/>
  <c r="OQ418" i="2" s="1"/>
  <c r="ML31" i="2"/>
  <c r="OJ419" i="2" s="1"/>
  <c r="ME32" i="2"/>
  <c r="OC420" i="2" s="1"/>
  <c r="UT14" i="2"/>
  <c r="XV400" i="2" s="1"/>
  <c r="UI18" i="2"/>
  <c r="XK404" i="2" s="1"/>
  <c r="VH16" i="2"/>
  <c r="YJ402" i="2" s="1"/>
  <c r="UL14" i="2"/>
  <c r="XN400" i="2" s="1"/>
  <c r="UT15" i="2"/>
  <c r="XV401" i="2" s="1"/>
  <c r="TS18" i="2"/>
  <c r="WU404" i="2" s="1"/>
  <c r="VJ14" i="2"/>
  <c r="YL400" i="2" s="1"/>
  <c r="UV38" i="2"/>
  <c r="XX424" i="2" s="1"/>
  <c r="UA36" i="2"/>
  <c r="XC422" i="2" s="1"/>
  <c r="UH14" i="2"/>
  <c r="XJ400" i="2" s="1"/>
  <c r="UX17" i="2"/>
  <c r="XZ403" i="2" s="1"/>
  <c r="VB14" i="2"/>
  <c r="YD400" i="2" s="1"/>
  <c r="UJ16" i="2"/>
  <c r="XL402" i="2" s="1"/>
  <c r="UY18" i="2"/>
  <c r="YA404" i="2" s="1"/>
  <c r="UJ15" i="2"/>
  <c r="XL401" i="2" s="1"/>
  <c r="UZ16" i="2"/>
  <c r="YB402" i="2" s="1"/>
  <c r="UO15" i="2"/>
  <c r="XQ401" i="2" s="1"/>
  <c r="TV14" i="2"/>
  <c r="WX400" i="2" s="1"/>
  <c r="TY15" i="2"/>
  <c r="XA401" i="2" s="1"/>
  <c r="VF17" i="2"/>
  <c r="YH403" i="2" s="1"/>
  <c r="UD14" i="2"/>
  <c r="XF400" i="2" s="1"/>
  <c r="UP17" i="2"/>
  <c r="XR403" i="2" s="1"/>
  <c r="VI15" i="2"/>
  <c r="YK401" i="2" s="1"/>
  <c r="TT15" i="2"/>
  <c r="WV401" i="2" s="1"/>
  <c r="TT16" i="2"/>
  <c r="WV402" i="2" s="1"/>
  <c r="UB16" i="2"/>
  <c r="XD402" i="2" s="1"/>
  <c r="VG14" i="2"/>
  <c r="YI400" i="2" s="1"/>
  <c r="UX14" i="2"/>
  <c r="XZ400" i="2" s="1"/>
  <c r="UQ18" i="2"/>
  <c r="XS404" i="2" s="1"/>
  <c r="MV33" i="2"/>
  <c r="OT421" i="2" s="1"/>
  <c r="MF33" i="2"/>
  <c r="OD421" i="2" s="1"/>
  <c r="MM32" i="2"/>
  <c r="OK420" i="2" s="1"/>
  <c r="MP31" i="2"/>
  <c r="ON419" i="2" s="1"/>
  <c r="MO30" i="2"/>
  <c r="OM418" i="2" s="1"/>
  <c r="MR29" i="2"/>
  <c r="OP417" i="2" s="1"/>
  <c r="MV25" i="2"/>
  <c r="OT413" i="2" s="1"/>
  <c r="MI20" i="2"/>
  <c r="OG408" i="2" s="1"/>
  <c r="MO29" i="2"/>
  <c r="OM417" i="2" s="1"/>
  <c r="MT26" i="2"/>
  <c r="OR414" i="2" s="1"/>
  <c r="MB24" i="2"/>
  <c r="MG21" i="2"/>
  <c r="OE409" i="2" s="1"/>
  <c r="ML18" i="2"/>
  <c r="OJ406" i="2" s="1"/>
  <c r="MQ15" i="2"/>
  <c r="OO403" i="2" s="1"/>
  <c r="MR27" i="2"/>
  <c r="OP415" i="2" s="1"/>
  <c r="LZ25" i="2"/>
  <c r="ME22" i="2"/>
  <c r="OC410" i="2" s="1"/>
  <c r="MJ19" i="2"/>
  <c r="OH407" i="2" s="1"/>
  <c r="MO16" i="2"/>
  <c r="MH23" i="2"/>
  <c r="OF411" i="2" s="1"/>
  <c r="LZ43" i="2"/>
  <c r="MP20" i="2"/>
  <c r="ON408" i="2" s="1"/>
  <c r="MM25" i="2"/>
  <c r="OK413" i="2" s="1"/>
  <c r="MA30" i="2"/>
  <c r="NH43" i="2"/>
  <c r="PF431" i="2" s="1"/>
  <c r="NG14" i="2"/>
  <c r="NL43" i="2"/>
  <c r="PJ431" i="2" s="1"/>
  <c r="MK34" i="2"/>
  <c r="OI422" i="2" s="1"/>
  <c r="MR33" i="2"/>
  <c r="OP421" i="2" s="1"/>
  <c r="MB33" i="2"/>
  <c r="MI32" i="2"/>
  <c r="OG420" i="2" s="1"/>
  <c r="MH31" i="2"/>
  <c r="OF419" i="2" s="1"/>
  <c r="MK30" i="2"/>
  <c r="OI418" i="2" s="1"/>
  <c r="MJ29" i="2"/>
  <c r="OH417" i="2" s="1"/>
  <c r="MM24" i="2"/>
  <c r="OK412" i="2" s="1"/>
  <c r="LZ19" i="2"/>
  <c r="MV28" i="2"/>
  <c r="OT416" i="2" s="1"/>
  <c r="MD26" i="2"/>
  <c r="OB414" i="2" s="1"/>
  <c r="MI23" i="2"/>
  <c r="OG411" i="2" s="1"/>
  <c r="MN20" i="2"/>
  <c r="OL408" i="2" s="1"/>
  <c r="MS17" i="2"/>
  <c r="OQ405" i="2" s="1"/>
  <c r="MA15" i="2"/>
  <c r="NY403" i="2" s="1"/>
  <c r="MB27" i="2"/>
  <c r="NZ415" i="2" s="1"/>
  <c r="MG24" i="2"/>
  <c r="OE412" i="2" s="1"/>
  <c r="ML21" i="2"/>
  <c r="OJ409" i="2" s="1"/>
  <c r="MQ18" i="2"/>
  <c r="OO406" i="2" s="1"/>
  <c r="MV15" i="2"/>
  <c r="OT403" i="2" s="1"/>
  <c r="MC32" i="2"/>
  <c r="OA420" i="2" s="1"/>
  <c r="MT14" i="2"/>
  <c r="OR402" i="2" s="1"/>
  <c r="MD32" i="2"/>
  <c r="OB420" i="2" s="1"/>
  <c r="LZ38" i="2"/>
  <c r="MM44" i="2"/>
  <c r="OK432" i="2" s="1"/>
  <c r="NK43" i="2"/>
  <c r="PI431" i="2" s="1"/>
  <c r="ND14" i="2"/>
  <c r="ND28" i="2"/>
  <c r="PB416" i="2" s="1"/>
  <c r="NE22" i="2"/>
  <c r="PC410" i="2" s="1"/>
  <c r="FP33" i="2"/>
  <c r="FR33" i="2" s="1"/>
  <c r="VN36" i="2"/>
  <c r="BE46" i="2"/>
  <c r="FP23" i="2"/>
  <c r="NK42" i="2"/>
  <c r="PI430" i="2" s="1"/>
  <c r="NJ38" i="2"/>
  <c r="PH426" i="2" s="1"/>
  <c r="NH32" i="2"/>
  <c r="PF420" i="2" s="1"/>
  <c r="NC28" i="2"/>
  <c r="PA416" i="2" s="1"/>
  <c r="NA36" i="2"/>
  <c r="OY424" i="2" s="1"/>
  <c r="NG44" i="2"/>
  <c r="PE432" i="2" s="1"/>
  <c r="NC42" i="2"/>
  <c r="PA430" i="2" s="1"/>
  <c r="NB37" i="2"/>
  <c r="OZ425" i="2" s="1"/>
  <c r="NA31" i="2"/>
  <c r="OY419" i="2" s="1"/>
  <c r="NG22" i="2"/>
  <c r="PE410" i="2" s="1"/>
  <c r="FP37" i="2"/>
  <c r="FR37" i="2" s="1"/>
  <c r="FP32" i="2"/>
  <c r="SG53" i="2"/>
  <c r="FQ32" i="2"/>
  <c r="FP30" i="2"/>
  <c r="NA27" i="2"/>
  <c r="OY415" i="2" s="1"/>
  <c r="MY18" i="2"/>
  <c r="OW406" i="2" s="1"/>
  <c r="NE30" i="2"/>
  <c r="PC418" i="2" s="1"/>
  <c r="NJ27" i="2"/>
  <c r="PH415" i="2" s="1"/>
  <c r="NI23" i="2"/>
  <c r="PG411" i="2" s="1"/>
  <c r="NJ26" i="2"/>
  <c r="PH414" i="2" s="1"/>
  <c r="FR40" i="2"/>
  <c r="MY26" i="2"/>
  <c r="OW414" i="2" s="1"/>
  <c r="NE21" i="2"/>
  <c r="PC409" i="2" s="1"/>
  <c r="NA17" i="2"/>
  <c r="OY405" i="2" s="1"/>
  <c r="MZ21" i="2"/>
  <c r="OX409" i="2" s="1"/>
  <c r="MY27" i="2"/>
  <c r="OW415" i="2" s="1"/>
  <c r="NH18" i="2"/>
  <c r="PF406" i="2" s="1"/>
  <c r="NK24" i="2"/>
  <c r="PI412" i="2" s="1"/>
  <c r="NC20" i="2"/>
  <c r="PA408" i="2" s="1"/>
  <c r="NL27" i="2"/>
  <c r="PJ415" i="2" s="1"/>
  <c r="ND15" i="2"/>
  <c r="PB403" i="2" s="1"/>
  <c r="FP27" i="2"/>
  <c r="NH25" i="2"/>
  <c r="PF413" i="2" s="1"/>
  <c r="NL19" i="2"/>
  <c r="PJ407" i="2" s="1"/>
  <c r="MY35" i="2"/>
  <c r="OW423" i="2" s="1"/>
  <c r="NI24" i="2"/>
  <c r="PG412" i="2" s="1"/>
  <c r="VN37" i="2"/>
  <c r="VN40" i="2"/>
  <c r="FP38" i="2"/>
  <c r="FP24" i="2"/>
  <c r="MY16" i="2"/>
  <c r="OW404" i="2" s="1"/>
  <c r="NF24" i="2"/>
  <c r="PD412" i="2" s="1"/>
  <c r="NF16" i="2"/>
  <c r="PD404" i="2" s="1"/>
  <c r="NG31" i="2"/>
  <c r="PE419" i="2" s="1"/>
  <c r="NJ18" i="2"/>
  <c r="PH406" i="2" s="1"/>
  <c r="NE38" i="2"/>
  <c r="PC426" i="2" s="1"/>
  <c r="NK33" i="2"/>
  <c r="PI421" i="2" s="1"/>
  <c r="NC29" i="2"/>
  <c r="PA417" i="2" s="1"/>
  <c r="NC21" i="2"/>
  <c r="PA409" i="2" s="1"/>
  <c r="NB22" i="2"/>
  <c r="OZ410" i="2" s="1"/>
  <c r="NH17" i="2"/>
  <c r="PF405" i="2" s="1"/>
  <c r="NC37" i="2"/>
  <c r="PA425" i="2" s="1"/>
  <c r="NI32" i="2"/>
  <c r="PG420" i="2" s="1"/>
  <c r="NA28" i="2"/>
  <c r="OY416" i="2" s="1"/>
  <c r="NA20" i="2"/>
  <c r="OY408" i="2" s="1"/>
  <c r="NK25" i="2"/>
  <c r="PI413" i="2" s="1"/>
  <c r="NK17" i="2"/>
  <c r="PI405" i="2" s="1"/>
  <c r="NG23" i="2"/>
  <c r="PE411" i="2" s="1"/>
  <c r="NM42" i="2"/>
  <c r="MZ28" i="2"/>
  <c r="OX416" i="2" s="1"/>
  <c r="NF23" i="2"/>
  <c r="PD411" i="2" s="1"/>
  <c r="NL18" i="2"/>
  <c r="PJ406" i="2" s="1"/>
  <c r="NC14" i="2"/>
  <c r="ND43" i="2"/>
  <c r="PB431" i="2" s="1"/>
  <c r="MZ41" i="2"/>
  <c r="OX429" i="2" s="1"/>
  <c r="NH38" i="2"/>
  <c r="PF426" i="2" s="1"/>
  <c r="NH35" i="2"/>
  <c r="PF423" i="2" s="1"/>
  <c r="NG32" i="2"/>
  <c r="PE420" i="2" s="1"/>
  <c r="NF29" i="2"/>
  <c r="PD417" i="2" s="1"/>
  <c r="NL22" i="2"/>
  <c r="PJ410" i="2" s="1"/>
  <c r="NH14" i="2"/>
  <c r="MY43" i="2"/>
  <c r="OW431" i="2" s="1"/>
  <c r="NI40" i="2"/>
  <c r="PG428" i="2" s="1"/>
  <c r="ND44" i="2"/>
  <c r="PB432" i="2" s="1"/>
  <c r="NH42" i="2"/>
  <c r="PF430" i="2" s="1"/>
  <c r="NL40" i="2"/>
  <c r="PJ428" i="2" s="1"/>
  <c r="NB39" i="2"/>
  <c r="OZ427" i="2" s="1"/>
  <c r="NL36" i="2"/>
  <c r="PJ424" i="2" s="1"/>
  <c r="NK44" i="2"/>
  <c r="PI432" i="2" s="1"/>
  <c r="NI43" i="2"/>
  <c r="PG431" i="2" s="1"/>
  <c r="NG42" i="2"/>
  <c r="PE430" i="2" s="1"/>
  <c r="NE41" i="2"/>
  <c r="PC429" i="2" s="1"/>
  <c r="NC40" i="2"/>
  <c r="PA428" i="2" s="1"/>
  <c r="NA39" i="2"/>
  <c r="OY427" i="2" s="1"/>
  <c r="NH37" i="2"/>
  <c r="PF425" i="2" s="1"/>
  <c r="MZ36" i="2"/>
  <c r="OX424" i="2" s="1"/>
  <c r="NG34" i="2"/>
  <c r="PE422" i="2" s="1"/>
  <c r="MZ33" i="2"/>
  <c r="OX421" i="2" s="1"/>
  <c r="NF31" i="2"/>
  <c r="PD419" i="2" s="1"/>
  <c r="MY30" i="2"/>
  <c r="NF28" i="2"/>
  <c r="PD416" i="2" s="1"/>
  <c r="ND24" i="2"/>
  <c r="PB412" i="2" s="1"/>
  <c r="NJ19" i="2"/>
  <c r="PH407" i="2" s="1"/>
  <c r="NB15" i="2"/>
  <c r="OZ403" i="2" s="1"/>
  <c r="NE27" i="2"/>
  <c r="PC415" i="2" s="1"/>
  <c r="NC26" i="2"/>
  <c r="PA414" i="2" s="1"/>
  <c r="NA25" i="2"/>
  <c r="OY413" i="2" s="1"/>
  <c r="MY24" i="2"/>
  <c r="OW412" i="2" s="1"/>
  <c r="NK22" i="2"/>
  <c r="PI410" i="2" s="1"/>
  <c r="NI21" i="2"/>
  <c r="PG409" i="2" s="1"/>
  <c r="NG20" i="2"/>
  <c r="PE408" i="2" s="1"/>
  <c r="NE19" i="2"/>
  <c r="PC407" i="2" s="1"/>
  <c r="NC18" i="2"/>
  <c r="PA406" i="2" s="1"/>
  <c r="NC16" i="2"/>
  <c r="PA404" i="2" s="1"/>
  <c r="NA15" i="2"/>
  <c r="OY403" i="2" s="1"/>
  <c r="MZ27" i="2"/>
  <c r="OX415" i="2" s="1"/>
  <c r="NL25" i="2"/>
  <c r="PJ413" i="2" s="1"/>
  <c r="NJ24" i="2"/>
  <c r="PH412" i="2" s="1"/>
  <c r="NH23" i="2"/>
  <c r="PF411" i="2" s="1"/>
  <c r="NF22" i="2"/>
  <c r="PD410" i="2" s="1"/>
  <c r="ND21" i="2"/>
  <c r="PB409" i="2" s="1"/>
  <c r="NB20" i="2"/>
  <c r="OZ408" i="2" s="1"/>
  <c r="MZ19" i="2"/>
  <c r="OX407" i="2" s="1"/>
  <c r="NL17" i="2"/>
  <c r="PJ405" i="2" s="1"/>
  <c r="NJ16" i="2"/>
  <c r="PH404" i="2" s="1"/>
  <c r="NH15" i="2"/>
  <c r="PF403" i="2" s="1"/>
  <c r="NI38" i="2"/>
  <c r="PG426" i="2" s="1"/>
  <c r="NG37" i="2"/>
  <c r="PE425" i="2" s="1"/>
  <c r="NE36" i="2"/>
  <c r="PC424" i="2" s="1"/>
  <c r="NC35" i="2"/>
  <c r="PA423" i="2" s="1"/>
  <c r="NA34" i="2"/>
  <c r="OY422" i="2" s="1"/>
  <c r="MY33" i="2"/>
  <c r="OW421" i="2" s="1"/>
  <c r="NK31" i="2"/>
  <c r="PI419" i="2" s="1"/>
  <c r="NI30" i="2"/>
  <c r="PG418" i="2" s="1"/>
  <c r="NG29" i="2"/>
  <c r="PE417" i="2" s="1"/>
  <c r="NE28" i="2"/>
  <c r="PC416" i="2" s="1"/>
  <c r="NC27" i="2"/>
  <c r="PA415" i="2" s="1"/>
  <c r="NA26" i="2"/>
  <c r="OY414" i="2" s="1"/>
  <c r="MY25" i="2"/>
  <c r="OW413" i="2" s="1"/>
  <c r="NK23" i="2"/>
  <c r="PI411" i="2" s="1"/>
  <c r="NI22" i="2"/>
  <c r="PG410" i="2" s="1"/>
  <c r="NG21" i="2"/>
  <c r="PE409" i="2" s="1"/>
  <c r="NE20" i="2"/>
  <c r="PC408" i="2" s="1"/>
  <c r="MY19" i="2"/>
  <c r="OW407" i="2" s="1"/>
  <c r="NM30" i="2"/>
  <c r="PK418" i="2" s="1"/>
  <c r="NA44" i="2"/>
  <c r="OY432" i="2" s="1"/>
  <c r="NK41" i="2"/>
  <c r="PI429" i="2" s="1"/>
  <c r="NI14" i="2"/>
  <c r="NF43" i="2"/>
  <c r="PD431" i="2" s="1"/>
  <c r="NJ41" i="2"/>
  <c r="PH429" i="2" s="1"/>
  <c r="MZ40" i="2"/>
  <c r="OX428" i="2" s="1"/>
  <c r="MZ38" i="2"/>
  <c r="OX426" i="2" s="1"/>
  <c r="NF14" i="2"/>
  <c r="NC44" i="2"/>
  <c r="PA432" i="2" s="1"/>
  <c r="NA43" i="2"/>
  <c r="OY431" i="2" s="1"/>
  <c r="MY42" i="2"/>
  <c r="OW430" i="2" s="1"/>
  <c r="NK40" i="2"/>
  <c r="PI428" i="2" s="1"/>
  <c r="NI39" i="2"/>
  <c r="PG427" i="2" s="1"/>
  <c r="ND38" i="2"/>
  <c r="PB426" i="2" s="1"/>
  <c r="NK36" i="2"/>
  <c r="PI424" i="2" s="1"/>
  <c r="ND35" i="2"/>
  <c r="PB423" i="2" s="1"/>
  <c r="NJ33" i="2"/>
  <c r="PH421" i="2" s="1"/>
  <c r="NC32" i="2"/>
  <c r="PA420" i="2" s="1"/>
  <c r="NJ30" i="2"/>
  <c r="PH418" i="2" s="1"/>
  <c r="NB29" i="2"/>
  <c r="OZ417" i="2" s="1"/>
  <c r="NH26" i="2"/>
  <c r="PF414" i="2" s="1"/>
  <c r="MZ22" i="2"/>
  <c r="OX410" i="2" s="1"/>
  <c r="NF17" i="2"/>
  <c r="PD405" i="2" s="1"/>
  <c r="MY28" i="2"/>
  <c r="OW416" i="2" s="1"/>
  <c r="NK26" i="2"/>
  <c r="PI414" i="2" s="1"/>
  <c r="NI25" i="2"/>
  <c r="PG413" i="2" s="1"/>
  <c r="NG24" i="2"/>
  <c r="PE412" i="2" s="1"/>
  <c r="NE23" i="2"/>
  <c r="PC411" i="2" s="1"/>
  <c r="NC22" i="2"/>
  <c r="PA410" i="2" s="1"/>
  <c r="NA21" i="2"/>
  <c r="OY409" i="2" s="1"/>
  <c r="MY20" i="2"/>
  <c r="OW408" i="2" s="1"/>
  <c r="NK18" i="2"/>
  <c r="PI406" i="2" s="1"/>
  <c r="NI17" i="2"/>
  <c r="PG405" i="2" s="1"/>
  <c r="NK16" i="2"/>
  <c r="PI404" i="2" s="1"/>
  <c r="NI15" i="2"/>
  <c r="PG403" i="2" s="1"/>
  <c r="NH27" i="2"/>
  <c r="PF415" i="2" s="1"/>
  <c r="NF26" i="2"/>
  <c r="PD414" i="2" s="1"/>
  <c r="ND25" i="2"/>
  <c r="PB413" i="2" s="1"/>
  <c r="NB24" i="2"/>
  <c r="OZ412" i="2" s="1"/>
  <c r="MZ23" i="2"/>
  <c r="OX411" i="2" s="1"/>
  <c r="NL21" i="2"/>
  <c r="PJ409" i="2" s="1"/>
  <c r="NJ20" i="2"/>
  <c r="PH408" i="2" s="1"/>
  <c r="NH19" i="2"/>
  <c r="PF407" i="2" s="1"/>
  <c r="NF18" i="2"/>
  <c r="PD406" i="2" s="1"/>
  <c r="ND17" i="2"/>
  <c r="PB405" i="2" s="1"/>
  <c r="NB16" i="2"/>
  <c r="OZ404" i="2" s="1"/>
  <c r="MZ15" i="2"/>
  <c r="OX403" i="2" s="1"/>
  <c r="NA38" i="2"/>
  <c r="OY426" i="2" s="1"/>
  <c r="MY37" i="2"/>
  <c r="OW425" i="2" s="1"/>
  <c r="NK35" i="2"/>
  <c r="PI423" i="2" s="1"/>
  <c r="NI34" i="2"/>
  <c r="PG422" i="2" s="1"/>
  <c r="NG33" i="2"/>
  <c r="PE421" i="2" s="1"/>
  <c r="NE32" i="2"/>
  <c r="PC420" i="2" s="1"/>
  <c r="NC31" i="2"/>
  <c r="PA419" i="2" s="1"/>
  <c r="NA30" i="2"/>
  <c r="OY418" i="2" s="1"/>
  <c r="MY29" i="2"/>
  <c r="OW417" i="2" s="1"/>
  <c r="NK27" i="2"/>
  <c r="PI415" i="2" s="1"/>
  <c r="NI26" i="2"/>
  <c r="PG414" i="2" s="1"/>
  <c r="NG25" i="2"/>
  <c r="PE413" i="2" s="1"/>
  <c r="NE24" i="2"/>
  <c r="PC412" i="2" s="1"/>
  <c r="NC23" i="2"/>
  <c r="PA411" i="2" s="1"/>
  <c r="NA22" i="2"/>
  <c r="OY410" i="2" s="1"/>
  <c r="MY21" i="2"/>
  <c r="OW409" i="2" s="1"/>
  <c r="NK19" i="2"/>
  <c r="PI407" i="2" s="1"/>
  <c r="NI16" i="2"/>
  <c r="PG404" i="2" s="1"/>
  <c r="NI41" i="2"/>
  <c r="PG429" i="2" s="1"/>
  <c r="NG40" i="2"/>
  <c r="PE428" i="2" s="1"/>
  <c r="NE39" i="2"/>
  <c r="PC427" i="2" s="1"/>
  <c r="MY38" i="2"/>
  <c r="OW426" i="2" s="1"/>
  <c r="NF36" i="2"/>
  <c r="PD424" i="2" s="1"/>
  <c r="NL34" i="2"/>
  <c r="PJ422" i="2" s="1"/>
  <c r="NE33" i="2"/>
  <c r="PC421" i="2" s="1"/>
  <c r="NL31" i="2"/>
  <c r="PJ419" i="2" s="1"/>
  <c r="ND30" i="2"/>
  <c r="PB418" i="2" s="1"/>
  <c r="NK28" i="2"/>
  <c r="PI416" i="2" s="1"/>
  <c r="NF25" i="2"/>
  <c r="PD413" i="2" s="1"/>
  <c r="NL20" i="2"/>
  <c r="PJ408" i="2" s="1"/>
  <c r="ND16" i="2"/>
  <c r="PB404" i="2" s="1"/>
  <c r="NI27" i="2"/>
  <c r="PG415" i="2" s="1"/>
  <c r="NG26" i="2"/>
  <c r="PE414" i="2" s="1"/>
  <c r="NE25" i="2"/>
  <c r="PC413" i="2" s="1"/>
  <c r="NC24" i="2"/>
  <c r="PA412" i="2" s="1"/>
  <c r="NA23" i="2"/>
  <c r="OY411" i="2" s="1"/>
  <c r="MY22" i="2"/>
  <c r="OW410" i="2" s="1"/>
  <c r="NK20" i="2"/>
  <c r="PI408" i="2" s="1"/>
  <c r="NI19" i="2"/>
  <c r="PG407" i="2" s="1"/>
  <c r="NG18" i="2"/>
  <c r="PE406" i="2" s="1"/>
  <c r="NE17" i="2"/>
  <c r="PC405" i="2" s="1"/>
  <c r="NG16" i="2"/>
  <c r="PE404" i="2" s="1"/>
  <c r="NE15" i="2"/>
  <c r="PC403" i="2" s="1"/>
  <c r="ND27" i="2"/>
  <c r="PB415" i="2" s="1"/>
  <c r="NB26" i="2"/>
  <c r="OZ414" i="2" s="1"/>
  <c r="MZ25" i="2"/>
  <c r="OX413" i="2" s="1"/>
  <c r="NL23" i="2"/>
  <c r="PJ411" i="2" s="1"/>
  <c r="NJ22" i="2"/>
  <c r="PH410" i="2" s="1"/>
  <c r="NH21" i="2"/>
  <c r="PF409" i="2" s="1"/>
  <c r="NF20" i="2"/>
  <c r="PD408" i="2" s="1"/>
  <c r="ND19" i="2"/>
  <c r="PB407" i="2" s="1"/>
  <c r="NB18" i="2"/>
  <c r="OZ406" i="2" s="1"/>
  <c r="MZ17" i="2"/>
  <c r="OX405" i="2" s="1"/>
  <c r="NL15" i="2"/>
  <c r="PJ403" i="2" s="1"/>
  <c r="MY39" i="2"/>
  <c r="OW427" i="2" s="1"/>
  <c r="NK37" i="2"/>
  <c r="PI425" i="2" s="1"/>
  <c r="NI36" i="2"/>
  <c r="PG424" i="2" s="1"/>
  <c r="NG35" i="2"/>
  <c r="PE423" i="2" s="1"/>
  <c r="NE34" i="2"/>
  <c r="PC422" i="2" s="1"/>
  <c r="NC33" i="2"/>
  <c r="PA421" i="2" s="1"/>
  <c r="NA32" i="2"/>
  <c r="OY420" i="2" s="1"/>
  <c r="MY31" i="2"/>
  <c r="OW419" i="2" s="1"/>
  <c r="NK29" i="2"/>
  <c r="PI417" i="2" s="1"/>
  <c r="NI28" i="2"/>
  <c r="PG416" i="2" s="1"/>
  <c r="NG27" i="2"/>
  <c r="PE415" i="2" s="1"/>
  <c r="NE26" i="2"/>
  <c r="PC414" i="2" s="1"/>
  <c r="NC25" i="2"/>
  <c r="PA413" i="2" s="1"/>
  <c r="NA24" i="2"/>
  <c r="OY412" i="2" s="1"/>
  <c r="MY23" i="2"/>
  <c r="OW411" i="2" s="1"/>
  <c r="NK21" i="2"/>
  <c r="PI409" i="2" s="1"/>
  <c r="NI20" i="2"/>
  <c r="PG408" i="2" s="1"/>
  <c r="NG19" i="2"/>
  <c r="PE407" i="2" s="1"/>
  <c r="MY15" i="2"/>
  <c r="OW403" i="2" s="1"/>
  <c r="SM12" i="2"/>
  <c r="PK430" i="2"/>
  <c r="WX423" i="2"/>
  <c r="NI18" i="2"/>
  <c r="PG406" i="2" s="1"/>
  <c r="NE16" i="2"/>
  <c r="PC404" i="2" s="1"/>
  <c r="NM28" i="2"/>
  <c r="FR23" i="2"/>
  <c r="AO46" i="2"/>
  <c r="NG17" i="2"/>
  <c r="PE405" i="2" s="1"/>
  <c r="NM23" i="2"/>
  <c r="CI46" i="2"/>
  <c r="FP16" i="2"/>
  <c r="FQ19" i="2"/>
  <c r="FQ15" i="2"/>
  <c r="FP21" i="2"/>
  <c r="VN16" i="2"/>
  <c r="NE18" i="2"/>
  <c r="PC406" i="2" s="1"/>
  <c r="NC17" i="2"/>
  <c r="PA405" i="2" s="1"/>
  <c r="NA16" i="2"/>
  <c r="OY404" i="2" s="1"/>
  <c r="NM26" i="2"/>
  <c r="NM43" i="2"/>
  <c r="NC19" i="2"/>
  <c r="PA407" i="2" s="1"/>
  <c r="NA18" i="2"/>
  <c r="OY406" i="2" s="1"/>
  <c r="MY17" i="2"/>
  <c r="OW405" i="2" s="1"/>
  <c r="NC15" i="2"/>
  <c r="PA403" i="2" s="1"/>
  <c r="NM21" i="2"/>
  <c r="VN15" i="2"/>
  <c r="FP18" i="2"/>
  <c r="FP17" i="2"/>
  <c r="VN27" i="2"/>
  <c r="BD46" i="2"/>
  <c r="RI53" i="2"/>
  <c r="RI54" i="2" s="1"/>
  <c r="SB54" i="2"/>
  <c r="AY46" i="2"/>
  <c r="VN34" i="2"/>
  <c r="WY420" i="2"/>
  <c r="VN31" i="2"/>
  <c r="VN32" i="2"/>
  <c r="FR38" i="2"/>
  <c r="XN431" i="2"/>
  <c r="VN45" i="2"/>
  <c r="HN426" i="2"/>
  <c r="FP36" i="2"/>
  <c r="FR36" i="2" s="1"/>
  <c r="IK421" i="2"/>
  <c r="FQ31" i="2"/>
  <c r="HW413" i="2"/>
  <c r="BI45" i="2"/>
  <c r="XN408" i="2"/>
  <c r="VN22" i="2"/>
  <c r="VN43" i="2"/>
  <c r="BJ46" i="2"/>
  <c r="CG46" i="2"/>
  <c r="NK15" i="2"/>
  <c r="PI403" i="2" s="1"/>
  <c r="MS15" i="2"/>
  <c r="OQ403" i="2" s="1"/>
  <c r="NM18" i="2"/>
  <c r="NM37" i="2"/>
  <c r="NM31" i="2"/>
  <c r="NG15" i="2"/>
  <c r="PE403" i="2" s="1"/>
  <c r="LZ15" i="2"/>
  <c r="NM25" i="2"/>
  <c r="NM36" i="2"/>
  <c r="AM46" i="2"/>
  <c r="SA54" i="2"/>
  <c r="RF54" i="2"/>
  <c r="RU54" i="2"/>
  <c r="RZ54" i="2"/>
  <c r="RL54" i="2"/>
  <c r="FQ30" i="2"/>
  <c r="FR35" i="2"/>
  <c r="RS54" i="2"/>
  <c r="RG54" i="2"/>
  <c r="RV54" i="2"/>
  <c r="SI54" i="2"/>
  <c r="SD54" i="2"/>
  <c r="BC46" i="2"/>
  <c r="AS45" i="2"/>
  <c r="AS46" i="2" s="1"/>
  <c r="QX54" i="2"/>
  <c r="AN46" i="2"/>
  <c r="CB46" i="2"/>
  <c r="RC54" i="2"/>
  <c r="QR54" i="2"/>
  <c r="RY54" i="2"/>
  <c r="NM41" i="2"/>
  <c r="NM17" i="2"/>
  <c r="NM29" i="2"/>
  <c r="NM24" i="2"/>
  <c r="NM19" i="2"/>
  <c r="NM34" i="2"/>
  <c r="NM33" i="2"/>
  <c r="NM38" i="2"/>
  <c r="NM40" i="2"/>
  <c r="NM16" i="2"/>
  <c r="SF54" i="2"/>
  <c r="WT415" i="2"/>
  <c r="VN29" i="2"/>
  <c r="HN424" i="2"/>
  <c r="FP34" i="2"/>
  <c r="FR34" i="2" s="1"/>
  <c r="IM417" i="2"/>
  <c r="FQ27" i="2"/>
  <c r="FR27" i="2" s="1"/>
  <c r="AD46" i="2"/>
  <c r="IE406" i="2"/>
  <c r="BS46" i="2" s="1"/>
  <c r="FQ16" i="2"/>
  <c r="BZ46" i="2"/>
  <c r="QV54" i="2"/>
  <c r="AU46" i="2"/>
  <c r="AV46" i="2"/>
  <c r="AW46" i="2"/>
  <c r="FP31" i="2"/>
  <c r="GY421" i="2"/>
  <c r="AK46" i="2" s="1"/>
  <c r="GT410" i="2"/>
  <c r="FP20" i="2"/>
  <c r="XE419" i="2"/>
  <c r="RA54" i="2" s="1"/>
  <c r="VN33" i="2"/>
  <c r="XH424" i="2"/>
  <c r="VN38" i="2"/>
  <c r="RR54" i="2"/>
  <c r="RN54" i="2"/>
  <c r="BH46" i="2"/>
  <c r="IO411" i="2"/>
  <c r="FQ21" i="2"/>
  <c r="IK407" i="2"/>
  <c r="FQ17" i="2"/>
  <c r="WU407" i="2"/>
  <c r="QQ54" i="2" s="1"/>
  <c r="VN21" i="2"/>
  <c r="RQ54" i="2"/>
  <c r="VN18" i="2"/>
  <c r="VN30" i="2"/>
  <c r="JW49" i="2"/>
  <c r="RW54" i="2"/>
  <c r="RX54" i="2"/>
  <c r="RO54" i="2"/>
  <c r="BG46" i="2"/>
  <c r="AX46" i="2"/>
  <c r="BM46" i="2"/>
  <c r="FQ18" i="2"/>
  <c r="NM22" i="2"/>
  <c r="NM44" i="2"/>
  <c r="NM32" i="2"/>
  <c r="NM39" i="2"/>
  <c r="NM27" i="2"/>
  <c r="NM14" i="2"/>
  <c r="NM20" i="2"/>
  <c r="NM35" i="2"/>
  <c r="NM15" i="2"/>
  <c r="BF46" i="2"/>
  <c r="CD46" i="2"/>
  <c r="XF414" i="2"/>
  <c r="VN28" i="2"/>
  <c r="WT410" i="2"/>
  <c r="VN24" i="2"/>
  <c r="AT46" i="2"/>
  <c r="WY406" i="2"/>
  <c r="VN20" i="2"/>
  <c r="SH54" i="2"/>
  <c r="RB54" i="2"/>
  <c r="QS54" i="2"/>
  <c r="RH54" i="2"/>
  <c r="GU419" i="2"/>
  <c r="AG46" i="2" s="1"/>
  <c r="FP29" i="2"/>
  <c r="IK418" i="2"/>
  <c r="FQ28" i="2"/>
  <c r="ID416" i="2"/>
  <c r="FQ26" i="2"/>
  <c r="FP25" i="2"/>
  <c r="HF415" i="2"/>
  <c r="AR46" i="2" s="1"/>
  <c r="BU45" i="2"/>
  <c r="BU46" i="2" s="1"/>
  <c r="IG414" i="2"/>
  <c r="FQ24" i="2"/>
  <c r="GT412" i="2"/>
  <c r="FP22" i="2"/>
  <c r="WX405" i="2"/>
  <c r="QT54" i="2" s="1"/>
  <c r="VN19" i="2"/>
  <c r="SJ54" i="2"/>
  <c r="BN46" i="2"/>
  <c r="BK46" i="2"/>
  <c r="AE46" i="2"/>
  <c r="RE54" i="2"/>
  <c r="RK54" i="2"/>
  <c r="AH46" i="2"/>
  <c r="IR419" i="2"/>
  <c r="CF46" i="2" s="1"/>
  <c r="FQ29" i="2"/>
  <c r="XD411" i="2"/>
  <c r="QZ54" i="2" s="1"/>
  <c r="VN25" i="2"/>
  <c r="XH409" i="2"/>
  <c r="VN23" i="2"/>
  <c r="GQ413" i="2"/>
  <c r="AC45" i="2"/>
  <c r="IH412" i="2"/>
  <c r="BV46" i="2" s="1"/>
  <c r="FQ22" i="2"/>
  <c r="II410" i="2"/>
  <c r="BW46" i="2" s="1"/>
  <c r="FQ20" i="2"/>
  <c r="AJ46" i="2"/>
  <c r="SG54" i="2"/>
  <c r="QY54" i="2"/>
  <c r="SE54" i="2"/>
  <c r="RP54" i="2"/>
  <c r="HD418" i="2"/>
  <c r="AP46" i="2" s="1"/>
  <c r="FP28" i="2"/>
  <c r="VN26" i="2"/>
  <c r="WT412" i="2"/>
  <c r="GW416" i="2"/>
  <c r="AI46" i="2" s="1"/>
  <c r="FP26" i="2"/>
  <c r="FQ25" i="2"/>
  <c r="IM415" i="2"/>
  <c r="BB46" i="2"/>
  <c r="BL46" i="2"/>
  <c r="RT54" i="2"/>
  <c r="SC54" i="2"/>
  <c r="RM54" i="2"/>
  <c r="QW54" i="2"/>
  <c r="FP19" i="2"/>
  <c r="ID408" i="2"/>
  <c r="LH13" i="2"/>
  <c r="FP15" i="2" l="1"/>
  <c r="FR32" i="2"/>
  <c r="KA49" i="2"/>
  <c r="KM49" i="2"/>
  <c r="FR17" i="2"/>
  <c r="FR24" i="2"/>
  <c r="FR16" i="2"/>
  <c r="RD54" i="2"/>
  <c r="VN14" i="2"/>
  <c r="VN17" i="2"/>
  <c r="ON404" i="2"/>
  <c r="KI48" i="2"/>
  <c r="KI49" i="2" s="1"/>
  <c r="JS48" i="2"/>
  <c r="NX404" i="2"/>
  <c r="JX48" i="2"/>
  <c r="OC404" i="2"/>
  <c r="KC48" i="2"/>
  <c r="KC49" i="2" s="1"/>
  <c r="OH404" i="2"/>
  <c r="NX426" i="2"/>
  <c r="NN38" i="2"/>
  <c r="OM404" i="2"/>
  <c r="KH48" i="2"/>
  <c r="NZ412" i="2"/>
  <c r="NN24" i="2"/>
  <c r="NX409" i="2"/>
  <c r="NN21" i="2"/>
  <c r="NX424" i="2"/>
  <c r="NN36" i="2"/>
  <c r="NX414" i="2"/>
  <c r="NN26" i="2"/>
  <c r="OZ402" i="2"/>
  <c r="KV48" i="2"/>
  <c r="NY411" i="2"/>
  <c r="NN23" i="2"/>
  <c r="OA429" i="2"/>
  <c r="NN41" i="2"/>
  <c r="AF46" i="2"/>
  <c r="PB402" i="2"/>
  <c r="KX48" i="2"/>
  <c r="NZ421" i="2"/>
  <c r="NN33" i="2"/>
  <c r="PE402" i="2"/>
  <c r="LA48" i="2"/>
  <c r="OK404" i="2"/>
  <c r="KF48" i="2"/>
  <c r="OL404" i="2"/>
  <c r="KG48" i="2"/>
  <c r="KO48" i="2"/>
  <c r="OT404" i="2"/>
  <c r="NX417" i="2"/>
  <c r="NN29" i="2"/>
  <c r="NY416" i="2"/>
  <c r="NN28" i="2"/>
  <c r="KN48" i="2"/>
  <c r="OS404" i="2"/>
  <c r="OP404" i="2"/>
  <c r="KK48" i="2"/>
  <c r="KB48" i="2"/>
  <c r="OG404" i="2"/>
  <c r="NZ428" i="2"/>
  <c r="NN40" i="2"/>
  <c r="NX430" i="2"/>
  <c r="NN42" i="2"/>
  <c r="HE431" i="2"/>
  <c r="AQ46" i="2" s="1"/>
  <c r="FP41" i="2"/>
  <c r="FR41" i="2" s="1"/>
  <c r="IF404" i="2"/>
  <c r="BT46" i="2" s="1"/>
  <c r="FQ14" i="2"/>
  <c r="GZ429" i="2"/>
  <c r="AL46" i="2" s="1"/>
  <c r="FP39" i="2"/>
  <c r="FR39" i="2" s="1"/>
  <c r="NX431" i="2"/>
  <c r="NN43" i="2"/>
  <c r="KL48" i="2"/>
  <c r="OQ404" i="2"/>
  <c r="NX415" i="2"/>
  <c r="NN27" i="2"/>
  <c r="OD404" i="2"/>
  <c r="JY48" i="2"/>
  <c r="NN16" i="2"/>
  <c r="JU48" i="2"/>
  <c r="NZ404" i="2"/>
  <c r="NX405" i="2"/>
  <c r="NN17" i="2"/>
  <c r="NY427" i="2"/>
  <c r="NN39" i="2"/>
  <c r="NY432" i="2"/>
  <c r="NN44" i="2"/>
  <c r="PJ402" i="2"/>
  <c r="LF48" i="2"/>
  <c r="LF49" i="2" s="1"/>
  <c r="OY402" i="2"/>
  <c r="KU48" i="2"/>
  <c r="GQ404" i="2"/>
  <c r="AC46" i="2" s="1"/>
  <c r="FP14" i="2"/>
  <c r="FR14" i="2" s="1"/>
  <c r="NY420" i="2"/>
  <c r="NN32" i="2"/>
  <c r="NX423" i="2"/>
  <c r="NN35" i="2"/>
  <c r="NX407" i="2"/>
  <c r="NN19" i="2"/>
  <c r="NY418" i="2"/>
  <c r="NN30" i="2"/>
  <c r="NX413" i="2"/>
  <c r="NN25" i="2"/>
  <c r="NX406" i="2"/>
  <c r="NN18" i="2"/>
  <c r="OA404" i="2"/>
  <c r="JV48" i="2"/>
  <c r="KE48" i="2"/>
  <c r="OJ404" i="2"/>
  <c r="NX408" i="2"/>
  <c r="NN20" i="2"/>
  <c r="NY410" i="2"/>
  <c r="NN22" i="2"/>
  <c r="OI404" i="2"/>
  <c r="KD48" i="2"/>
  <c r="NX402" i="2"/>
  <c r="NN14" i="2"/>
  <c r="JZ48" i="2"/>
  <c r="OE404" i="2"/>
  <c r="OC422" i="2"/>
  <c r="JX49" i="2" s="1"/>
  <c r="NN34" i="2"/>
  <c r="OA419" i="2"/>
  <c r="NN31" i="2"/>
  <c r="NX425" i="2"/>
  <c r="NN37" i="2"/>
  <c r="PC402" i="2"/>
  <c r="KY48" i="2"/>
  <c r="OX402" i="2"/>
  <c r="KT48" i="2"/>
  <c r="PH402" i="2"/>
  <c r="LD48" i="2"/>
  <c r="LD49" i="2" s="1"/>
  <c r="PI402" i="2"/>
  <c r="LE48" i="2"/>
  <c r="LE49" i="2" s="1"/>
  <c r="FR30" i="2"/>
  <c r="FR18" i="2"/>
  <c r="QU54" i="2"/>
  <c r="FR31" i="2"/>
  <c r="NO42" i="2"/>
  <c r="FR21" i="2"/>
  <c r="KV49" i="2"/>
  <c r="FR15" i="2"/>
  <c r="RJ54" i="2"/>
  <c r="PD402" i="2"/>
  <c r="KZ48" i="2"/>
  <c r="PF402" i="2"/>
  <c r="LB48" i="2"/>
  <c r="PA402" i="2"/>
  <c r="KW48" i="2"/>
  <c r="FR28" i="2"/>
  <c r="BR46" i="2"/>
  <c r="PG402" i="2"/>
  <c r="LC48" i="2"/>
  <c r="OW418" i="2"/>
  <c r="KS49" i="2" s="1"/>
  <c r="NO30" i="2"/>
  <c r="PK411" i="2"/>
  <c r="NO23" i="2"/>
  <c r="PK416" i="2"/>
  <c r="NO28" i="2"/>
  <c r="PK409" i="2"/>
  <c r="NO21" i="2"/>
  <c r="NO43" i="2"/>
  <c r="PK431" i="2"/>
  <c r="PK414" i="2"/>
  <c r="NO26" i="2"/>
  <c r="AZ46" i="2"/>
  <c r="PK424" i="2"/>
  <c r="NO36" i="2"/>
  <c r="PK419" i="2"/>
  <c r="NO31" i="2"/>
  <c r="BI46" i="2"/>
  <c r="PK413" i="2"/>
  <c r="NO25" i="2"/>
  <c r="PK425" i="2"/>
  <c r="NO37" i="2"/>
  <c r="NX403" i="2"/>
  <c r="JS49" i="2" s="1"/>
  <c r="NN15" i="2"/>
  <c r="PK406" i="2"/>
  <c r="NO18" i="2"/>
  <c r="PK426" i="2"/>
  <c r="NO38" i="2"/>
  <c r="PK412" i="2"/>
  <c r="NO24" i="2"/>
  <c r="PK421" i="2"/>
  <c r="NO33" i="2"/>
  <c r="PK417" i="2"/>
  <c r="NO29" i="2"/>
  <c r="PK404" i="2"/>
  <c r="NO16" i="2"/>
  <c r="PK422" i="2"/>
  <c r="NO34" i="2"/>
  <c r="PK405" i="2"/>
  <c r="NO17" i="2"/>
  <c r="PK428" i="2"/>
  <c r="NO40" i="2"/>
  <c r="PK407" i="2"/>
  <c r="NO19" i="2"/>
  <c r="PK429" i="2"/>
  <c r="NO41" i="2"/>
  <c r="PK432" i="2"/>
  <c r="NO44" i="2"/>
  <c r="PK403" i="2"/>
  <c r="NO15" i="2"/>
  <c r="PK415" i="2"/>
  <c r="NO27" i="2"/>
  <c r="PK410" i="2"/>
  <c r="NO22" i="2"/>
  <c r="FR26" i="2"/>
  <c r="PK423" i="2"/>
  <c r="NO35" i="2"/>
  <c r="PK427" i="2"/>
  <c r="NO39" i="2"/>
  <c r="PK402" i="2"/>
  <c r="LG48" i="2"/>
  <c r="NO14" i="2"/>
  <c r="PK408" i="2"/>
  <c r="NO20" i="2"/>
  <c r="NO32" i="2"/>
  <c r="PK420" i="2"/>
  <c r="FR20" i="2"/>
  <c r="D3" i="2"/>
  <c r="D6" i="2"/>
  <c r="FR25" i="2"/>
  <c r="FR19" i="2"/>
  <c r="D2" i="2"/>
  <c r="FR29" i="2"/>
  <c r="FR22" i="2"/>
  <c r="QP54" i="2"/>
  <c r="SM13" i="2" s="1"/>
  <c r="KB49" i="2" l="1"/>
  <c r="KN49" i="2"/>
  <c r="LA49" i="2"/>
  <c r="KX49" i="2"/>
  <c r="KH49" i="2"/>
  <c r="JY49" i="2"/>
  <c r="KL49" i="2"/>
  <c r="KK49" i="2"/>
  <c r="KF49" i="2"/>
  <c r="KU49" i="2"/>
  <c r="KY49" i="2"/>
  <c r="JZ49" i="2"/>
  <c r="D4" i="2"/>
  <c r="KT49" i="2"/>
  <c r="JT49" i="2"/>
  <c r="KE49" i="2"/>
  <c r="JU49" i="2"/>
  <c r="KO49" i="2"/>
  <c r="KD49" i="2"/>
  <c r="JV49" i="2"/>
  <c r="KG49" i="2"/>
  <c r="LB49" i="2"/>
  <c r="LC49" i="2"/>
  <c r="KW49" i="2"/>
  <c r="KZ49" i="2"/>
  <c r="CJ12" i="2"/>
  <c r="AU8" i="2" s="1"/>
  <c r="LG49" i="2"/>
  <c r="D5" i="2"/>
  <c r="RN8" i="2"/>
  <c r="RH8" i="2"/>
  <c r="RI8" i="2"/>
  <c r="AP8" i="2" l="1"/>
  <c r="AQ8" i="2"/>
  <c r="LH12" i="2"/>
  <c r="KB8" i="2" s="1"/>
  <c r="KA8" i="2" l="1"/>
  <c r="KG8" i="2"/>
</calcChain>
</file>

<file path=xl/sharedStrings.xml><?xml version="1.0" encoding="utf-8"?>
<sst xmlns="http://schemas.openxmlformats.org/spreadsheetml/2006/main" count="13231" uniqueCount="429">
  <si>
    <t>DQB1*02:01</t>
  </si>
  <si>
    <t>S</t>
  </si>
  <si>
    <t>Y</t>
  </si>
  <si>
    <t>G</t>
  </si>
  <si>
    <t>M</t>
  </si>
  <si>
    <t>R</t>
  </si>
  <si>
    <t>L</t>
  </si>
  <si>
    <t>V</t>
  </si>
  <si>
    <t>F</t>
  </si>
  <si>
    <t>P</t>
  </si>
  <si>
    <t>A</t>
  </si>
  <si>
    <t>D</t>
  </si>
  <si>
    <t>I</t>
  </si>
  <si>
    <t>77R</t>
  </si>
  <si>
    <t>Q</t>
  </si>
  <si>
    <t>T</t>
  </si>
  <si>
    <t>DQB1*02:02</t>
  </si>
  <si>
    <t>DQB1*03:01</t>
  </si>
  <si>
    <t>45EV</t>
  </si>
  <si>
    <t>55PP</t>
  </si>
  <si>
    <t>E</t>
  </si>
  <si>
    <t>77T</t>
  </si>
  <si>
    <t>H</t>
  </si>
  <si>
    <t>DQB1*03:02</t>
  </si>
  <si>
    <t>45GV</t>
  </si>
  <si>
    <t>DQB1*03:03</t>
  </si>
  <si>
    <t>DQB1*04:01</t>
  </si>
  <si>
    <t>52PR</t>
  </si>
  <si>
    <t>DQB1*04:02</t>
  </si>
  <si>
    <t>DQB1*05:01</t>
  </si>
  <si>
    <t>56PV</t>
  </si>
  <si>
    <t>DQB1*05:02</t>
  </si>
  <si>
    <t>DQB1*06:01</t>
  </si>
  <si>
    <t>87F</t>
  </si>
  <si>
    <t>DQB1*06:02</t>
  </si>
  <si>
    <t>DQB1*06:03</t>
  </si>
  <si>
    <t>DQB1*06:04</t>
  </si>
  <si>
    <t>DQB1*06:09</t>
  </si>
  <si>
    <t>Ep</t>
  </si>
  <si>
    <t>+</t>
  </si>
  <si>
    <t>-</t>
  </si>
  <si>
    <t>±</t>
  </si>
  <si>
    <t>++</t>
  </si>
  <si>
    <t>*</t>
  </si>
  <si>
    <t>EpX</t>
  </si>
  <si>
    <t>EpZ</t>
  </si>
  <si>
    <t>EpY</t>
  </si>
  <si>
    <t>47KHL</t>
  </si>
  <si>
    <t>50LR</t>
  </si>
  <si>
    <t>25</t>
  </si>
  <si>
    <t>DQ2</t>
  </si>
  <si>
    <t>DQ4</t>
  </si>
  <si>
    <t>DQ5</t>
  </si>
  <si>
    <t>DQ6</t>
  </si>
  <si>
    <t>DQ7</t>
  </si>
  <si>
    <t>DQ8</t>
  </si>
  <si>
    <t>DQ9</t>
  </si>
  <si>
    <t>Cut-Of</t>
  </si>
  <si>
    <t>DQA1*02:01</t>
  </si>
  <si>
    <t>DQA1*03:01</t>
  </si>
  <si>
    <t>DQA1*04:01</t>
  </si>
  <si>
    <t>DQA1*05:01</t>
  </si>
  <si>
    <t>DQA1*03:03</t>
  </si>
  <si>
    <t>DQA1*01:01</t>
  </si>
  <si>
    <t>DQA1*01:02</t>
  </si>
  <si>
    <t>DQA1*01:03</t>
  </si>
  <si>
    <t>DQA1*05:03</t>
  </si>
  <si>
    <t>DQA1*05:05</t>
  </si>
  <si>
    <t>DQA1*06:01</t>
  </si>
  <si>
    <t>DQA1*03:02</t>
  </si>
  <si>
    <t>N° Dossier</t>
  </si>
  <si>
    <t>Nom</t>
  </si>
  <si>
    <t>Prenom</t>
  </si>
  <si>
    <t>Date</t>
  </si>
  <si>
    <t>Paul</t>
  </si>
  <si>
    <t>Peterou</t>
  </si>
  <si>
    <t>monique</t>
  </si>
  <si>
    <t>Bradley</t>
  </si>
  <si>
    <t>Maria Dolores</t>
  </si>
  <si>
    <t>EXTRAIRE</t>
  </si>
  <si>
    <t>DQB</t>
  </si>
  <si>
    <t>DRB1*01:01</t>
  </si>
  <si>
    <t>DR1</t>
  </si>
  <si>
    <t>DRB1*01:02</t>
  </si>
  <si>
    <t>DRB1*01:03</t>
  </si>
  <si>
    <t>DR103</t>
  </si>
  <si>
    <t>DRB1*03:01</t>
  </si>
  <si>
    <t>DR17</t>
  </si>
  <si>
    <t>DRB1*03:02</t>
  </si>
  <si>
    <t>DR18</t>
  </si>
  <si>
    <t>DRB1*04:01</t>
  </si>
  <si>
    <t>DR4</t>
  </si>
  <si>
    <t>DRB1*04:02</t>
  </si>
  <si>
    <t>DRB1*04:04</t>
  </si>
  <si>
    <t>DRB1*04:05</t>
  </si>
  <si>
    <t>DRB1*07:01</t>
  </si>
  <si>
    <t>DR7</t>
  </si>
  <si>
    <t>DRB1*04:03</t>
  </si>
  <si>
    <t>DRB1*08:01</t>
  </si>
  <si>
    <t>DR8</t>
  </si>
  <si>
    <t>DRB1*09:01</t>
  </si>
  <si>
    <t>DR9</t>
  </si>
  <si>
    <t>DRB1*09:02</t>
  </si>
  <si>
    <t>DRB1*10:01</t>
  </si>
  <si>
    <t>DR10</t>
  </si>
  <si>
    <t>DRB1*11:01</t>
  </si>
  <si>
    <t>DR11</t>
  </si>
  <si>
    <t>DRB1*11:04</t>
  </si>
  <si>
    <t>DRB1*12:01</t>
  </si>
  <si>
    <t>DR12</t>
  </si>
  <si>
    <t>DRB1*12:02</t>
  </si>
  <si>
    <t>DRB1*13:01</t>
  </si>
  <si>
    <t>DR13</t>
  </si>
  <si>
    <t>DRB1*13:03</t>
  </si>
  <si>
    <t>DRB1*14:01</t>
  </si>
  <si>
    <t>DR14</t>
  </si>
  <si>
    <t>DRB1*14:02</t>
  </si>
  <si>
    <t>DRB1*14:54</t>
  </si>
  <si>
    <t>DRB1*15:01</t>
  </si>
  <si>
    <t>DR15</t>
  </si>
  <si>
    <t>DRB1*15:02</t>
  </si>
  <si>
    <t>DRB1*15:03</t>
  </si>
  <si>
    <t>DRB1*16:01</t>
  </si>
  <si>
    <t>DR16</t>
  </si>
  <si>
    <t>DRB1*16:02</t>
  </si>
  <si>
    <t>DRB3*01:01</t>
  </si>
  <si>
    <t>DR52</t>
  </si>
  <si>
    <t>DRB3*02:02</t>
  </si>
  <si>
    <t>DRB3*03:01</t>
  </si>
  <si>
    <t>DRB4*01:01</t>
  </si>
  <si>
    <t>DR53</t>
  </si>
  <si>
    <t>DRB4*01:03</t>
  </si>
  <si>
    <t>DRB5*01:01</t>
  </si>
  <si>
    <t>DR51</t>
  </si>
  <si>
    <t>DRB5*02:02</t>
  </si>
  <si>
    <t>DPA1*01:03</t>
  </si>
  <si>
    <t>DPB1*01:01</t>
  </si>
  <si>
    <t>DP1</t>
  </si>
  <si>
    <t>DPA1*02:01</t>
  </si>
  <si>
    <t>DPB1*02:01</t>
  </si>
  <si>
    <t>DP2</t>
  </si>
  <si>
    <t>DPA1*02:02</t>
  </si>
  <si>
    <t>DPB1*05:01</t>
  </si>
  <si>
    <t>DP5</t>
  </si>
  <si>
    <t>DPB1*03:01</t>
  </si>
  <si>
    <t>DP3</t>
  </si>
  <si>
    <t>DPA1*01:05</t>
  </si>
  <si>
    <t>DPB1*04:01</t>
  </si>
  <si>
    <t>DP4</t>
  </si>
  <si>
    <t>DPB1*04:02</t>
  </si>
  <si>
    <t>DPB1*06:01</t>
  </si>
  <si>
    <t>DP6</t>
  </si>
  <si>
    <t>DPB1*09:01</t>
  </si>
  <si>
    <t>DP9</t>
  </si>
  <si>
    <t>DPB1*10:01</t>
  </si>
  <si>
    <t>DP10</t>
  </si>
  <si>
    <t>DPB1*11:01</t>
  </si>
  <si>
    <t>DP11</t>
  </si>
  <si>
    <t>DPB1*28:01</t>
  </si>
  <si>
    <t>DP28</t>
  </si>
  <si>
    <t>DPB1*13:01</t>
  </si>
  <si>
    <t>DP13</t>
  </si>
  <si>
    <t>DPA1*03:01</t>
  </si>
  <si>
    <t>DPB1*14:01</t>
  </si>
  <si>
    <t>DP14</t>
  </si>
  <si>
    <t>DPB1*15:01</t>
  </si>
  <si>
    <t>DP15</t>
  </si>
  <si>
    <t>DPB1*17:01</t>
  </si>
  <si>
    <t>DP17</t>
  </si>
  <si>
    <t>DPB1*18:01</t>
  </si>
  <si>
    <t>DP18</t>
  </si>
  <si>
    <t>DPA1*01:04</t>
  </si>
  <si>
    <t>DPB1*19:01</t>
  </si>
  <si>
    <t>DP19</t>
  </si>
  <si>
    <t>DPB1*20:01</t>
  </si>
  <si>
    <t>DP20</t>
  </si>
  <si>
    <t>DPB1*23:01</t>
  </si>
  <si>
    <t>DP23</t>
  </si>
  <si>
    <t>DPA1*04:01</t>
  </si>
  <si>
    <t>MFI</t>
  </si>
  <si>
    <t>DQA</t>
  </si>
  <si>
    <t>DPB</t>
  </si>
  <si>
    <t>DPA</t>
  </si>
  <si>
    <t>DRB</t>
  </si>
  <si>
    <t xml:space="preserve">56A </t>
  </si>
  <si>
    <t>K</t>
  </si>
  <si>
    <t>84DEAV</t>
  </si>
  <si>
    <t>96K</t>
  </si>
  <si>
    <t>35FV</t>
  </si>
  <si>
    <t>56E</t>
  </si>
  <si>
    <t>56EE</t>
  </si>
  <si>
    <t>85GPM</t>
  </si>
  <si>
    <t>57D</t>
  </si>
  <si>
    <t>50QA</t>
  </si>
  <si>
    <t>50RA</t>
  </si>
  <si>
    <t>4R</t>
  </si>
  <si>
    <t>W</t>
  </si>
  <si>
    <t>13FE</t>
  </si>
  <si>
    <t>25R</t>
  </si>
  <si>
    <t>C</t>
  </si>
  <si>
    <t>70QT</t>
  </si>
  <si>
    <t>73A</t>
  </si>
  <si>
    <t>96EV</t>
  </si>
  <si>
    <t>70D</t>
  </si>
  <si>
    <t>11STS</t>
  </si>
  <si>
    <t>N</t>
  </si>
  <si>
    <t>47F</t>
  </si>
  <si>
    <t>74R</t>
  </si>
  <si>
    <t>77N</t>
  </si>
  <si>
    <t>96HK</t>
  </si>
  <si>
    <t>37YV</t>
  </si>
  <si>
    <t>104A</t>
  </si>
  <si>
    <t>70DA</t>
  </si>
  <si>
    <t>4Q</t>
  </si>
  <si>
    <t>181M</t>
  </si>
  <si>
    <t>16Y</t>
  </si>
  <si>
    <t>57DE</t>
  </si>
  <si>
    <t>98Q</t>
  </si>
  <si>
    <t>108T</t>
  </si>
  <si>
    <t>Alpha</t>
  </si>
  <si>
    <t>Bêta</t>
  </si>
  <si>
    <t>ZZ</t>
  </si>
  <si>
    <t>DP</t>
  </si>
  <si>
    <t xml:space="preserve">DQ </t>
  </si>
  <si>
    <r>
      <t xml:space="preserve">allèle </t>
    </r>
    <r>
      <rPr>
        <b/>
        <sz val="14"/>
        <rFont val="Symbol"/>
        <family val="1"/>
        <charset val="2"/>
      </rPr>
      <t>a</t>
    </r>
  </si>
  <si>
    <r>
      <t xml:space="preserve">allèle </t>
    </r>
    <r>
      <rPr>
        <b/>
        <sz val="14"/>
        <rFont val="Times New Roman"/>
        <family val="1"/>
      </rPr>
      <t>β</t>
    </r>
  </si>
  <si>
    <t>Marie-Nicole</t>
  </si>
  <si>
    <t>N°</t>
  </si>
  <si>
    <t>11A31M</t>
  </si>
  <si>
    <t>11A31Q</t>
  </si>
  <si>
    <t>11M31Q</t>
  </si>
  <si>
    <t>11M31M</t>
  </si>
  <si>
    <t>11/31</t>
  </si>
  <si>
    <t>TRANSFERER MFI</t>
  </si>
  <si>
    <t>TE</t>
  </si>
  <si>
    <t>WE</t>
  </si>
  <si>
    <t>OW</t>
  </si>
  <si>
    <t>GO</t>
  </si>
  <si>
    <t>BER</t>
  </si>
  <si>
    <t>ONI</t>
  </si>
  <si>
    <t>Chaînes Bêta</t>
  </si>
  <si>
    <t>Chaînes Alpha</t>
  </si>
  <si>
    <t>?</t>
  </si>
  <si>
    <r>
      <t>45GE</t>
    </r>
    <r>
      <rPr>
        <vertAlign val="subscript"/>
        <sz val="14"/>
        <rFont val="Arial"/>
        <family val="2"/>
      </rPr>
      <t>3</t>
    </r>
  </si>
  <si>
    <r>
      <t>84QL</t>
    </r>
    <r>
      <rPr>
        <vertAlign val="subscript"/>
        <sz val="14"/>
        <rFont val="Arial"/>
        <family val="2"/>
      </rPr>
      <t>3</t>
    </r>
  </si>
  <si>
    <r>
      <t>140A</t>
    </r>
    <r>
      <rPr>
        <vertAlign val="subscript"/>
        <sz val="14"/>
        <rFont val="Arial"/>
        <family val="2"/>
      </rPr>
      <t>2</t>
    </r>
  </si>
  <si>
    <r>
      <t>47VY</t>
    </r>
    <r>
      <rPr>
        <vertAlign val="subscript"/>
        <sz val="14"/>
        <color theme="1"/>
        <rFont val="Arial"/>
        <family val="2"/>
      </rPr>
      <t>3</t>
    </r>
  </si>
  <si>
    <r>
      <t>52PL</t>
    </r>
    <r>
      <rPr>
        <vertAlign val="subscript"/>
        <sz val="14"/>
        <rFont val="Arial"/>
        <family val="2"/>
      </rPr>
      <t>3</t>
    </r>
  </si>
  <si>
    <r>
      <t>55RL</t>
    </r>
    <r>
      <rPr>
        <vertAlign val="subscript"/>
        <sz val="14"/>
        <rFont val="Arial"/>
        <family val="2"/>
      </rPr>
      <t>2</t>
    </r>
  </si>
  <si>
    <r>
      <t>74SV</t>
    </r>
    <r>
      <rPr>
        <vertAlign val="subscript"/>
        <sz val="14"/>
        <rFont val="Arial"/>
        <family val="2"/>
      </rPr>
      <t>2</t>
    </r>
  </si>
  <si>
    <r>
      <t>52PQ</t>
    </r>
    <r>
      <rPr>
        <vertAlign val="subscript"/>
        <sz val="14"/>
        <rFont val="Arial"/>
        <family val="2"/>
      </rPr>
      <t>2</t>
    </r>
  </si>
  <si>
    <r>
      <t>71SR</t>
    </r>
    <r>
      <rPr>
        <vertAlign val="subscript"/>
        <sz val="14"/>
        <rFont val="Arial"/>
        <family val="2"/>
      </rPr>
      <t>3</t>
    </r>
  </si>
  <si>
    <r>
      <t>47QL</t>
    </r>
    <r>
      <rPr>
        <vertAlign val="subscript"/>
        <sz val="14"/>
        <rFont val="Arial"/>
        <family val="2"/>
      </rPr>
      <t>4</t>
    </r>
  </si>
  <si>
    <r>
      <t>40GR</t>
    </r>
    <r>
      <rPr>
        <vertAlign val="subscript"/>
        <sz val="14"/>
        <rFont val="Arial"/>
        <family val="2"/>
      </rPr>
      <t>3</t>
    </r>
  </si>
  <si>
    <r>
      <t>75S</t>
    </r>
    <r>
      <rPr>
        <vertAlign val="subscript"/>
        <sz val="14"/>
        <rFont val="Arial"/>
        <family val="2"/>
      </rPr>
      <t>3</t>
    </r>
  </si>
  <si>
    <r>
      <t>96Y</t>
    </r>
    <r>
      <rPr>
        <vertAlign val="subscript"/>
        <sz val="14"/>
        <rFont val="Arial"/>
        <family val="2"/>
      </rPr>
      <t>2</t>
    </r>
  </si>
  <si>
    <r>
      <t>25Q</t>
    </r>
    <r>
      <rPr>
        <vertAlign val="subscript"/>
        <sz val="14"/>
        <rFont val="Arial"/>
        <family val="2"/>
      </rPr>
      <t>3</t>
    </r>
  </si>
  <si>
    <r>
      <t>40YD</t>
    </r>
    <r>
      <rPr>
        <vertAlign val="subscript"/>
        <sz val="14"/>
        <rFont val="Arial"/>
        <family val="2"/>
      </rPr>
      <t>2</t>
    </r>
  </si>
  <si>
    <r>
      <t>142M</t>
    </r>
    <r>
      <rPr>
        <vertAlign val="subscript"/>
        <sz val="14"/>
        <rFont val="Arial"/>
        <family val="2"/>
      </rPr>
      <t>2</t>
    </r>
  </si>
  <si>
    <r>
      <t>51R</t>
    </r>
    <r>
      <rPr>
        <vertAlign val="subscript"/>
        <sz val="14"/>
        <rFont val="Arial"/>
        <family val="2"/>
      </rPr>
      <t>2</t>
    </r>
  </si>
  <si>
    <r>
      <t>48Q</t>
    </r>
    <r>
      <rPr>
        <vertAlign val="subscript"/>
        <sz val="14"/>
        <rFont val="Arial"/>
        <family val="2"/>
      </rPr>
      <t>6</t>
    </r>
  </si>
  <si>
    <t>180VT</t>
  </si>
  <si>
    <t>Ep?</t>
  </si>
  <si>
    <t>DRB1*08:02</t>
  </si>
  <si>
    <t>DRB1*11:02</t>
  </si>
  <si>
    <t>DRB1*13:02</t>
  </si>
  <si>
    <r>
      <t>96Y</t>
    </r>
    <r>
      <rPr>
        <vertAlign val="subscript"/>
        <sz val="12"/>
        <rFont val="Calibri"/>
        <family val="2"/>
        <scheme val="minor"/>
      </rPr>
      <t>2</t>
    </r>
  </si>
  <si>
    <r>
      <t>25Q</t>
    </r>
    <r>
      <rPr>
        <vertAlign val="subscript"/>
        <sz val="12"/>
        <rFont val="Calibri"/>
        <family val="2"/>
        <scheme val="minor"/>
      </rPr>
      <t>3</t>
    </r>
  </si>
  <si>
    <r>
      <t>40YD</t>
    </r>
    <r>
      <rPr>
        <vertAlign val="subscript"/>
        <sz val="12"/>
        <rFont val="Calibri"/>
        <family val="2"/>
        <scheme val="minor"/>
      </rPr>
      <t>2</t>
    </r>
  </si>
  <si>
    <r>
      <t>142M</t>
    </r>
    <r>
      <rPr>
        <vertAlign val="subscript"/>
        <sz val="12"/>
        <rFont val="Calibri"/>
        <family val="2"/>
        <scheme val="minor"/>
      </rPr>
      <t>2</t>
    </r>
  </si>
  <si>
    <r>
      <t>51R</t>
    </r>
    <r>
      <rPr>
        <vertAlign val="subscript"/>
        <sz val="12"/>
        <rFont val="Calibri"/>
        <family val="2"/>
        <scheme val="minor"/>
      </rPr>
      <t>2</t>
    </r>
  </si>
  <si>
    <r>
      <t>48Q</t>
    </r>
    <r>
      <rPr>
        <vertAlign val="subscript"/>
        <sz val="12"/>
        <rFont val="Calibri"/>
        <family val="2"/>
        <scheme val="minor"/>
      </rPr>
      <t>6</t>
    </r>
  </si>
  <si>
    <t>Allèle immunisant</t>
  </si>
  <si>
    <t>SPAN Allélique</t>
  </si>
  <si>
    <t>DQB1*06:05</t>
  </si>
  <si>
    <t>RETOUR</t>
  </si>
  <si>
    <t>EPLET POTENTIEL</t>
  </si>
  <si>
    <t>180LT</t>
  </si>
  <si>
    <t>180MM</t>
  </si>
  <si>
    <t>180VM</t>
  </si>
  <si>
    <t>% d'élucidation =</t>
  </si>
  <si>
    <t xml:space="preserve">   %élucidation = </t>
  </si>
  <si>
    <t>% d'élucidation</t>
  </si>
  <si>
    <t>=</t>
  </si>
  <si>
    <t>PALA</t>
  </si>
  <si>
    <t>Rose</t>
  </si>
  <si>
    <t>ORC</t>
  </si>
  <si>
    <t>Jeremy</t>
  </si>
  <si>
    <t>cut-off</t>
  </si>
  <si>
    <t>actuels</t>
  </si>
  <si>
    <t>Eplet</t>
  </si>
  <si>
    <t>Alleles</t>
  </si>
  <si>
    <t>Unique Residues</t>
  </si>
  <si>
    <t xml:space="preserve"> DQB1*02</t>
  </si>
  <si>
    <t>28S,30S,37I,46E,47F,52L,55L,71K,74A</t>
  </si>
  <si>
    <t xml:space="preserve"> DQB1*03/04/05/06</t>
  </si>
  <si>
    <t>28T,46V,47Y,52P </t>
  </si>
  <si>
    <t xml:space="preserve"> DQB1*03/04</t>
  </si>
  <si>
    <t>53L,140T,182N</t>
  </si>
  <si>
    <t xml:space="preserve"> DQB1*05/06</t>
  </si>
  <si>
    <t>53Q,84E,85V,89G,90I</t>
  </si>
  <si>
    <t xml:space="preserve"> DQA1*04/05/06</t>
  </si>
  <si>
    <t>40G,47C,50V,51L,53Q</t>
  </si>
  <si>
    <t xml:space="preserve"> DQA1*05</t>
  </si>
  <si>
    <t>75S,107I,156L,161E,163S,175K</t>
  </si>
  <si>
    <t xml:space="preserve"> DQA1*03</t>
  </si>
  <si>
    <t>26S,47Q,56R,76V,187T</t>
  </si>
  <si>
    <t xml:space="preserve"> DQA1*01</t>
  </si>
  <si>
    <t xml:space="preserve">11C, 18F, 45A, 47R, 48W, 50E, 52S, 53K, 55G, 56G, 61G, 64R, 66M, 69A, 76M, 80Y and 175Q. </t>
  </si>
  <si>
    <t>DQA1*02/03/04/06</t>
  </si>
  <si>
    <t>11Y, 18S, 45V, 48L, 55G, 61F, 64T and 80S</t>
  </si>
  <si>
    <t>DQA1*01/02/03/04/06</t>
  </si>
  <si>
    <t>75I, 156F, 161D, 163I</t>
  </si>
  <si>
    <t>11G, 14K,25Q,30L</t>
  </si>
  <si>
    <t>18L,25W,26N,28I,41N,44L,48Q,81Y,180M,187Q</t>
  </si>
  <si>
    <t>33H, 180L</t>
  </si>
  <si>
    <t>13R,133L,142M</t>
  </si>
  <si>
    <r>
      <t>45GE</t>
    </r>
    <r>
      <rPr>
        <b/>
        <vertAlign val="subscript"/>
        <sz val="14"/>
        <rFont val="Arial"/>
        <family val="2"/>
      </rPr>
      <t>3</t>
    </r>
  </si>
  <si>
    <r>
      <t>84QL</t>
    </r>
    <r>
      <rPr>
        <b/>
        <vertAlign val="subscript"/>
        <sz val="14"/>
        <rFont val="Arial"/>
        <family val="2"/>
      </rPr>
      <t>3</t>
    </r>
  </si>
  <si>
    <r>
      <t>140A</t>
    </r>
    <r>
      <rPr>
        <b/>
        <vertAlign val="subscript"/>
        <sz val="14"/>
        <rFont val="Arial"/>
        <family val="2"/>
      </rPr>
      <t>2</t>
    </r>
  </si>
  <si>
    <r>
      <t>47QL</t>
    </r>
    <r>
      <rPr>
        <b/>
        <vertAlign val="subscript"/>
        <sz val="14"/>
        <rFont val="Arial"/>
        <family val="2"/>
      </rPr>
      <t>4</t>
    </r>
  </si>
  <si>
    <r>
      <t>40GR</t>
    </r>
    <r>
      <rPr>
        <b/>
        <vertAlign val="subscript"/>
        <sz val="14"/>
        <rFont val="Arial"/>
        <family val="2"/>
      </rPr>
      <t>3</t>
    </r>
  </si>
  <si>
    <r>
      <t>75S</t>
    </r>
    <r>
      <rPr>
        <b/>
        <vertAlign val="subscript"/>
        <sz val="14"/>
        <rFont val="Arial"/>
        <family val="2"/>
      </rPr>
      <t>3</t>
    </r>
  </si>
  <si>
    <r>
      <t>47VY</t>
    </r>
    <r>
      <rPr>
        <b/>
        <vertAlign val="subscript"/>
        <sz val="14"/>
        <color theme="1"/>
        <rFont val="Arial"/>
        <family val="2"/>
      </rPr>
      <t>3</t>
    </r>
  </si>
  <si>
    <r>
      <t>52PL</t>
    </r>
    <r>
      <rPr>
        <b/>
        <vertAlign val="subscript"/>
        <sz val="14"/>
        <rFont val="Arial"/>
        <family val="2"/>
      </rPr>
      <t>3</t>
    </r>
  </si>
  <si>
    <r>
      <t>55RL</t>
    </r>
    <r>
      <rPr>
        <b/>
        <vertAlign val="subscript"/>
        <sz val="14"/>
        <rFont val="Arial"/>
        <family val="2"/>
      </rPr>
      <t>2</t>
    </r>
  </si>
  <si>
    <r>
      <t>74SV</t>
    </r>
    <r>
      <rPr>
        <b/>
        <vertAlign val="subscript"/>
        <sz val="14"/>
        <rFont val="Arial"/>
        <family val="2"/>
      </rPr>
      <t>2</t>
    </r>
  </si>
  <si>
    <r>
      <t>52PQ</t>
    </r>
    <r>
      <rPr>
        <b/>
        <vertAlign val="subscript"/>
        <sz val="14"/>
        <rFont val="Arial"/>
        <family val="2"/>
      </rPr>
      <t>2</t>
    </r>
  </si>
  <si>
    <r>
      <t>71SR</t>
    </r>
    <r>
      <rPr>
        <b/>
        <vertAlign val="subscript"/>
        <sz val="14"/>
        <rFont val="Arial"/>
        <family val="2"/>
      </rPr>
      <t>3</t>
    </r>
  </si>
  <si>
    <r>
      <t>46VY</t>
    </r>
    <r>
      <rPr>
        <vertAlign val="subscript"/>
        <sz val="14"/>
        <rFont val="Arial"/>
        <family val="2"/>
      </rPr>
      <t>3</t>
    </r>
  </si>
  <si>
    <t>Chaines</t>
  </si>
  <si>
    <t>chaînes</t>
  </si>
  <si>
    <t>TRANSLATOR</t>
  </si>
  <si>
    <t>NE PAS MODIFIER CE TABLEAU</t>
  </si>
  <si>
    <t>COLLER LES VALEURS A EXTRAIRE CI-DESSOUS</t>
  </si>
  <si>
    <t>N° PRLVT</t>
  </si>
  <si>
    <t>DRB1*0101</t>
  </si>
  <si>
    <t>DRB1*0102</t>
  </si>
  <si>
    <t>DRB1*0103</t>
  </si>
  <si>
    <t>DRB1*0301</t>
  </si>
  <si>
    <t>DRB1*0302</t>
  </si>
  <si>
    <t>DRB1*0401</t>
  </si>
  <si>
    <t>DRB1*0402</t>
  </si>
  <si>
    <t>DRB1*0404</t>
  </si>
  <si>
    <t>DRB1*0405</t>
  </si>
  <si>
    <t>DRB1*0701</t>
  </si>
  <si>
    <t>DRB1*0403</t>
  </si>
  <si>
    <t>DRB1*0801</t>
  </si>
  <si>
    <t>DRB1*0901</t>
  </si>
  <si>
    <t>DRB1*0902</t>
  </si>
  <si>
    <t>DRB1*1001</t>
  </si>
  <si>
    <t>DRB1*1101</t>
  </si>
  <si>
    <t>DRB1*1104</t>
  </si>
  <si>
    <t>DRB1*1201</t>
  </si>
  <si>
    <t>DRB1*1202</t>
  </si>
  <si>
    <t>DRB1*1301</t>
  </si>
  <si>
    <t>DRB1*1303</t>
  </si>
  <si>
    <t>DRB1*1401</t>
  </si>
  <si>
    <t>DRB1*1402</t>
  </si>
  <si>
    <t>DRB1*1454</t>
  </si>
  <si>
    <t>DRB1*1501</t>
  </si>
  <si>
    <t>DRB1*1502</t>
  </si>
  <si>
    <t>DRB1*1503</t>
  </si>
  <si>
    <t>DRB1*1601</t>
  </si>
  <si>
    <t>DRB1*1602</t>
  </si>
  <si>
    <t>DRB3*0101</t>
  </si>
  <si>
    <t>DRB3*0202</t>
  </si>
  <si>
    <t>DRB3*0301</t>
  </si>
  <si>
    <t>DRB4*0101</t>
  </si>
  <si>
    <t>DRB4*0103</t>
  </si>
  <si>
    <t>DRB5*0101</t>
  </si>
  <si>
    <t>DRB5*0202</t>
  </si>
  <si>
    <t>DQA1*0201</t>
  </si>
  <si>
    <t>DQB1*0201</t>
  </si>
  <si>
    <t>DQA1*0301</t>
  </si>
  <si>
    <t>DQA1*0401</t>
  </si>
  <si>
    <t>DQA1*0501</t>
  </si>
  <si>
    <t>DQB1*0202</t>
  </si>
  <si>
    <t>DQB1*0401</t>
  </si>
  <si>
    <t>DQA1*0303</t>
  </si>
  <si>
    <t>DQB1*0402</t>
  </si>
  <si>
    <t>DQA1*0101</t>
  </si>
  <si>
    <t>DQB1*0501</t>
  </si>
  <si>
    <t>DQA1*0102</t>
  </si>
  <si>
    <t>DQB1*0502</t>
  </si>
  <si>
    <t>DQA1*0103</t>
  </si>
  <si>
    <t>DQB1*0601</t>
  </si>
  <si>
    <t>DQB1*0602</t>
  </si>
  <si>
    <t>DQB1*0603</t>
  </si>
  <si>
    <t>DQB1*0604</t>
  </si>
  <si>
    <t>DQB1*0609</t>
  </si>
  <si>
    <t>DQB1*0301</t>
  </si>
  <si>
    <t>DQA1*0503</t>
  </si>
  <si>
    <t>DQA1*0505</t>
  </si>
  <si>
    <t>DQA1*0601</t>
  </si>
  <si>
    <t>DQB1*0302</t>
  </si>
  <si>
    <t>DQA1*0302</t>
  </si>
  <si>
    <t>DQB1*0303</t>
  </si>
  <si>
    <t>DPA1*0103</t>
  </si>
  <si>
    <t>DPB1*0101</t>
  </si>
  <si>
    <t>DPA1*0201</t>
  </si>
  <si>
    <t>DPB1*0201</t>
  </si>
  <si>
    <t>DPA1*0202</t>
  </si>
  <si>
    <t>DPB1*0501</t>
  </si>
  <si>
    <t>DPB1*0301</t>
  </si>
  <si>
    <t>DPA1*0105</t>
  </si>
  <si>
    <t>DPB1*0401</t>
  </si>
  <si>
    <t>DPB1*0402</t>
  </si>
  <si>
    <t>DPB1*0601</t>
  </si>
  <si>
    <t>DPB1*0901</t>
  </si>
  <si>
    <t>DPB1*1001</t>
  </si>
  <si>
    <t>DPB1*1101</t>
  </si>
  <si>
    <t>DPB1*2801</t>
  </si>
  <si>
    <t>DPB1*1301</t>
  </si>
  <si>
    <t>DPA1*0301</t>
  </si>
  <si>
    <t>DPB1*1401</t>
  </si>
  <si>
    <t>DPB1*1501</t>
  </si>
  <si>
    <t>DPB1*1701</t>
  </si>
  <si>
    <t>DPB1*1801</t>
  </si>
  <si>
    <t>DPA1*0104</t>
  </si>
  <si>
    <t>DPB1*1901</t>
  </si>
  <si>
    <t>DPB1*2001</t>
  </si>
  <si>
    <t>DPB1*2301</t>
  </si>
  <si>
    <t>DPA1*0401</t>
  </si>
  <si>
    <t>0</t>
  </si>
  <si>
    <t>README</t>
  </si>
  <si>
    <t>D'abord</t>
  </si>
  <si>
    <t>Ensuite</t>
  </si>
  <si>
    <t>Après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</si>
</sst>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\ _€_-;\-* #,##0.00\ _€_-;_-* &quot;-&quot;??\ _€_-;_-@_-"/>
  </numFmts>
  <fonts count="66" x14ac:knownFonts="1"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sz val="14"/>
      <color theme="1"/>
      <name val="Arial"/>
      <family val="2"/>
    </font>
    <font>
      <sz val="14"/>
      <color theme="1"/>
      <name val="Arial"/>
      <family val="2"/>
    </font>
    <font>
      <sz val="14"/>
      <color theme="1"/>
      <name val="Arial"/>
      <family val="2"/>
    </font>
    <font>
      <sz val="14"/>
      <color theme="1"/>
      <name val="Arial"/>
      <family val="2"/>
    </font>
    <font>
      <sz val="14"/>
      <color theme="1"/>
      <name val="Arial"/>
      <family val="2"/>
    </font>
    <font>
      <b/>
      <sz val="12"/>
      <name val="Arial Narrow"/>
      <family val="2"/>
    </font>
    <font>
      <sz val="11"/>
      <color theme="1"/>
      <name val="Arial Narrow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Arial Narrow"/>
      <family val="2"/>
    </font>
    <font>
      <sz val="8"/>
      <name val="Arial"/>
      <family val="2"/>
    </font>
    <font>
      <sz val="14"/>
      <name val="Arial"/>
      <family val="2"/>
    </font>
    <font>
      <sz val="14"/>
      <color theme="1"/>
      <name val="Calibri"/>
      <family val="2"/>
      <scheme val="minor"/>
    </font>
    <font>
      <sz val="14"/>
      <color indexed="8"/>
      <name val="Arial"/>
      <family val="2"/>
    </font>
    <font>
      <b/>
      <sz val="14"/>
      <name val="Arial"/>
      <family val="2"/>
    </font>
    <font>
      <b/>
      <sz val="14"/>
      <name val="Symbol"/>
      <family val="1"/>
      <charset val="2"/>
    </font>
    <font>
      <b/>
      <sz val="14"/>
      <name val="Times New Roman"/>
      <family val="1"/>
    </font>
    <font>
      <sz val="14"/>
      <color theme="1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1"/>
      <color indexed="16"/>
      <name val="Calibri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2"/>
      <color theme="1"/>
      <name val="Arial"/>
      <family val="2"/>
    </font>
    <font>
      <vertAlign val="subscript"/>
      <sz val="14"/>
      <name val="Arial"/>
      <family val="2"/>
    </font>
    <font>
      <vertAlign val="subscript"/>
      <sz val="14"/>
      <color theme="1"/>
      <name val="Arial"/>
      <family val="2"/>
    </font>
    <font>
      <b/>
      <sz val="14"/>
      <color theme="1"/>
      <name val="Arial"/>
      <family val="2"/>
    </font>
    <font>
      <sz val="12"/>
      <name val="Calibri"/>
      <family val="2"/>
      <scheme val="minor"/>
    </font>
    <font>
      <vertAlign val="subscript"/>
      <sz val="12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4"/>
      <color theme="0" tint="-0.34998626667073579"/>
      <name val="Arial"/>
      <family val="2"/>
    </font>
    <font>
      <b/>
      <vertAlign val="subscript"/>
      <sz val="14"/>
      <name val="Arial"/>
      <family val="2"/>
    </font>
    <font>
      <b/>
      <vertAlign val="subscript"/>
      <sz val="14"/>
      <color theme="1"/>
      <name val="Arial"/>
      <family val="2"/>
    </font>
    <font>
      <sz val="14"/>
      <color rgb="FF333333"/>
      <name val="Arial"/>
      <family val="2"/>
    </font>
    <font>
      <b/>
      <sz val="11"/>
      <color rgb="FFFF0000"/>
      <name val="Calibri"/>
      <family val="2"/>
      <scheme val="minor"/>
    </font>
    <font>
      <sz val="14"/>
      <color indexed="64"/>
      <name val="Arial"/>
      <family val="2"/>
    </font>
    <font>
      <sz val="11"/>
      <color rgb="FF000000"/>
      <name val="Calibri"/>
    </font>
    <font>
      <b/>
      <sz val="1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1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39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55"/>
        <bgColor indexed="23"/>
      </patternFill>
    </fill>
    <fill>
      <patternFill patternType="solid">
        <fgColor indexed="9"/>
        <bgColor indexed="26"/>
      </patternFill>
    </fill>
    <fill>
      <patternFill patternType="solid">
        <fgColor indexed="16"/>
        <bgColor indexed="10"/>
      </patternFill>
    </fill>
    <fill>
      <patternFill patternType="solid">
        <fgColor indexed="54"/>
        <bgColor indexed="23"/>
      </patternFill>
    </fill>
    <fill>
      <patternFill patternType="solid">
        <fgColor indexed="53"/>
        <bgColor indexed="19"/>
      </patternFill>
    </fill>
    <fill>
      <patternFill patternType="solid">
        <fgColor rgb="FFFFFFFF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34998626667073579"/>
        <bgColor indexed="64"/>
      </patternFill>
    </fill>
  </fills>
  <borders count="7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ck">
        <color indexed="8"/>
      </left>
      <right style="thick">
        <color indexed="8"/>
      </right>
      <top style="thick">
        <color indexed="8"/>
      </top>
      <bottom/>
      <diagonal/>
    </border>
    <border>
      <left style="thick">
        <color indexed="8"/>
      </left>
      <right style="thick">
        <color indexed="8"/>
      </right>
      <top/>
      <bottom style="thick">
        <color indexed="8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ck">
        <color auto="1"/>
      </right>
      <top style="double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rgb="FFD9D9D9"/>
      </left>
      <right/>
      <top style="double">
        <color rgb="FFD9D9D9"/>
      </top>
      <bottom style="double">
        <color rgb="FFD9D9D9"/>
      </bottom>
      <diagonal/>
    </border>
    <border>
      <left/>
      <right style="double">
        <color rgb="FFD9D9D9"/>
      </right>
      <top style="double">
        <color rgb="FFD9D9D9"/>
      </top>
      <bottom style="double">
        <color rgb="FFD9D9D9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ck">
        <color auto="1"/>
      </left>
      <right/>
      <top style="double">
        <color auto="1"/>
      </top>
      <bottom style="thick">
        <color auto="1"/>
      </bottom>
      <diagonal/>
    </border>
    <border>
      <left/>
      <right style="thick">
        <color auto="1"/>
      </right>
      <top style="double">
        <color auto="1"/>
      </top>
      <bottom style="thick">
        <color auto="1"/>
      </bottom>
      <diagonal/>
    </border>
    <border>
      <left/>
      <right/>
      <top style="double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</borders>
  <cellStyleXfs count="38632">
    <xf numFmtId="0" fontId="0" fillId="0" borderId="0"/>
    <xf numFmtId="0" fontId="9" fillId="0" borderId="0">
      <alignment vertical="top"/>
    </xf>
    <xf numFmtId="0" fontId="10" fillId="0" borderId="0"/>
    <xf numFmtId="0" fontId="12" fillId="0" borderId="0">
      <alignment vertical="top"/>
    </xf>
    <xf numFmtId="0" fontId="10" fillId="0" borderId="0"/>
    <xf numFmtId="0" fontId="12" fillId="0" borderId="0">
      <alignment vertical="top"/>
    </xf>
    <xf numFmtId="0" fontId="12" fillId="0" borderId="0"/>
    <xf numFmtId="0" fontId="10" fillId="0" borderId="0"/>
    <xf numFmtId="0" fontId="12" fillId="0" borderId="0">
      <alignment vertical="top"/>
    </xf>
    <xf numFmtId="0" fontId="10" fillId="0" borderId="0"/>
    <xf numFmtId="0" fontId="10" fillId="0" borderId="0"/>
    <xf numFmtId="0" fontId="12" fillId="0" borderId="0"/>
    <xf numFmtId="0" fontId="23" fillId="0" borderId="0">
      <alignment vertical="top"/>
    </xf>
    <xf numFmtId="43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>
      <alignment vertical="top"/>
    </xf>
    <xf numFmtId="0" fontId="12" fillId="0" borderId="0">
      <alignment vertical="top"/>
    </xf>
    <xf numFmtId="9" fontId="12" fillId="0" borderId="0" applyFont="0" applyFill="0" applyBorder="0" applyAlignment="0" applyProtection="0"/>
    <xf numFmtId="0" fontId="9" fillId="0" borderId="0">
      <alignment vertical="top"/>
    </xf>
    <xf numFmtId="0" fontId="10" fillId="0" borderId="0"/>
    <xf numFmtId="0" fontId="24" fillId="0" borderId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9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3" borderId="0" applyNumberFormat="0" applyBorder="0" applyAlignment="0" applyProtection="0"/>
    <xf numFmtId="0" fontId="24" fillId="48" borderId="0" applyNumberFormat="0" applyBorder="0" applyAlignment="0" applyProtection="0"/>
    <xf numFmtId="0" fontId="24" fillId="51" borderId="0" applyNumberFormat="0" applyBorder="0" applyAlignment="0" applyProtection="0"/>
    <xf numFmtId="0" fontId="24" fillId="54" borderId="0" applyNumberFormat="0" applyBorder="0" applyAlignment="0" applyProtection="0"/>
    <xf numFmtId="0" fontId="25" fillId="55" borderId="0" applyNumberFormat="0" applyBorder="0" applyAlignment="0" applyProtection="0"/>
    <xf numFmtId="0" fontId="25" fillId="52" borderId="0" applyNumberFormat="0" applyBorder="0" applyAlignment="0" applyProtection="0"/>
    <xf numFmtId="0" fontId="25" fillId="53" borderId="0" applyNumberFormat="0" applyBorder="0" applyAlignment="0" applyProtection="0"/>
    <xf numFmtId="0" fontId="25" fillId="56" borderId="0" applyNumberFormat="0" applyBorder="0" applyAlignment="0" applyProtection="0"/>
    <xf numFmtId="0" fontId="25" fillId="57" borderId="0" applyNumberFormat="0" applyBorder="0" applyAlignment="0" applyProtection="0"/>
    <xf numFmtId="0" fontId="25" fillId="58" borderId="0" applyNumberFormat="0" applyBorder="0" applyAlignment="0" applyProtection="0"/>
    <xf numFmtId="0" fontId="25" fillId="59" borderId="0" applyNumberFormat="0" applyBorder="0" applyAlignment="0" applyProtection="0"/>
    <xf numFmtId="0" fontId="25" fillId="60" borderId="0" applyNumberFormat="0" applyBorder="0" applyAlignment="0" applyProtection="0"/>
    <xf numFmtId="0" fontId="25" fillId="61" borderId="0" applyNumberFormat="0" applyBorder="0" applyAlignment="0" applyProtection="0"/>
    <xf numFmtId="0" fontId="25" fillId="56" borderId="0" applyNumberFormat="0" applyBorder="0" applyAlignment="0" applyProtection="0"/>
    <xf numFmtId="0" fontId="25" fillId="57" borderId="0" applyNumberFormat="0" applyBorder="0" applyAlignment="0" applyProtection="0"/>
    <xf numFmtId="0" fontId="25" fillId="62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63" borderId="33" applyNumberFormat="0" applyAlignment="0" applyProtection="0"/>
    <xf numFmtId="0" fontId="28" fillId="0" borderId="34" applyNumberFormat="0" applyFill="0" applyAlignment="0" applyProtection="0"/>
    <xf numFmtId="0" fontId="24" fillId="64" borderId="35" applyNumberFormat="0" applyAlignment="0" applyProtection="0"/>
    <xf numFmtId="0" fontId="29" fillId="50" borderId="33" applyNumberFormat="0" applyAlignment="0" applyProtection="0"/>
    <xf numFmtId="0" fontId="30" fillId="46" borderId="0" applyNumberFormat="0" applyBorder="0" applyAlignment="0" applyProtection="0"/>
    <xf numFmtId="0" fontId="31" fillId="65" borderId="0" applyNumberFormat="0" applyBorder="0" applyAlignment="0" applyProtection="0"/>
    <xf numFmtId="0" fontId="32" fillId="47" borderId="0" applyNumberFormat="0" applyBorder="0" applyAlignment="0" applyProtection="0"/>
    <xf numFmtId="0" fontId="33" fillId="63" borderId="36" applyNumberFormat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37" applyNumberFormat="0" applyFill="0" applyAlignment="0" applyProtection="0"/>
    <xf numFmtId="0" fontId="37" fillId="0" borderId="38" applyNumberFormat="0" applyFill="0" applyAlignment="0" applyProtection="0"/>
    <xf numFmtId="0" fontId="38" fillId="0" borderId="39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40" applyNumberFormat="0" applyFill="0" applyAlignment="0" applyProtection="0"/>
    <xf numFmtId="0" fontId="40" fillId="66" borderId="41" applyNumberFormat="0" applyAlignment="0" applyProtection="0"/>
    <xf numFmtId="0" fontId="24" fillId="67" borderId="0" applyNumberFormat="0" applyBorder="0" applyAlignment="0" applyProtection="0"/>
    <xf numFmtId="0" fontId="24" fillId="50" borderId="0" applyNumberFormat="0" applyBorder="0" applyAlignment="0" applyProtection="0"/>
    <xf numFmtId="0" fontId="24" fillId="64" borderId="0" applyNumberFormat="0" applyBorder="0" applyAlignment="0" applyProtection="0"/>
    <xf numFmtId="0" fontId="24" fillId="67" borderId="0" applyNumberFormat="0" applyBorder="0" applyAlignment="0" applyProtection="0"/>
    <xf numFmtId="0" fontId="24" fillId="63" borderId="0" applyNumberFormat="0" applyBorder="0" applyAlignment="0" applyProtection="0"/>
    <xf numFmtId="0" fontId="24" fillId="65" borderId="0" applyNumberFormat="0" applyBorder="0" applyAlignment="0" applyProtection="0"/>
    <xf numFmtId="0" fontId="24" fillId="63" borderId="0" applyNumberFormat="0" applyBorder="0" applyAlignment="0" applyProtection="0"/>
    <xf numFmtId="0" fontId="24" fillId="50" borderId="0" applyNumberFormat="0" applyBorder="0" applyAlignment="0" applyProtection="0"/>
    <xf numFmtId="0" fontId="25" fillId="57" borderId="0" applyNumberFormat="0" applyBorder="0" applyAlignment="0" applyProtection="0"/>
    <xf numFmtId="0" fontId="25" fillId="65" borderId="0" applyNumberFormat="0" applyBorder="0" applyAlignment="0" applyProtection="0"/>
    <xf numFmtId="0" fontId="25" fillId="63" borderId="0" applyNumberFormat="0" applyBorder="0" applyAlignment="0" applyProtection="0"/>
    <xf numFmtId="0" fontId="25" fillId="50" borderId="0" applyNumberFormat="0" applyBorder="0" applyAlignment="0" applyProtection="0"/>
    <xf numFmtId="0" fontId="25" fillId="57" borderId="0" applyNumberFormat="0" applyBorder="0" applyAlignment="0" applyProtection="0"/>
    <xf numFmtId="0" fontId="25" fillId="68" borderId="0" applyNumberFormat="0" applyBorder="0" applyAlignment="0" applyProtection="0"/>
    <xf numFmtId="0" fontId="25" fillId="69" borderId="0" applyNumberFormat="0" applyBorder="0" applyAlignment="0" applyProtection="0"/>
    <xf numFmtId="0" fontId="25" fillId="70" borderId="0" applyNumberFormat="0" applyBorder="0" applyAlignment="0" applyProtection="0"/>
    <xf numFmtId="0" fontId="41" fillId="0" borderId="0" applyNumberFormat="0" applyFill="0" applyBorder="0" applyAlignment="0" applyProtection="0"/>
    <xf numFmtId="0" fontId="27" fillId="67" borderId="33" applyNumberFormat="0" applyAlignment="0" applyProtection="0"/>
    <xf numFmtId="0" fontId="12" fillId="64" borderId="35" applyNumberFormat="0" applyAlignment="0" applyProtection="0"/>
    <xf numFmtId="0" fontId="33" fillId="67" borderId="36" applyNumberFormat="0" applyAlignment="0" applyProtection="0"/>
    <xf numFmtId="0" fontId="42" fillId="0" borderId="0" applyNumberFormat="0" applyFill="0" applyBorder="0" applyAlignment="0" applyProtection="0"/>
    <xf numFmtId="0" fontId="43" fillId="0" borderId="42" applyNumberFormat="0" applyFill="0" applyAlignment="0" applyProtection="0"/>
    <xf numFmtId="0" fontId="44" fillId="0" borderId="38" applyNumberFormat="0" applyFill="0" applyAlignment="0" applyProtection="0"/>
    <xf numFmtId="0" fontId="45" fillId="0" borderId="43" applyNumberFormat="0" applyFill="0" applyAlignment="0" applyProtection="0"/>
    <xf numFmtId="0" fontId="45" fillId="0" borderId="0" applyNumberFormat="0" applyFill="0" applyBorder="0" applyAlignment="0" applyProtection="0"/>
    <xf numFmtId="0" fontId="39" fillId="0" borderId="44" applyNumberFormat="0" applyFill="0" applyAlignment="0" applyProtection="0"/>
    <xf numFmtId="0" fontId="12" fillId="0" borderId="0"/>
    <xf numFmtId="0" fontId="12" fillId="0" borderId="0"/>
    <xf numFmtId="0" fontId="12" fillId="0" borderId="0"/>
    <xf numFmtId="0" fontId="10" fillId="0" borderId="0"/>
    <xf numFmtId="0" fontId="12" fillId="0" borderId="0"/>
    <xf numFmtId="0" fontId="12" fillId="0" borderId="0">
      <alignment vertical="top"/>
    </xf>
    <xf numFmtId="0" fontId="10" fillId="0" borderId="0"/>
    <xf numFmtId="9" fontId="12" fillId="0" borderId="0" applyFont="0" applyFill="0" applyBorder="0" applyAlignment="0" applyProtection="0"/>
    <xf numFmtId="0" fontId="1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63" borderId="33" applyNumberFormat="0" applyAlignment="0" applyProtection="0"/>
    <xf numFmtId="0" fontId="24" fillId="64" borderId="35" applyNumberFormat="0" applyAlignment="0" applyProtection="0"/>
    <xf numFmtId="0" fontId="29" fillId="50" borderId="33" applyNumberFormat="0" applyAlignment="0" applyProtection="0"/>
    <xf numFmtId="0" fontId="33" fillId="63" borderId="36" applyNumberFormat="0" applyAlignment="0" applyProtection="0"/>
    <xf numFmtId="0" fontId="39" fillId="0" borderId="40" applyNumberFormat="0" applyFill="0" applyAlignment="0" applyProtection="0"/>
    <xf numFmtId="0" fontId="27" fillId="67" borderId="33" applyNumberFormat="0" applyAlignment="0" applyProtection="0"/>
    <xf numFmtId="0" fontId="12" fillId="64" borderId="35" applyNumberFormat="0" applyAlignment="0" applyProtection="0"/>
    <xf numFmtId="0" fontId="33" fillId="67" borderId="36" applyNumberFormat="0" applyAlignment="0" applyProtection="0"/>
    <xf numFmtId="0" fontId="39" fillId="0" borderId="4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28" fillId="0" borderId="3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8" fillId="0" borderId="34" applyNumberFormat="0" applyFill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63" borderId="33" applyNumberFormat="0" applyAlignment="0" applyProtection="0"/>
    <xf numFmtId="0" fontId="24" fillId="64" borderId="35" applyNumberFormat="0" applyAlignment="0" applyProtection="0"/>
    <xf numFmtId="0" fontId="29" fillId="50" borderId="33" applyNumberFormat="0" applyAlignment="0" applyProtection="0"/>
    <xf numFmtId="0" fontId="33" fillId="63" borderId="36" applyNumberFormat="0" applyAlignment="0" applyProtection="0"/>
    <xf numFmtId="0" fontId="39" fillId="0" borderId="40" applyNumberFormat="0" applyFill="0" applyAlignment="0" applyProtection="0"/>
    <xf numFmtId="0" fontId="27" fillId="67" borderId="33" applyNumberFormat="0" applyAlignment="0" applyProtection="0"/>
    <xf numFmtId="0" fontId="12" fillId="64" borderId="35" applyNumberFormat="0" applyAlignment="0" applyProtection="0"/>
    <xf numFmtId="0" fontId="33" fillId="67" borderId="36" applyNumberFormat="0" applyAlignment="0" applyProtection="0"/>
    <xf numFmtId="0" fontId="39" fillId="0" borderId="4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63" borderId="33" applyNumberFormat="0" applyAlignment="0" applyProtection="0"/>
    <xf numFmtId="0" fontId="24" fillId="64" borderId="35" applyNumberFormat="0" applyAlignment="0" applyProtection="0"/>
    <xf numFmtId="0" fontId="29" fillId="50" borderId="33" applyNumberFormat="0" applyAlignment="0" applyProtection="0"/>
    <xf numFmtId="0" fontId="33" fillId="63" borderId="36" applyNumberFormat="0" applyAlignment="0" applyProtection="0"/>
    <xf numFmtId="0" fontId="39" fillId="0" borderId="40" applyNumberFormat="0" applyFill="0" applyAlignment="0" applyProtection="0"/>
    <xf numFmtId="0" fontId="27" fillId="67" borderId="33" applyNumberFormat="0" applyAlignment="0" applyProtection="0"/>
    <xf numFmtId="0" fontId="12" fillId="64" borderId="35" applyNumberFormat="0" applyAlignment="0" applyProtection="0"/>
    <xf numFmtId="0" fontId="33" fillId="67" borderId="36" applyNumberFormat="0" applyAlignment="0" applyProtection="0"/>
    <xf numFmtId="0" fontId="39" fillId="0" borderId="4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8" fillId="0" borderId="3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8" fillId="0" borderId="3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28" fillId="0" borderId="3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63" borderId="33" applyNumberFormat="0" applyAlignment="0" applyProtection="0"/>
    <xf numFmtId="0" fontId="24" fillId="64" borderId="35" applyNumberFormat="0" applyAlignment="0" applyProtection="0"/>
    <xf numFmtId="0" fontId="29" fillId="50" borderId="33" applyNumberFormat="0" applyAlignment="0" applyProtection="0"/>
    <xf numFmtId="0" fontId="33" fillId="63" borderId="36" applyNumberFormat="0" applyAlignment="0" applyProtection="0"/>
    <xf numFmtId="0" fontId="39" fillId="0" borderId="40" applyNumberFormat="0" applyFill="0" applyAlignment="0" applyProtection="0"/>
    <xf numFmtId="0" fontId="40" fillId="66" borderId="45" applyNumberFormat="0" applyAlignment="0" applyProtection="0"/>
    <xf numFmtId="0" fontId="27" fillId="67" borderId="33" applyNumberFormat="0" applyAlignment="0" applyProtection="0"/>
    <xf numFmtId="0" fontId="12" fillId="64" borderId="35" applyNumberFormat="0" applyAlignment="0" applyProtection="0"/>
    <xf numFmtId="0" fontId="33" fillId="67" borderId="36" applyNumberFormat="0" applyAlignment="0" applyProtection="0"/>
    <xf numFmtId="0" fontId="39" fillId="0" borderId="4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63" borderId="33" applyNumberFormat="0" applyAlignment="0" applyProtection="0"/>
    <xf numFmtId="0" fontId="24" fillId="64" borderId="35" applyNumberFormat="0" applyAlignment="0" applyProtection="0"/>
    <xf numFmtId="0" fontId="29" fillId="50" borderId="33" applyNumberFormat="0" applyAlignment="0" applyProtection="0"/>
    <xf numFmtId="0" fontId="33" fillId="63" borderId="36" applyNumberFormat="0" applyAlignment="0" applyProtection="0"/>
    <xf numFmtId="0" fontId="39" fillId="0" borderId="40" applyNumberFormat="0" applyFill="0" applyAlignment="0" applyProtection="0"/>
    <xf numFmtId="0" fontId="27" fillId="67" borderId="33" applyNumberFormat="0" applyAlignment="0" applyProtection="0"/>
    <xf numFmtId="0" fontId="12" fillId="64" borderId="35" applyNumberFormat="0" applyAlignment="0" applyProtection="0"/>
    <xf numFmtId="0" fontId="33" fillId="67" borderId="36" applyNumberFormat="0" applyAlignment="0" applyProtection="0"/>
    <xf numFmtId="0" fontId="39" fillId="0" borderId="4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63" borderId="33" applyNumberFormat="0" applyAlignment="0" applyProtection="0"/>
    <xf numFmtId="0" fontId="24" fillId="64" borderId="35" applyNumberFormat="0" applyAlignment="0" applyProtection="0"/>
    <xf numFmtId="0" fontId="29" fillId="50" borderId="33" applyNumberFormat="0" applyAlignment="0" applyProtection="0"/>
    <xf numFmtId="0" fontId="33" fillId="63" borderId="36" applyNumberFormat="0" applyAlignment="0" applyProtection="0"/>
    <xf numFmtId="0" fontId="39" fillId="0" borderId="40" applyNumberFormat="0" applyFill="0" applyAlignment="0" applyProtection="0"/>
    <xf numFmtId="0" fontId="27" fillId="67" borderId="33" applyNumberFormat="0" applyAlignment="0" applyProtection="0"/>
    <xf numFmtId="0" fontId="12" fillId="64" borderId="35" applyNumberFormat="0" applyAlignment="0" applyProtection="0"/>
    <xf numFmtId="0" fontId="33" fillId="67" borderId="36" applyNumberFormat="0" applyAlignment="0" applyProtection="0"/>
    <xf numFmtId="0" fontId="39" fillId="0" borderId="4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7" fillId="63" borderId="33" applyNumberFormat="0" applyAlignment="0" applyProtection="0"/>
    <xf numFmtId="0" fontId="24" fillId="64" borderId="35" applyNumberFormat="0" applyAlignment="0" applyProtection="0"/>
    <xf numFmtId="0" fontId="29" fillId="50" borderId="33" applyNumberFormat="0" applyAlignment="0" applyProtection="0"/>
    <xf numFmtId="0" fontId="33" fillId="63" borderId="36" applyNumberFormat="0" applyAlignment="0" applyProtection="0"/>
    <xf numFmtId="0" fontId="39" fillId="0" borderId="40" applyNumberFormat="0" applyFill="0" applyAlignment="0" applyProtection="0"/>
    <xf numFmtId="0" fontId="27" fillId="67" borderId="33" applyNumberFormat="0" applyAlignment="0" applyProtection="0"/>
    <xf numFmtId="0" fontId="12" fillId="64" borderId="35" applyNumberFormat="0" applyAlignment="0" applyProtection="0"/>
    <xf numFmtId="0" fontId="33" fillId="67" borderId="36" applyNumberFormat="0" applyAlignment="0" applyProtection="0"/>
    <xf numFmtId="0" fontId="39" fillId="0" borderId="4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6" fillId="0" borderId="0"/>
    <xf numFmtId="0" fontId="23" fillId="0" borderId="0">
      <alignment vertical="top"/>
    </xf>
    <xf numFmtId="43" fontId="12" fillId="0" borderId="0" applyFont="0" applyFill="0" applyBorder="0" applyAlignment="0" applyProtection="0"/>
    <xf numFmtId="0" fontId="10" fillId="0" borderId="0"/>
    <xf numFmtId="0" fontId="10" fillId="0" borderId="0"/>
    <xf numFmtId="9" fontId="1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7" fillId="0" borderId="0"/>
    <xf numFmtId="0" fontId="12" fillId="0" borderId="0">
      <alignment vertical="top"/>
    </xf>
    <xf numFmtId="43" fontId="12" fillId="0" borderId="0" applyFont="0" applyFill="0" applyBorder="0" applyAlignment="0" applyProtection="0"/>
    <xf numFmtId="0" fontId="10" fillId="0" borderId="0"/>
    <xf numFmtId="0" fontId="10" fillId="0" borderId="0"/>
    <xf numFmtId="9" fontId="12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7" fillId="0" borderId="0"/>
    <xf numFmtId="0" fontId="12" fillId="0" borderId="0">
      <alignment vertical="top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28" fillId="0" borderId="3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28" fillId="0" borderId="3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8" fillId="0" borderId="34" applyNumberFormat="0" applyFill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8" fillId="0" borderId="3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8" fillId="0" borderId="34" applyNumberFormat="0" applyFill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5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47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8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2" fillId="0" borderId="0">
      <alignment vertical="top"/>
    </xf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28" fillId="0" borderId="34" applyNumberFormat="0" applyFill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49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2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1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0" fillId="66" borderId="50" applyNumberFormat="0" applyAlignment="0" applyProtection="0"/>
    <xf numFmtId="0" fontId="48" fillId="0" borderId="0">
      <alignment vertical="top"/>
    </xf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6" fillId="0" borderId="0"/>
    <xf numFmtId="0" fontId="46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6" fillId="0" borderId="0"/>
    <xf numFmtId="0" fontId="46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40" fillId="66" borderId="58" applyNumberFormat="0" applyAlignment="0" applyProtection="0"/>
    <xf numFmtId="0" fontId="12" fillId="0" borderId="0">
      <alignment vertical="top"/>
    </xf>
    <xf numFmtId="0" fontId="40" fillId="66" borderId="59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40" fillId="66" borderId="60" applyNumberFormat="0" applyAlignment="0" applyProtection="0"/>
    <xf numFmtId="0" fontId="64" fillId="0" borderId="0"/>
  </cellStyleXfs>
  <cellXfs count="496">
    <xf numFmtId="0" fontId="0" fillId="0" borderId="0" xfId="0"/>
    <xf numFmtId="0" fontId="0" fillId="0" borderId="0" xfId="0" applyAlignment="1">
      <alignment vertical="top"/>
    </xf>
    <xf numFmtId="0" fontId="0" fillId="0" borderId="0" xfId="0"/>
    <xf numFmtId="0" fontId="7" fillId="0" borderId="0" xfId="0" applyFont="1" applyFill="1" applyBorder="1" applyAlignment="1">
      <alignment horizontal="center" vertical="center"/>
    </xf>
    <xf numFmtId="49" fontId="7" fillId="0" borderId="0" xfId="0" quotePrefix="1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0" fillId="0" borderId="0" xfId="0" applyFill="1"/>
    <xf numFmtId="0" fontId="8" fillId="0" borderId="0" xfId="0" applyFont="1" applyFill="1" applyAlignment="1"/>
    <xf numFmtId="0" fontId="9" fillId="2" borderId="0" xfId="0" applyFont="1" applyFill="1" applyAlignment="1">
      <alignment vertical="top"/>
    </xf>
    <xf numFmtId="0" fontId="9" fillId="3" borderId="0" xfId="0" applyFont="1" applyFill="1" applyAlignment="1">
      <alignment vertical="top"/>
    </xf>
    <xf numFmtId="0" fontId="9" fillId="4" borderId="0" xfId="0" applyFont="1" applyFill="1" applyAlignment="1">
      <alignment vertical="top"/>
    </xf>
    <xf numFmtId="0" fontId="9" fillId="5" borderId="0" xfId="0" applyFont="1" applyFill="1" applyAlignment="1">
      <alignment vertical="top"/>
    </xf>
    <xf numFmtId="0" fontId="9" fillId="6" borderId="0" xfId="0" applyFont="1" applyFill="1" applyAlignment="1">
      <alignment vertical="top"/>
    </xf>
    <xf numFmtId="0" fontId="9" fillId="7" borderId="0" xfId="0" applyFont="1" applyFill="1" applyAlignment="1">
      <alignment vertical="top"/>
    </xf>
    <xf numFmtId="0" fontId="9" fillId="8" borderId="0" xfId="0" applyFont="1" applyFill="1" applyAlignment="1">
      <alignment vertical="top"/>
    </xf>
    <xf numFmtId="0" fontId="9" fillId="9" borderId="0" xfId="0" applyFont="1" applyFill="1" applyAlignment="1">
      <alignment vertical="top"/>
    </xf>
    <xf numFmtId="0" fontId="9" fillId="10" borderId="0" xfId="0" applyFont="1" applyFill="1" applyAlignment="1">
      <alignment vertical="top"/>
    </xf>
    <xf numFmtId="0" fontId="9" fillId="11" borderId="0" xfId="0" applyFont="1" applyFill="1" applyAlignment="1">
      <alignment vertical="top"/>
    </xf>
    <xf numFmtId="0" fontId="0" fillId="12" borderId="0" xfId="0" applyFill="1"/>
    <xf numFmtId="0" fontId="0" fillId="0" borderId="0" xfId="0" applyFont="1" applyFill="1" applyAlignment="1">
      <alignment vertical="top"/>
    </xf>
    <xf numFmtId="0" fontId="0" fillId="25" borderId="0" xfId="0" applyFont="1" applyFill="1" applyAlignment="1">
      <alignment vertical="top"/>
    </xf>
    <xf numFmtId="0" fontId="0" fillId="13" borderId="0" xfId="0" applyFont="1" applyFill="1" applyAlignment="1">
      <alignment vertical="top"/>
    </xf>
    <xf numFmtId="0" fontId="0" fillId="27" borderId="0" xfId="0" applyFont="1" applyFill="1" applyAlignment="1">
      <alignment vertical="top"/>
    </xf>
    <xf numFmtId="0" fontId="0" fillId="28" borderId="0" xfId="0" applyFont="1" applyFill="1" applyAlignment="1">
      <alignment vertical="top"/>
    </xf>
    <xf numFmtId="0" fontId="0" fillId="0" borderId="0" xfId="0" applyAlignment="1">
      <alignment horizontal="center"/>
    </xf>
    <xf numFmtId="49" fontId="11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49" fontId="7" fillId="0" borderId="0" xfId="0" applyNumberFormat="1" applyFont="1" applyFill="1" applyBorder="1" applyAlignment="1">
      <alignment horizontal="center"/>
    </xf>
    <xf numFmtId="49" fontId="7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/>
    </xf>
    <xf numFmtId="0" fontId="8" fillId="0" borderId="0" xfId="0" applyFont="1" applyFill="1" applyBorder="1" applyAlignment="1"/>
    <xf numFmtId="0" fontId="14" fillId="0" borderId="0" xfId="0" applyFont="1" applyFill="1" applyBorder="1" applyAlignment="1"/>
    <xf numFmtId="0" fontId="15" fillId="0" borderId="0" xfId="0" applyFont="1" applyFill="1" applyBorder="1" applyAlignment="1">
      <alignment horizontal="center"/>
    </xf>
    <xf numFmtId="0" fontId="0" fillId="13" borderId="0" xfId="0" applyFill="1" applyAlignment="1">
      <alignment horizontal="center" vertical="top"/>
    </xf>
    <xf numFmtId="0" fontId="0" fillId="18" borderId="0" xfId="0" applyFill="1" applyAlignment="1">
      <alignment horizontal="center" vertical="top"/>
    </xf>
    <xf numFmtId="0" fontId="0" fillId="34" borderId="0" xfId="0" applyFill="1" applyAlignment="1">
      <alignment horizontal="center" vertical="top"/>
    </xf>
    <xf numFmtId="0" fontId="0" fillId="35" borderId="0" xfId="0" applyFill="1" applyAlignment="1">
      <alignment horizontal="center" vertical="top"/>
    </xf>
    <xf numFmtId="0" fontId="0" fillId="34" borderId="19" xfId="0" applyFill="1" applyBorder="1"/>
    <xf numFmtId="0" fontId="0" fillId="34" borderId="20" xfId="0" applyFill="1" applyBorder="1"/>
    <xf numFmtId="0" fontId="0" fillId="34" borderId="0" xfId="0" applyFill="1" applyBorder="1"/>
    <xf numFmtId="0" fontId="0" fillId="34" borderId="22" xfId="0" applyFill="1" applyBorder="1"/>
    <xf numFmtId="0" fontId="0" fillId="34" borderId="23" xfId="0" applyFill="1" applyBorder="1"/>
    <xf numFmtId="0" fontId="0" fillId="34" borderId="24" xfId="0" applyFill="1" applyBorder="1"/>
    <xf numFmtId="0" fontId="17" fillId="0" borderId="0" xfId="0" applyFont="1" applyAlignment="1">
      <alignment vertical="top"/>
    </xf>
    <xf numFmtId="0" fontId="18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7" fillId="0" borderId="0" xfId="0" applyFont="1"/>
    <xf numFmtId="0" fontId="17" fillId="0" borderId="0" xfId="0" applyFont="1" applyAlignment="1">
      <alignment horizontal="center"/>
    </xf>
    <xf numFmtId="1" fontId="19" fillId="33" borderId="13" xfId="0" applyNumberFormat="1" applyFont="1" applyFill="1" applyBorder="1" applyAlignment="1">
      <alignment horizontal="center" vertical="center" wrapText="1"/>
    </xf>
    <xf numFmtId="1" fontId="19" fillId="0" borderId="12" xfId="0" applyNumberFormat="1" applyFont="1" applyFill="1" applyBorder="1" applyAlignment="1">
      <alignment horizontal="center" vertical="center" wrapText="1"/>
    </xf>
    <xf numFmtId="0" fontId="19" fillId="0" borderId="12" xfId="0" applyFont="1" applyBorder="1" applyAlignment="1">
      <alignment horizontal="center"/>
    </xf>
    <xf numFmtId="0" fontId="18" fillId="2" borderId="0" xfId="0" applyFont="1" applyFill="1" applyAlignment="1">
      <alignment vertical="top"/>
    </xf>
    <xf numFmtId="0" fontId="18" fillId="3" borderId="0" xfId="0" applyFont="1" applyFill="1" applyAlignment="1">
      <alignment vertical="top"/>
    </xf>
    <xf numFmtId="0" fontId="18" fillId="6" borderId="0" xfId="0" applyFont="1" applyFill="1" applyAlignment="1">
      <alignment vertical="top"/>
    </xf>
    <xf numFmtId="0" fontId="18" fillId="8" borderId="0" xfId="0" applyFont="1" applyFill="1" applyAlignment="1">
      <alignment vertical="top"/>
    </xf>
    <xf numFmtId="0" fontId="18" fillId="9" borderId="0" xfId="0" applyFont="1" applyFill="1" applyAlignment="1">
      <alignment vertical="top"/>
    </xf>
    <xf numFmtId="0" fontId="18" fillId="10" borderId="0" xfId="0" applyFont="1" applyFill="1" applyAlignment="1">
      <alignment vertical="top"/>
    </xf>
    <xf numFmtId="0" fontId="18" fillId="11" borderId="0" xfId="0" applyFont="1" applyFill="1" applyAlignment="1">
      <alignment vertical="top"/>
    </xf>
    <xf numFmtId="0" fontId="22" fillId="0" borderId="0" xfId="0" applyFont="1" applyAlignment="1">
      <alignment vertical="top"/>
    </xf>
    <xf numFmtId="0" fontId="22" fillId="13" borderId="0" xfId="0" applyFont="1" applyFill="1" applyAlignment="1">
      <alignment vertical="top"/>
    </xf>
    <xf numFmtId="0" fontId="22" fillId="18" borderId="0" xfId="0" applyFont="1" applyFill="1" applyAlignment="1">
      <alignment vertical="top"/>
    </xf>
    <xf numFmtId="0" fontId="22" fillId="34" borderId="0" xfId="0" applyFont="1" applyFill="1" applyAlignment="1">
      <alignment vertical="top"/>
    </xf>
    <xf numFmtId="0" fontId="22" fillId="35" borderId="0" xfId="0" applyFont="1" applyFill="1" applyAlignment="1">
      <alignment vertical="top"/>
    </xf>
    <xf numFmtId="0" fontId="16" fillId="13" borderId="11" xfId="0" applyFont="1" applyFill="1" applyBorder="1" applyAlignment="1">
      <alignment horizontal="center" vertical="center"/>
    </xf>
    <xf numFmtId="0" fontId="18" fillId="0" borderId="0" xfId="0" applyFont="1" applyFill="1" applyAlignment="1">
      <alignment vertical="top"/>
    </xf>
    <xf numFmtId="0" fontId="16" fillId="0" borderId="0" xfId="0" applyFont="1" applyFill="1" applyBorder="1" applyAlignment="1"/>
    <xf numFmtId="0" fontId="18" fillId="0" borderId="0" xfId="0" applyFont="1" applyAlignment="1">
      <alignment horizontal="center" vertical="top"/>
    </xf>
    <xf numFmtId="0" fontId="22" fillId="0" borderId="0" xfId="0" applyFont="1"/>
    <xf numFmtId="0" fontId="0" fillId="0" borderId="0" xfId="0" applyBorder="1"/>
    <xf numFmtId="0" fontId="18" fillId="0" borderId="0" xfId="1" applyNumberFormat="1" applyFont="1" applyAlignment="1">
      <alignment horizontal="center" vertical="top"/>
    </xf>
    <xf numFmtId="0" fontId="23" fillId="0" borderId="0" xfId="764" applyFont="1" applyBorder="1">
      <alignment vertical="top"/>
    </xf>
    <xf numFmtId="0" fontId="23" fillId="18" borderId="0" xfId="764" applyFill="1" applyBorder="1">
      <alignment vertical="top"/>
    </xf>
    <xf numFmtId="0" fontId="23" fillId="0" borderId="0" xfId="764" applyBorder="1">
      <alignment vertical="top"/>
    </xf>
    <xf numFmtId="0" fontId="9" fillId="9" borderId="0" xfId="764" applyFont="1" applyFill="1" applyBorder="1">
      <alignment vertical="top"/>
    </xf>
    <xf numFmtId="0" fontId="0" fillId="0" borderId="29" xfId="0" applyBorder="1"/>
    <xf numFmtId="0" fontId="9" fillId="72" borderId="0" xfId="764" applyFont="1" applyFill="1" applyBorder="1">
      <alignment vertical="top"/>
    </xf>
    <xf numFmtId="0" fontId="0" fillId="0" borderId="31" xfId="0" applyBorder="1"/>
    <xf numFmtId="0" fontId="23" fillId="13" borderId="0" xfId="764" applyFill="1" applyBorder="1">
      <alignment vertical="top"/>
    </xf>
    <xf numFmtId="0" fontId="9" fillId="0" borderId="21" xfId="1" applyNumberFormat="1" applyFont="1" applyBorder="1">
      <alignment vertical="top"/>
    </xf>
    <xf numFmtId="0" fontId="9" fillId="8" borderId="0" xfId="764" applyFont="1" applyFill="1" applyBorder="1">
      <alignment vertical="top"/>
    </xf>
    <xf numFmtId="0" fontId="23" fillId="72" borderId="0" xfId="764" applyFill="1" applyBorder="1">
      <alignment vertical="top"/>
    </xf>
    <xf numFmtId="0" fontId="9" fillId="2" borderId="0" xfId="764" applyFont="1" applyFill="1" applyBorder="1">
      <alignment vertical="top"/>
    </xf>
    <xf numFmtId="0" fontId="23" fillId="35" borderId="0" xfId="764" applyFill="1" applyBorder="1">
      <alignment vertical="top"/>
    </xf>
    <xf numFmtId="0" fontId="9" fillId="10" borderId="0" xfId="764" applyFont="1" applyFill="1" applyBorder="1">
      <alignment vertical="top"/>
    </xf>
    <xf numFmtId="0" fontId="0" fillId="0" borderId="19" xfId="0" applyBorder="1"/>
    <xf numFmtId="0" fontId="23" fillId="72" borderId="0" xfId="764" applyFont="1" applyFill="1" applyBorder="1">
      <alignment vertical="top"/>
    </xf>
    <xf numFmtId="0" fontId="9" fillId="3" borderId="0" xfId="764" applyFont="1" applyFill="1" applyBorder="1">
      <alignment vertical="top"/>
    </xf>
    <xf numFmtId="0" fontId="0" fillId="0" borderId="23" xfId="0" applyBorder="1"/>
    <xf numFmtId="0" fontId="12" fillId="0" borderId="0" xfId="764" applyFont="1" applyBorder="1">
      <alignment vertical="top"/>
    </xf>
    <xf numFmtId="0" fontId="9" fillId="11" borderId="0" xfId="764" applyFont="1" applyFill="1" applyBorder="1">
      <alignment vertical="top"/>
    </xf>
    <xf numFmtId="0" fontId="0" fillId="0" borderId="20" xfId="0" applyBorder="1"/>
    <xf numFmtId="0" fontId="9" fillId="6" borderId="0" xfId="764" applyFont="1" applyFill="1" applyBorder="1">
      <alignment vertical="top"/>
    </xf>
    <xf numFmtId="0" fontId="0" fillId="0" borderId="24" xfId="0" applyBorder="1"/>
    <xf numFmtId="0" fontId="0" fillId="0" borderId="22" xfId="0" applyBorder="1"/>
    <xf numFmtId="0" fontId="46" fillId="72" borderId="46" xfId="763" applyFill="1" applyBorder="1" applyAlignment="1">
      <alignment horizontal="center" vertical="top"/>
    </xf>
    <xf numFmtId="0" fontId="23" fillId="34" borderId="0" xfId="764" applyFill="1" applyBorder="1">
      <alignment vertical="top"/>
    </xf>
    <xf numFmtId="0" fontId="9" fillId="0" borderId="0" xfId="764" applyFont="1" applyBorder="1">
      <alignment vertical="top"/>
    </xf>
    <xf numFmtId="0" fontId="23" fillId="0" borderId="0" xfId="764" applyFont="1">
      <alignment vertical="top"/>
    </xf>
    <xf numFmtId="0" fontId="47" fillId="71" borderId="46" xfId="1921" applyFill="1" applyBorder="1" applyAlignment="1">
      <alignment horizontal="center" vertical="top"/>
    </xf>
    <xf numFmtId="0" fontId="47" fillId="0" borderId="46" xfId="1921" applyBorder="1" applyAlignment="1">
      <alignment horizontal="center" vertical="top"/>
    </xf>
    <xf numFmtId="0" fontId="47" fillId="0" borderId="46" xfId="1921" applyFill="1" applyBorder="1" applyAlignment="1">
      <alignment horizontal="center" vertical="top"/>
    </xf>
    <xf numFmtId="0" fontId="13" fillId="36" borderId="53" xfId="0" applyFont="1" applyFill="1" applyBorder="1" applyAlignment="1">
      <alignment horizontal="center"/>
    </xf>
    <xf numFmtId="0" fontId="13" fillId="36" borderId="54" xfId="0" applyFont="1" applyFill="1" applyBorder="1" applyAlignment="1">
      <alignment horizontal="center"/>
    </xf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 applyAlignment="1">
      <alignment horizontal="center"/>
    </xf>
    <xf numFmtId="0" fontId="16" fillId="29" borderId="0" xfId="0" applyFont="1" applyFill="1" applyAlignment="1">
      <alignment horizontal="center"/>
    </xf>
    <xf numFmtId="0" fontId="16" fillId="43" borderId="0" xfId="0" applyFont="1" applyFill="1" applyBorder="1" applyAlignment="1">
      <alignment horizontal="center"/>
    </xf>
    <xf numFmtId="0" fontId="16" fillId="20" borderId="0" xfId="0" applyFont="1" applyFill="1" applyBorder="1" applyAlignment="1">
      <alignment horizontal="center"/>
    </xf>
    <xf numFmtId="0" fontId="16" fillId="44" borderId="0" xfId="0" applyFont="1" applyFill="1" applyBorder="1" applyAlignment="1">
      <alignment horizontal="center"/>
    </xf>
    <xf numFmtId="0" fontId="16" fillId="27" borderId="1" xfId="0" applyFont="1" applyFill="1" applyBorder="1" applyAlignment="1">
      <alignment horizontal="center" vertical="top"/>
    </xf>
    <xf numFmtId="0" fontId="18" fillId="38" borderId="1" xfId="0" applyFont="1" applyFill="1" applyBorder="1" applyAlignment="1">
      <alignment horizontal="center" vertical="top"/>
    </xf>
    <xf numFmtId="0" fontId="16" fillId="25" borderId="0" xfId="0" applyFont="1" applyFill="1" applyAlignment="1">
      <alignment horizontal="center"/>
    </xf>
    <xf numFmtId="0" fontId="16" fillId="39" borderId="0" xfId="0" applyFont="1" applyFill="1" applyBorder="1" applyAlignment="1">
      <alignment horizontal="center"/>
    </xf>
    <xf numFmtId="0" fontId="18" fillId="18" borderId="1" xfId="0" applyFont="1" applyFill="1" applyBorder="1" applyAlignment="1">
      <alignment horizontal="center" vertical="top"/>
    </xf>
    <xf numFmtId="0" fontId="18" fillId="16" borderId="1" xfId="0" applyFont="1" applyFill="1" applyBorder="1" applyAlignment="1">
      <alignment horizontal="center" vertical="top"/>
    </xf>
    <xf numFmtId="0" fontId="16" fillId="42" borderId="0" xfId="0" applyFont="1" applyFill="1" applyBorder="1" applyAlignment="1">
      <alignment horizontal="center"/>
    </xf>
    <xf numFmtId="0" fontId="18" fillId="7" borderId="1" xfId="0" applyFont="1" applyFill="1" applyBorder="1" applyAlignment="1">
      <alignment horizontal="center" vertical="top"/>
    </xf>
    <xf numFmtId="0" fontId="18" fillId="7" borderId="0" xfId="0" applyFont="1" applyFill="1" applyAlignment="1">
      <alignment vertical="top"/>
    </xf>
    <xf numFmtId="0" fontId="18" fillId="4" borderId="0" xfId="0" applyFont="1" applyFill="1" applyAlignment="1">
      <alignment vertical="top"/>
    </xf>
    <xf numFmtId="0" fontId="18" fillId="5" borderId="0" xfId="0" applyFont="1" applyFill="1" applyAlignment="1">
      <alignment vertical="top"/>
    </xf>
    <xf numFmtId="0" fontId="16" fillId="27" borderId="0" xfId="0" applyFont="1" applyFill="1" applyAlignment="1">
      <alignment horizontal="center"/>
    </xf>
    <xf numFmtId="0" fontId="16" fillId="28" borderId="0" xfId="0" applyFont="1" applyFill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7" borderId="0" xfId="0" applyFont="1" applyFill="1" applyBorder="1" applyAlignment="1">
      <alignment horizontal="center"/>
    </xf>
    <xf numFmtId="0" fontId="16" fillId="75" borderId="1" xfId="0" applyFont="1" applyFill="1" applyBorder="1" applyAlignment="1">
      <alignment horizontal="center" vertical="top"/>
    </xf>
    <xf numFmtId="0" fontId="16" fillId="0" borderId="32" xfId="0" applyFont="1" applyFill="1" applyBorder="1" applyAlignment="1">
      <alignment horizontal="center"/>
    </xf>
    <xf numFmtId="1" fontId="49" fillId="0" borderId="0" xfId="0" applyNumberFormat="1" applyFont="1" applyBorder="1" applyAlignment="1">
      <alignment horizontal="center"/>
    </xf>
    <xf numFmtId="0" fontId="16" fillId="0" borderId="0" xfId="0" applyFont="1" applyFill="1" applyBorder="1" applyAlignment="1">
      <alignment horizontal="center" vertical="top"/>
    </xf>
    <xf numFmtId="49" fontId="16" fillId="21" borderId="2" xfId="0" applyNumberFormat="1" applyFont="1" applyFill="1" applyBorder="1" applyAlignment="1">
      <alignment horizontal="center" vertical="center"/>
    </xf>
    <xf numFmtId="0" fontId="16" fillId="29" borderId="0" xfId="0" applyFont="1" applyFill="1" applyBorder="1" applyAlignment="1">
      <alignment horizontal="center"/>
    </xf>
    <xf numFmtId="49" fontId="16" fillId="24" borderId="0" xfId="0" applyNumberFormat="1" applyFont="1" applyFill="1" applyBorder="1" applyAlignment="1">
      <alignment horizontal="center" vertical="center"/>
    </xf>
    <xf numFmtId="0" fontId="16" fillId="0" borderId="31" xfId="0" applyFont="1" applyFill="1" applyBorder="1" applyAlignment="1"/>
    <xf numFmtId="1" fontId="49" fillId="0" borderId="0" xfId="0" applyNumberFormat="1" applyFont="1"/>
    <xf numFmtId="49" fontId="16" fillId="0" borderId="1" xfId="0" applyNumberFormat="1" applyFont="1" applyFill="1" applyBorder="1" applyAlignment="1">
      <alignment horizontal="center" vertical="center"/>
    </xf>
    <xf numFmtId="0" fontId="49" fillId="0" borderId="0" xfId="0" applyFont="1"/>
    <xf numFmtId="0" fontId="52" fillId="0" borderId="0" xfId="0" applyFont="1" applyFill="1" applyBorder="1" applyAlignment="1">
      <alignment horizontal="center"/>
    </xf>
    <xf numFmtId="0" fontId="16" fillId="29" borderId="19" xfId="0" applyFont="1" applyFill="1" applyBorder="1" applyAlignment="1">
      <alignment horizontal="center"/>
    </xf>
    <xf numFmtId="49" fontId="16" fillId="43" borderId="1" xfId="0" applyNumberFormat="1" applyFont="1" applyFill="1" applyBorder="1" applyAlignment="1">
      <alignment horizontal="center" vertical="center"/>
    </xf>
    <xf numFmtId="0" fontId="16" fillId="13" borderId="13" xfId="0" applyFont="1" applyFill="1" applyBorder="1" applyAlignment="1">
      <alignment horizontal="center"/>
    </xf>
    <xf numFmtId="0" fontId="16" fillId="24" borderId="0" xfId="0" applyFont="1" applyFill="1" applyBorder="1" applyAlignment="1">
      <alignment horizontal="center"/>
    </xf>
    <xf numFmtId="0" fontId="52" fillId="13" borderId="11" xfId="0" applyFont="1" applyFill="1" applyBorder="1" applyAlignment="1">
      <alignment horizontal="center"/>
    </xf>
    <xf numFmtId="49" fontId="16" fillId="28" borderId="0" xfId="0" applyNumberFormat="1" applyFont="1" applyFill="1" applyBorder="1" applyAlignment="1">
      <alignment horizontal="center"/>
    </xf>
    <xf numFmtId="0" fontId="16" fillId="13" borderId="32" xfId="0" applyFont="1" applyFill="1" applyBorder="1" applyAlignment="1">
      <alignment horizontal="center"/>
    </xf>
    <xf numFmtId="49" fontId="19" fillId="0" borderId="0" xfId="0" quotePrefix="1" applyNumberFormat="1" applyFont="1" applyFill="1" applyBorder="1" applyAlignment="1">
      <alignment horizontal="center" vertical="center"/>
    </xf>
    <xf numFmtId="49" fontId="16" fillId="14" borderId="0" xfId="0" applyNumberFormat="1" applyFont="1" applyFill="1" applyBorder="1" applyAlignment="1">
      <alignment horizontal="center" vertical="center"/>
    </xf>
    <xf numFmtId="49" fontId="16" fillId="18" borderId="0" xfId="0" applyNumberFormat="1" applyFont="1" applyFill="1" applyBorder="1" applyAlignment="1">
      <alignment horizontal="center" vertical="center"/>
    </xf>
    <xf numFmtId="0" fontId="16" fillId="0" borderId="22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top"/>
    </xf>
    <xf numFmtId="49" fontId="16" fillId="29" borderId="0" xfId="0" applyNumberFormat="1" applyFont="1" applyFill="1" applyBorder="1" applyAlignment="1">
      <alignment horizontal="center" vertical="center"/>
    </xf>
    <xf numFmtId="0" fontId="49" fillId="0" borderId="0" xfId="0" applyNumberFormat="1" applyFont="1"/>
    <xf numFmtId="0" fontId="52" fillId="0" borderId="11" xfId="0" applyFont="1" applyBorder="1" applyAlignment="1">
      <alignment horizontal="center"/>
    </xf>
    <xf numFmtId="0" fontId="52" fillId="34" borderId="27" xfId="0" applyFont="1" applyFill="1" applyBorder="1" applyAlignment="1">
      <alignment horizontal="center" vertical="center"/>
    </xf>
    <xf numFmtId="49" fontId="16" fillId="26" borderId="0" xfId="0" applyNumberFormat="1" applyFont="1" applyFill="1" applyBorder="1" applyAlignment="1">
      <alignment horizontal="center"/>
    </xf>
    <xf numFmtId="0" fontId="16" fillId="74" borderId="0" xfId="0" applyFont="1" applyFill="1" applyBorder="1" applyAlignment="1">
      <alignment horizontal="center"/>
    </xf>
    <xf numFmtId="0" fontId="52" fillId="0" borderId="0" xfId="0" applyFont="1" applyAlignment="1">
      <alignment horizontal="center"/>
    </xf>
    <xf numFmtId="0" fontId="16" fillId="27" borderId="0" xfId="0" applyFont="1" applyFill="1" applyBorder="1" applyAlignment="1">
      <alignment horizontal="center" vertical="center"/>
    </xf>
    <xf numFmtId="0" fontId="16" fillId="22" borderId="0" xfId="0" applyFont="1" applyFill="1" applyBorder="1" applyAlignment="1">
      <alignment horizontal="center"/>
    </xf>
    <xf numFmtId="0" fontId="16" fillId="13" borderId="0" xfId="0" applyFont="1" applyFill="1" applyBorder="1" applyAlignment="1">
      <alignment horizontal="center"/>
    </xf>
    <xf numFmtId="0" fontId="16" fillId="7" borderId="15" xfId="0" applyFont="1" applyFill="1" applyBorder="1" applyAlignment="1">
      <alignment horizontal="center"/>
    </xf>
    <xf numFmtId="49" fontId="16" fillId="27" borderId="0" xfId="0" applyNumberFormat="1" applyFont="1" applyFill="1" applyBorder="1" applyAlignment="1">
      <alignment horizontal="center"/>
    </xf>
    <xf numFmtId="0" fontId="16" fillId="28" borderId="23" xfId="0" applyFont="1" applyFill="1" applyBorder="1" applyAlignment="1">
      <alignment horizontal="center"/>
    </xf>
    <xf numFmtId="0" fontId="16" fillId="16" borderId="0" xfId="0" applyFont="1" applyFill="1" applyBorder="1" applyAlignment="1">
      <alignment horizontal="center"/>
    </xf>
    <xf numFmtId="49" fontId="16" fillId="27" borderId="2" xfId="0" applyNumberFormat="1" applyFont="1" applyFill="1" applyBorder="1" applyAlignment="1">
      <alignment horizontal="center" vertical="center"/>
    </xf>
    <xf numFmtId="0" fontId="22" fillId="36" borderId="0" xfId="0" applyFont="1" applyFill="1" applyBorder="1" applyAlignment="1">
      <alignment horizontal="center"/>
    </xf>
    <xf numFmtId="0" fontId="16" fillId="17" borderId="0" xfId="0" applyFont="1" applyFill="1" applyBorder="1" applyAlignment="1">
      <alignment horizontal="center"/>
    </xf>
    <xf numFmtId="0" fontId="16" fillId="17" borderId="19" xfId="0" applyFont="1" applyFill="1" applyBorder="1" applyAlignment="1">
      <alignment horizontal="center"/>
    </xf>
    <xf numFmtId="49" fontId="16" fillId="24" borderId="1" xfId="0" applyNumberFormat="1" applyFont="1" applyFill="1" applyBorder="1" applyAlignment="1">
      <alignment horizontal="center" vertical="center"/>
    </xf>
    <xf numFmtId="0" fontId="52" fillId="34" borderId="25" xfId="0" applyFont="1" applyFill="1" applyBorder="1" applyAlignment="1">
      <alignment horizontal="center" vertical="center"/>
    </xf>
    <xf numFmtId="0" fontId="16" fillId="21" borderId="0" xfId="0" applyFont="1" applyFill="1" applyBorder="1" applyAlignment="1">
      <alignment horizontal="center"/>
    </xf>
    <xf numFmtId="49" fontId="16" fillId="24" borderId="1" xfId="0" applyNumberFormat="1" applyFont="1" applyFill="1" applyBorder="1" applyAlignment="1">
      <alignment horizontal="center"/>
    </xf>
    <xf numFmtId="0" fontId="16" fillId="75" borderId="0" xfId="0" applyFont="1" applyFill="1" applyBorder="1" applyAlignment="1">
      <alignment horizontal="center"/>
    </xf>
    <xf numFmtId="49" fontId="19" fillId="0" borderId="0" xfId="0" applyNumberFormat="1" applyFont="1" applyFill="1" applyBorder="1" applyAlignment="1">
      <alignment horizontal="center"/>
    </xf>
    <xf numFmtId="49" fontId="16" fillId="13" borderId="1" xfId="0" applyNumberFormat="1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/>
    </xf>
    <xf numFmtId="0" fontId="16" fillId="35" borderId="0" xfId="0" applyFont="1" applyFill="1" applyBorder="1" applyAlignment="1">
      <alignment horizontal="center"/>
    </xf>
    <xf numFmtId="49" fontId="16" fillId="18" borderId="0" xfId="0" applyNumberFormat="1" applyFont="1" applyFill="1" applyBorder="1" applyAlignment="1">
      <alignment horizontal="center"/>
    </xf>
    <xf numFmtId="0" fontId="16" fillId="13" borderId="19" xfId="0" applyFont="1" applyFill="1" applyBorder="1" applyAlignment="1">
      <alignment horizontal="center"/>
    </xf>
    <xf numFmtId="0" fontId="16" fillId="26" borderId="13" xfId="0" applyFont="1" applyFill="1" applyBorder="1" applyAlignment="1">
      <alignment horizontal="center"/>
    </xf>
    <xf numFmtId="0" fontId="22" fillId="0" borderId="0" xfId="0" applyFont="1" applyFill="1"/>
    <xf numFmtId="0" fontId="16" fillId="17" borderId="1" xfId="0" applyFont="1" applyFill="1" applyBorder="1" applyAlignment="1">
      <alignment horizontal="center" vertical="center"/>
    </xf>
    <xf numFmtId="0" fontId="16" fillId="34" borderId="0" xfId="0" applyFont="1" applyFill="1" applyBorder="1" applyAlignment="1">
      <alignment horizontal="center"/>
    </xf>
    <xf numFmtId="49" fontId="16" fillId="13" borderId="0" xfId="0" applyNumberFormat="1" applyFont="1" applyFill="1" applyBorder="1" applyAlignment="1">
      <alignment horizontal="center" vertical="center"/>
    </xf>
    <xf numFmtId="0" fontId="16" fillId="0" borderId="21" xfId="0" applyFont="1" applyFill="1" applyBorder="1" applyAlignment="1"/>
    <xf numFmtId="49" fontId="16" fillId="26" borderId="1" xfId="0" applyNumberFormat="1" applyFont="1" applyFill="1" applyBorder="1" applyAlignment="1">
      <alignment horizontal="center" vertical="center"/>
    </xf>
    <xf numFmtId="0" fontId="22" fillId="32" borderId="0" xfId="0" applyFont="1" applyFill="1" applyAlignment="1">
      <alignment horizontal="center"/>
    </xf>
    <xf numFmtId="0" fontId="52" fillId="0" borderId="0" xfId="0" applyFont="1" applyBorder="1" applyAlignment="1">
      <alignment horizontal="center"/>
    </xf>
    <xf numFmtId="0" fontId="52" fillId="34" borderId="26" xfId="0" applyFont="1" applyFill="1" applyBorder="1" applyAlignment="1">
      <alignment horizontal="center" vertical="center"/>
    </xf>
    <xf numFmtId="49" fontId="16" fillId="17" borderId="0" xfId="0" applyNumberFormat="1" applyFont="1" applyFill="1" applyBorder="1" applyAlignment="1">
      <alignment horizontal="center"/>
    </xf>
    <xf numFmtId="0" fontId="16" fillId="74" borderId="1" xfId="0" applyFont="1" applyFill="1" applyBorder="1" applyAlignment="1">
      <alignment horizontal="center"/>
    </xf>
    <xf numFmtId="0" fontId="16" fillId="0" borderId="19" xfId="0" applyFont="1" applyFill="1" applyBorder="1" applyAlignment="1">
      <alignment horizontal="center"/>
    </xf>
    <xf numFmtId="49" fontId="16" fillId="28" borderId="0" xfId="0" applyNumberFormat="1" applyFont="1" applyFill="1" applyBorder="1" applyAlignment="1">
      <alignment horizontal="center" vertical="center"/>
    </xf>
    <xf numFmtId="49" fontId="16" fillId="13" borderId="0" xfId="0" applyNumberFormat="1" applyFont="1" applyFill="1" applyBorder="1" applyAlignment="1">
      <alignment horizontal="center"/>
    </xf>
    <xf numFmtId="0" fontId="16" fillId="24" borderId="23" xfId="0" applyFont="1" applyFill="1" applyBorder="1" applyAlignment="1">
      <alignment horizontal="center"/>
    </xf>
    <xf numFmtId="49" fontId="16" fillId="13" borderId="3" xfId="0" applyNumberFormat="1" applyFont="1" applyFill="1" applyBorder="1" applyAlignment="1">
      <alignment horizontal="center" vertical="center"/>
    </xf>
    <xf numFmtId="49" fontId="16" fillId="17" borderId="0" xfId="0" applyNumberFormat="1" applyFont="1" applyFill="1" applyBorder="1" applyAlignment="1">
      <alignment horizontal="center" vertical="center"/>
    </xf>
    <xf numFmtId="0" fontId="16" fillId="13" borderId="15" xfId="0" applyFont="1" applyFill="1" applyBorder="1" applyAlignment="1">
      <alignment horizontal="center"/>
    </xf>
    <xf numFmtId="0" fontId="16" fillId="40" borderId="0" xfId="0" applyFont="1" applyFill="1" applyBorder="1" applyAlignment="1">
      <alignment horizontal="center"/>
    </xf>
    <xf numFmtId="0" fontId="19" fillId="14" borderId="0" xfId="0" applyFont="1" applyFill="1" applyBorder="1" applyAlignment="1">
      <alignment horizontal="center"/>
    </xf>
    <xf numFmtId="0" fontId="16" fillId="0" borderId="23" xfId="0" applyFont="1" applyFill="1" applyBorder="1" applyAlignment="1">
      <alignment horizontal="center"/>
    </xf>
    <xf numFmtId="0" fontId="49" fillId="0" borderId="0" xfId="0" applyNumberFormat="1" applyFont="1" applyBorder="1" applyAlignment="1">
      <alignment horizontal="center"/>
    </xf>
    <xf numFmtId="49" fontId="16" fillId="21" borderId="4" xfId="0" applyNumberFormat="1" applyFont="1" applyFill="1" applyBorder="1" applyAlignment="1">
      <alignment horizontal="center" vertical="center"/>
    </xf>
    <xf numFmtId="49" fontId="16" fillId="16" borderId="0" xfId="0" applyNumberFormat="1" applyFont="1" applyFill="1" applyBorder="1" applyAlignment="1">
      <alignment horizontal="center" vertical="center"/>
    </xf>
    <xf numFmtId="0" fontId="16" fillId="26" borderId="1" xfId="0" applyFont="1" applyFill="1" applyBorder="1" applyAlignment="1">
      <alignment horizontal="center"/>
    </xf>
    <xf numFmtId="0" fontId="16" fillId="38" borderId="0" xfId="0" applyFont="1" applyFill="1" applyBorder="1" applyAlignment="1">
      <alignment horizontal="center"/>
    </xf>
    <xf numFmtId="0" fontId="16" fillId="28" borderId="19" xfId="0" applyFont="1" applyFill="1" applyBorder="1" applyAlignment="1">
      <alignment horizontal="center"/>
    </xf>
    <xf numFmtId="0" fontId="19" fillId="13" borderId="0" xfId="0" applyFont="1" applyFill="1" applyBorder="1" applyAlignment="1">
      <alignment horizontal="center" vertical="center"/>
    </xf>
    <xf numFmtId="49" fontId="16" fillId="25" borderId="0" xfId="0" applyNumberFormat="1" applyFont="1" applyFill="1" applyBorder="1" applyAlignment="1">
      <alignment horizontal="center"/>
    </xf>
    <xf numFmtId="0" fontId="16" fillId="0" borderId="2" xfId="0" applyFont="1" applyFill="1" applyBorder="1" applyAlignment="1">
      <alignment horizontal="center"/>
    </xf>
    <xf numFmtId="49" fontId="16" fillId="26" borderId="0" xfId="0" applyNumberFormat="1" applyFont="1" applyFill="1" applyBorder="1" applyAlignment="1">
      <alignment horizontal="center" vertical="center"/>
    </xf>
    <xf numFmtId="0" fontId="16" fillId="27" borderId="0" xfId="0" applyFont="1" applyFill="1" applyBorder="1" applyAlignment="1">
      <alignment horizontal="center"/>
    </xf>
    <xf numFmtId="0" fontId="16" fillId="24" borderId="1" xfId="0" applyFont="1" applyFill="1" applyBorder="1" applyAlignment="1">
      <alignment horizontal="center"/>
    </xf>
    <xf numFmtId="49" fontId="16" fillId="28" borderId="2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49" fontId="16" fillId="19" borderId="0" xfId="0" applyNumberFormat="1" applyFont="1" applyFill="1" applyBorder="1" applyAlignment="1">
      <alignment horizontal="center" vertical="center"/>
    </xf>
    <xf numFmtId="0" fontId="16" fillId="41" borderId="1" xfId="0" applyFont="1" applyFill="1" applyBorder="1" applyAlignment="1">
      <alignment horizontal="center"/>
    </xf>
    <xf numFmtId="49" fontId="16" fillId="15" borderId="1" xfId="0" applyNumberFormat="1" applyFont="1" applyFill="1" applyBorder="1" applyAlignment="1">
      <alignment horizontal="center" vertical="center"/>
    </xf>
    <xf numFmtId="0" fontId="22" fillId="0" borderId="11" xfId="0" applyFont="1" applyBorder="1" applyAlignment="1">
      <alignment horizontal="center"/>
    </xf>
    <xf numFmtId="0" fontId="52" fillId="34" borderId="21" xfId="0" applyFont="1" applyFill="1" applyBorder="1" applyAlignment="1">
      <alignment horizontal="center" vertical="center"/>
    </xf>
    <xf numFmtId="49" fontId="16" fillId="25" borderId="1" xfId="0" applyNumberFormat="1" applyFont="1" applyFill="1" applyBorder="1" applyAlignment="1">
      <alignment horizontal="center"/>
    </xf>
    <xf numFmtId="0" fontId="16" fillId="25" borderId="0" xfId="0" applyFont="1" applyFill="1" applyBorder="1" applyAlignment="1">
      <alignment horizontal="center"/>
    </xf>
    <xf numFmtId="0" fontId="16" fillId="0" borderId="29" xfId="0" applyFont="1" applyFill="1" applyBorder="1" applyAlignment="1"/>
    <xf numFmtId="0" fontId="19" fillId="0" borderId="0" xfId="0" applyFont="1" applyFill="1" applyBorder="1" applyAlignment="1">
      <alignment horizontal="center" vertical="center"/>
    </xf>
    <xf numFmtId="49" fontId="16" fillId="27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/>
    </xf>
    <xf numFmtId="0" fontId="18" fillId="34" borderId="1" xfId="0" applyFont="1" applyFill="1" applyBorder="1" applyAlignment="1">
      <alignment horizontal="center" vertical="top"/>
    </xf>
    <xf numFmtId="49" fontId="16" fillId="0" borderId="0" xfId="0" applyNumberFormat="1" applyFont="1" applyFill="1" applyBorder="1" applyAlignment="1">
      <alignment horizontal="center"/>
    </xf>
    <xf numFmtId="0" fontId="16" fillId="13" borderId="23" xfId="0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 vertical="center"/>
    </xf>
    <xf numFmtId="0" fontId="16" fillId="18" borderId="0" xfId="0" applyFont="1" applyFill="1" applyBorder="1" applyAlignment="1">
      <alignment horizontal="center"/>
    </xf>
    <xf numFmtId="0" fontId="16" fillId="26" borderId="19" xfId="0" applyFont="1" applyFill="1" applyBorder="1" applyAlignment="1">
      <alignment horizontal="center"/>
    </xf>
    <xf numFmtId="49" fontId="16" fillId="22" borderId="1" xfId="0" applyNumberFormat="1" applyFont="1" applyFill="1" applyBorder="1" applyAlignment="1">
      <alignment horizontal="center" vertical="center"/>
    </xf>
    <xf numFmtId="0" fontId="16" fillId="37" borderId="0" xfId="0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6" fillId="17" borderId="1" xfId="0" applyFont="1" applyFill="1" applyBorder="1" applyAlignment="1">
      <alignment horizontal="center"/>
    </xf>
    <xf numFmtId="0" fontId="16" fillId="0" borderId="28" xfId="0" applyFont="1" applyFill="1" applyBorder="1" applyAlignment="1">
      <alignment horizontal="center"/>
    </xf>
    <xf numFmtId="49" fontId="19" fillId="36" borderId="0" xfId="0" applyNumberFormat="1" applyFont="1" applyFill="1" applyBorder="1" applyAlignment="1">
      <alignment horizontal="center" vertical="center"/>
    </xf>
    <xf numFmtId="49" fontId="16" fillId="23" borderId="0" xfId="0" applyNumberFormat="1" applyFont="1" applyFill="1" applyBorder="1" applyAlignment="1">
      <alignment horizontal="center" vertical="center"/>
    </xf>
    <xf numFmtId="0" fontId="16" fillId="34" borderId="1" xfId="0" applyFont="1" applyFill="1" applyBorder="1" applyAlignment="1">
      <alignment horizontal="center"/>
    </xf>
    <xf numFmtId="0" fontId="16" fillId="28" borderId="0" xfId="0" applyFont="1" applyFill="1" applyBorder="1" applyAlignment="1">
      <alignment horizontal="center"/>
    </xf>
    <xf numFmtId="49" fontId="16" fillId="26" borderId="1" xfId="0" applyNumberFormat="1" applyFont="1" applyFill="1" applyBorder="1" applyAlignment="1">
      <alignment horizontal="center"/>
    </xf>
    <xf numFmtId="0" fontId="16" fillId="0" borderId="13" xfId="0" applyFont="1" applyFill="1" applyBorder="1" applyAlignment="1">
      <alignment horizontal="center"/>
    </xf>
    <xf numFmtId="49" fontId="16" fillId="28" borderId="1" xfId="0" applyNumberFormat="1" applyFont="1" applyFill="1" applyBorder="1" applyAlignment="1">
      <alignment horizontal="center" vertical="center"/>
    </xf>
    <xf numFmtId="49" fontId="19" fillId="0" borderId="0" xfId="0" applyNumberFormat="1" applyFont="1" applyFill="1" applyBorder="1" applyAlignment="1">
      <alignment horizontal="center" vertical="center"/>
    </xf>
    <xf numFmtId="0" fontId="16" fillId="19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/>
    </xf>
    <xf numFmtId="49" fontId="16" fillId="20" borderId="1" xfId="0" applyNumberFormat="1" applyFont="1" applyFill="1" applyBorder="1" applyAlignment="1">
      <alignment horizontal="center" vertical="center"/>
    </xf>
    <xf numFmtId="0" fontId="22" fillId="2" borderId="10" xfId="0" applyFont="1" applyFill="1" applyBorder="1" applyAlignment="1">
      <alignment horizontal="center"/>
    </xf>
    <xf numFmtId="0" fontId="22" fillId="34" borderId="21" xfId="0" applyFont="1" applyFill="1" applyBorder="1" applyAlignment="1">
      <alignment horizontal="center" vertical="center"/>
    </xf>
    <xf numFmtId="49" fontId="16" fillId="22" borderId="0" xfId="0" applyNumberFormat="1" applyFont="1" applyFill="1" applyBorder="1" applyAlignment="1">
      <alignment horizontal="center"/>
    </xf>
    <xf numFmtId="0" fontId="16" fillId="18" borderId="14" xfId="0" applyFont="1" applyFill="1" applyBorder="1" applyAlignment="1">
      <alignment horizontal="center"/>
    </xf>
    <xf numFmtId="0" fontId="16" fillId="0" borderId="30" xfId="0" applyFont="1" applyFill="1" applyBorder="1" applyAlignment="1">
      <alignment horizontal="center"/>
    </xf>
    <xf numFmtId="49" fontId="16" fillId="27" borderId="0" xfId="0" applyNumberFormat="1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/>
    </xf>
    <xf numFmtId="0" fontId="16" fillId="13" borderId="3" xfId="0" applyFont="1" applyFill="1" applyBorder="1" applyAlignment="1">
      <alignment horizontal="center"/>
    </xf>
    <xf numFmtId="1" fontId="49" fillId="0" borderId="0" xfId="0" applyNumberFormat="1" applyFont="1" applyAlignment="1">
      <alignment horizontal="center"/>
    </xf>
    <xf numFmtId="49" fontId="16" fillId="21" borderId="3" xfId="0" applyNumberFormat="1" applyFont="1" applyFill="1" applyBorder="1" applyAlignment="1">
      <alignment horizontal="center" vertical="center"/>
    </xf>
    <xf numFmtId="49" fontId="16" fillId="35" borderId="0" xfId="0" applyNumberFormat="1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/>
    </xf>
    <xf numFmtId="0" fontId="53" fillId="0" borderId="0" xfId="0" applyFont="1" applyFill="1" applyBorder="1" applyAlignment="1"/>
    <xf numFmtId="0" fontId="16" fillId="13" borderId="0" xfId="0" applyFont="1" applyFill="1" applyBorder="1" applyAlignment="1"/>
    <xf numFmtId="0" fontId="16" fillId="25" borderId="1" xfId="0" applyFont="1" applyFill="1" applyBorder="1" applyAlignment="1">
      <alignment horizontal="center"/>
    </xf>
    <xf numFmtId="0" fontId="16" fillId="41" borderId="0" xfId="0" applyFont="1" applyFill="1" applyBorder="1" applyAlignment="1">
      <alignment horizontal="center"/>
    </xf>
    <xf numFmtId="0" fontId="19" fillId="41" borderId="0" xfId="0" applyFont="1" applyFill="1" applyBorder="1" applyAlignment="1">
      <alignment horizontal="center" vertical="center"/>
    </xf>
    <xf numFmtId="49" fontId="19" fillId="41" borderId="0" xfId="0" applyNumberFormat="1" applyFont="1" applyFill="1" applyBorder="1" applyAlignment="1">
      <alignment horizontal="center"/>
    </xf>
    <xf numFmtId="0" fontId="16" fillId="41" borderId="0" xfId="0" applyFont="1" applyFill="1" applyBorder="1" applyAlignment="1"/>
    <xf numFmtId="49" fontId="16" fillId="41" borderId="0" xfId="0" applyNumberFormat="1" applyFont="1" applyFill="1" applyBorder="1" applyAlignment="1">
      <alignment horizontal="center"/>
    </xf>
    <xf numFmtId="49" fontId="16" fillId="34" borderId="0" xfId="0" applyNumberFormat="1" applyFont="1" applyFill="1" applyBorder="1" applyAlignment="1">
      <alignment horizontal="center"/>
    </xf>
    <xf numFmtId="49" fontId="16" fillId="7" borderId="0" xfId="0" applyNumberFormat="1" applyFont="1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19" fillId="12" borderId="0" xfId="0" applyFont="1" applyFill="1" applyBorder="1" applyAlignment="1">
      <alignment horizontal="center"/>
    </xf>
    <xf numFmtId="0" fontId="52" fillId="12" borderId="0" xfId="0" applyFont="1" applyFill="1" applyBorder="1" applyAlignment="1">
      <alignment horizontal="center"/>
    </xf>
    <xf numFmtId="49" fontId="19" fillId="12" borderId="0" xfId="0" applyNumberFormat="1" applyFont="1" applyFill="1" applyBorder="1" applyAlignment="1">
      <alignment horizontal="center" vertical="center"/>
    </xf>
    <xf numFmtId="49" fontId="19" fillId="12" borderId="0" xfId="0" applyNumberFormat="1" applyFont="1" applyFill="1" applyBorder="1" applyAlignment="1">
      <alignment horizontal="center"/>
    </xf>
    <xf numFmtId="0" fontId="22" fillId="12" borderId="0" xfId="0" applyFont="1" applyFill="1"/>
    <xf numFmtId="0" fontId="6" fillId="0" borderId="0" xfId="0" applyFont="1"/>
    <xf numFmtId="0" fontId="6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0" fillId="76" borderId="19" xfId="0" applyFill="1" applyBorder="1" applyAlignment="1">
      <alignment horizontal="center"/>
    </xf>
    <xf numFmtId="0" fontId="0" fillId="38" borderId="29" xfId="0" applyFill="1" applyBorder="1"/>
    <xf numFmtId="0" fontId="0" fillId="38" borderId="20" xfId="0" applyFill="1" applyBorder="1"/>
    <xf numFmtId="0" fontId="0" fillId="38" borderId="21" xfId="0" applyFill="1" applyBorder="1"/>
    <xf numFmtId="0" fontId="0" fillId="38" borderId="22" xfId="0" applyFill="1" applyBorder="1"/>
    <xf numFmtId="0" fontId="52" fillId="26" borderId="11" xfId="0" applyFont="1" applyFill="1" applyBorder="1" applyAlignment="1">
      <alignment horizontal="center"/>
    </xf>
    <xf numFmtId="9" fontId="13" fillId="0" borderId="0" xfId="0" applyNumberFormat="1" applyFont="1" applyAlignment="1">
      <alignment horizontal="center"/>
    </xf>
    <xf numFmtId="0" fontId="0" fillId="0" borderId="0" xfId="0" applyFill="1" applyBorder="1"/>
    <xf numFmtId="0" fontId="52" fillId="0" borderId="61" xfId="0" applyFont="1" applyBorder="1" applyAlignment="1">
      <alignment horizontal="center"/>
    </xf>
    <xf numFmtId="0" fontId="52" fillId="0" borderId="62" xfId="0" applyFont="1" applyBorder="1" applyAlignment="1">
      <alignment horizontal="center"/>
    </xf>
    <xf numFmtId="0" fontId="6" fillId="0" borderId="0" xfId="0" quotePrefix="1" applyFont="1"/>
    <xf numFmtId="9" fontId="6" fillId="0" borderId="0" xfId="0" applyNumberFormat="1" applyFont="1"/>
    <xf numFmtId="0" fontId="56" fillId="0" borderId="0" xfId="0" applyFont="1"/>
    <xf numFmtId="0" fontId="6" fillId="0" borderId="61" xfId="0" applyFont="1" applyBorder="1" applyAlignment="1">
      <alignment horizontal="center"/>
    </xf>
    <xf numFmtId="0" fontId="0" fillId="0" borderId="62" xfId="0" applyBorder="1"/>
    <xf numFmtId="0" fontId="52" fillId="0" borderId="63" xfId="0" applyFont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55" fillId="0" borderId="0" xfId="0" applyFont="1" applyFill="1" applyBorder="1" applyAlignment="1">
      <alignment horizontal="center"/>
    </xf>
    <xf numFmtId="0" fontId="55" fillId="73" borderId="0" xfId="0" applyFont="1" applyFill="1" applyBorder="1" applyAlignment="1">
      <alignment horizontal="center"/>
    </xf>
    <xf numFmtId="0" fontId="6" fillId="73" borderId="0" xfId="0" applyFont="1" applyFill="1" applyAlignment="1">
      <alignment horizontal="center"/>
    </xf>
    <xf numFmtId="0" fontId="17" fillId="73" borderId="0" xfId="0" applyFont="1" applyFill="1"/>
    <xf numFmtId="0" fontId="5" fillId="0" borderId="56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0" fontId="5" fillId="0" borderId="57" xfId="0" applyFont="1" applyBorder="1" applyAlignment="1">
      <alignment horizontal="center"/>
    </xf>
    <xf numFmtId="0" fontId="5" fillId="34" borderId="11" xfId="0" applyFont="1" applyFill="1" applyBorder="1" applyAlignment="1">
      <alignment horizontal="center"/>
    </xf>
    <xf numFmtId="0" fontId="5" fillId="0" borderId="0" xfId="0" applyFont="1" applyAlignment="1">
      <alignment vertical="top"/>
    </xf>
    <xf numFmtId="0" fontId="5" fillId="0" borderId="0" xfId="0" applyFont="1"/>
    <xf numFmtId="0" fontId="5" fillId="0" borderId="0" xfId="0" applyFont="1" applyFill="1"/>
    <xf numFmtId="0" fontId="5" fillId="0" borderId="0" xfId="0" applyFont="1" applyFill="1" applyAlignment="1"/>
    <xf numFmtId="0" fontId="5" fillId="0" borderId="0" xfId="0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41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41" borderId="0" xfId="0" applyFont="1" applyFill="1"/>
    <xf numFmtId="0" fontId="5" fillId="13" borderId="11" xfId="0" applyFont="1" applyFill="1" applyBorder="1" applyAlignment="1">
      <alignment horizontal="center"/>
    </xf>
    <xf numFmtId="0" fontId="5" fillId="36" borderId="0" xfId="0" applyFont="1" applyFill="1" applyBorder="1" applyAlignment="1">
      <alignment horizontal="center"/>
    </xf>
    <xf numFmtId="0" fontId="5" fillId="0" borderId="0" xfId="0" applyFont="1" applyFill="1" applyBorder="1" applyAlignment="1"/>
    <xf numFmtId="0" fontId="5" fillId="0" borderId="0" xfId="0" applyFont="1" applyAlignment="1">
      <alignment horizontal="center" vertical="top"/>
    </xf>
    <xf numFmtId="0" fontId="5" fillId="0" borderId="0" xfId="0" applyFont="1" applyFill="1" applyBorder="1" applyAlignment="1">
      <alignment horizontal="center"/>
    </xf>
    <xf numFmtId="1" fontId="5" fillId="0" borderId="0" xfId="0" applyNumberFormat="1" applyFont="1" applyBorder="1" applyAlignment="1">
      <alignment horizontal="center"/>
    </xf>
    <xf numFmtId="0" fontId="5" fillId="0" borderId="0" xfId="0" applyFont="1" applyFill="1" applyAlignment="1">
      <alignment vertical="top"/>
    </xf>
    <xf numFmtId="0" fontId="5" fillId="13" borderId="16" xfId="0" applyFont="1" applyFill="1" applyBorder="1" applyAlignment="1">
      <alignment horizontal="center" vertical="top"/>
    </xf>
    <xf numFmtId="1" fontId="5" fillId="0" borderId="0" xfId="0" applyNumberFormat="1" applyFont="1" applyAlignment="1">
      <alignment horizontal="center"/>
    </xf>
    <xf numFmtId="0" fontId="5" fillId="0" borderId="16" xfId="0" applyFont="1" applyBorder="1" applyAlignment="1">
      <alignment horizontal="center" vertical="top"/>
    </xf>
    <xf numFmtId="0" fontId="5" fillId="18" borderId="13" xfId="0" applyFont="1" applyFill="1" applyBorder="1" applyAlignment="1">
      <alignment horizontal="center"/>
    </xf>
    <xf numFmtId="0" fontId="5" fillId="28" borderId="1" xfId="0" applyFont="1" applyFill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13" borderId="17" xfId="0" applyFont="1" applyFill="1" applyBorder="1" applyAlignment="1">
      <alignment horizontal="center" vertical="top"/>
    </xf>
    <xf numFmtId="0" fontId="5" fillId="0" borderId="17" xfId="0" applyFont="1" applyBorder="1" applyAlignment="1">
      <alignment horizontal="center" vertical="top"/>
    </xf>
    <xf numFmtId="0" fontId="5" fillId="18" borderId="17" xfId="0" applyFont="1" applyFill="1" applyBorder="1" applyAlignment="1">
      <alignment horizontal="center" vertical="top"/>
    </xf>
    <xf numFmtId="0" fontId="5" fillId="26" borderId="0" xfId="0" applyFont="1" applyFill="1" applyBorder="1" applyAlignment="1">
      <alignment horizontal="center"/>
    </xf>
    <xf numFmtId="0" fontId="5" fillId="34" borderId="17" xfId="0" applyFont="1" applyFill="1" applyBorder="1" applyAlignment="1">
      <alignment horizontal="center" vertical="top"/>
    </xf>
    <xf numFmtId="0" fontId="5" fillId="13" borderId="1" xfId="0" applyFont="1" applyFill="1" applyBorder="1" applyAlignment="1">
      <alignment horizontal="center"/>
    </xf>
    <xf numFmtId="0" fontId="5" fillId="26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49" fontId="5" fillId="26" borderId="1" xfId="0" applyNumberFormat="1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/>
    </xf>
    <xf numFmtId="0" fontId="5" fillId="35" borderId="17" xfId="0" applyFont="1" applyFill="1" applyBorder="1" applyAlignment="1">
      <alignment horizontal="center" vertical="top"/>
    </xf>
    <xf numFmtId="0" fontId="5" fillId="26" borderId="13" xfId="0" applyFont="1" applyFill="1" applyBorder="1" applyAlignment="1">
      <alignment horizontal="center"/>
    </xf>
    <xf numFmtId="0" fontId="5" fillId="34" borderId="1" xfId="0" applyFont="1" applyFill="1" applyBorder="1" applyAlignment="1">
      <alignment horizontal="center"/>
    </xf>
    <xf numFmtId="0" fontId="5" fillId="13" borderId="2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/>
    </xf>
    <xf numFmtId="49" fontId="5" fillId="26" borderId="2" xfId="0" applyNumberFormat="1" applyFont="1" applyFill="1" applyBorder="1" applyAlignment="1">
      <alignment horizontal="center" vertical="center"/>
    </xf>
    <xf numFmtId="0" fontId="5" fillId="26" borderId="28" xfId="0" applyFont="1" applyFill="1" applyBorder="1" applyAlignment="1">
      <alignment horizontal="center"/>
    </xf>
    <xf numFmtId="0" fontId="5" fillId="13" borderId="0" xfId="0" applyFont="1" applyFill="1" applyBorder="1" applyAlignment="1">
      <alignment horizontal="center" vertical="top"/>
    </xf>
    <xf numFmtId="0" fontId="5" fillId="0" borderId="19" xfId="0" applyFont="1" applyFill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34" borderId="11" xfId="0" applyFont="1" applyFill="1" applyBorder="1"/>
    <xf numFmtId="0" fontId="5" fillId="18" borderId="18" xfId="0" applyFont="1" applyFill="1" applyBorder="1" applyAlignment="1">
      <alignment horizontal="center" vertical="top"/>
    </xf>
    <xf numFmtId="0" fontId="5" fillId="0" borderId="18" xfId="0" applyFont="1" applyBorder="1" applyAlignment="1">
      <alignment horizontal="center" vertical="top"/>
    </xf>
    <xf numFmtId="0" fontId="5" fillId="13" borderId="0" xfId="0" applyFont="1" applyFill="1"/>
    <xf numFmtId="0" fontId="5" fillId="18" borderId="1" xfId="0" applyFont="1" applyFill="1" applyBorder="1" applyAlignment="1">
      <alignment horizontal="center"/>
    </xf>
    <xf numFmtId="0" fontId="5" fillId="0" borderId="23" xfId="0" applyFont="1" applyFill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58" fillId="36" borderId="0" xfId="0" applyFont="1" applyFill="1" applyAlignment="1">
      <alignment horizontal="center"/>
    </xf>
    <xf numFmtId="0" fontId="5" fillId="12" borderId="0" xfId="0" applyFont="1" applyFill="1"/>
    <xf numFmtId="0" fontId="5" fillId="36" borderId="0" xfId="0" applyFont="1" applyFill="1"/>
    <xf numFmtId="17" fontId="5" fillId="0" borderId="0" xfId="0" quotePrefix="1" applyNumberFormat="1" applyFont="1" applyAlignment="1">
      <alignment horizontal="center"/>
    </xf>
    <xf numFmtId="0" fontId="58" fillId="36" borderId="64" xfId="0" applyFont="1" applyFill="1" applyBorder="1" applyAlignment="1">
      <alignment horizontal="center"/>
    </xf>
    <xf numFmtId="0" fontId="5" fillId="0" borderId="0" xfId="0" applyFont="1" applyFill="1" applyBorder="1"/>
    <xf numFmtId="0" fontId="58" fillId="36" borderId="65" xfId="0" applyFont="1" applyFill="1" applyBorder="1" applyAlignment="1">
      <alignment horizontal="center"/>
    </xf>
    <xf numFmtId="0" fontId="19" fillId="0" borderId="0" xfId="0" applyNumberFormat="1" applyFont="1" applyFill="1" applyBorder="1" applyAlignment="1">
      <alignment horizontal="center" vertical="center"/>
    </xf>
    <xf numFmtId="0" fontId="5" fillId="13" borderId="0" xfId="0" applyFont="1" applyFill="1" applyAlignment="1">
      <alignment vertical="top"/>
    </xf>
    <xf numFmtId="0" fontId="19" fillId="0" borderId="1" xfId="0" applyFont="1" applyFill="1" applyBorder="1" applyAlignment="1">
      <alignment horizontal="center" vertical="center"/>
    </xf>
    <xf numFmtId="49" fontId="19" fillId="0" borderId="1" xfId="0" applyNumberFormat="1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/>
    </xf>
    <xf numFmtId="49" fontId="19" fillId="0" borderId="1" xfId="0" applyNumberFormat="1" applyFont="1" applyFill="1" applyBorder="1" applyAlignment="1">
      <alignment horizontal="center"/>
    </xf>
    <xf numFmtId="0" fontId="18" fillId="0" borderId="0" xfId="1" applyNumberFormat="1" applyFont="1">
      <alignment vertical="top"/>
    </xf>
    <xf numFmtId="0" fontId="5" fillId="13" borderId="0" xfId="0" applyFont="1" applyFill="1" applyAlignment="1">
      <alignment horizontal="center" vertical="top"/>
    </xf>
    <xf numFmtId="0" fontId="16" fillId="0" borderId="1" xfId="0" applyFont="1" applyFill="1" applyBorder="1" applyAlignment="1">
      <alignment horizontal="center" vertical="top"/>
    </xf>
    <xf numFmtId="0" fontId="18" fillId="0" borderId="1" xfId="0" applyFont="1" applyFill="1" applyBorder="1" applyAlignment="1">
      <alignment horizontal="center" vertical="top"/>
    </xf>
    <xf numFmtId="0" fontId="16" fillId="25" borderId="0" xfId="0" applyFont="1" applyFill="1" applyAlignment="1"/>
    <xf numFmtId="0" fontId="5" fillId="27" borderId="0" xfId="0" applyFont="1" applyFill="1" applyAlignment="1">
      <alignment vertical="top"/>
    </xf>
    <xf numFmtId="0" fontId="5" fillId="28" borderId="0" xfId="0" applyFont="1" applyFill="1" applyAlignment="1">
      <alignment horizontal="center" vertical="top"/>
    </xf>
    <xf numFmtId="0" fontId="16" fillId="28" borderId="0" xfId="0" applyFont="1" applyFill="1" applyAlignment="1"/>
    <xf numFmtId="0" fontId="5" fillId="25" borderId="0" xfId="0" applyFont="1" applyFill="1" applyAlignment="1">
      <alignment vertical="top"/>
    </xf>
    <xf numFmtId="0" fontId="5" fillId="18" borderId="0" xfId="0" applyFont="1" applyFill="1" applyAlignment="1">
      <alignment horizontal="center" vertical="top"/>
    </xf>
    <xf numFmtId="0" fontId="5" fillId="34" borderId="0" xfId="0" applyFont="1" applyFill="1" applyAlignment="1">
      <alignment horizontal="center" vertical="top"/>
    </xf>
    <xf numFmtId="49" fontId="52" fillId="0" borderId="1" xfId="0" applyNumberFormat="1" applyFont="1" applyFill="1" applyBorder="1" applyAlignment="1">
      <alignment horizontal="center" vertical="center"/>
    </xf>
    <xf numFmtId="0" fontId="5" fillId="35" borderId="0" xfId="0" applyFont="1" applyFill="1" applyAlignment="1">
      <alignment horizontal="center" vertical="top"/>
    </xf>
    <xf numFmtId="0" fontId="16" fillId="27" borderId="0" xfId="0" applyFont="1" applyFill="1" applyAlignment="1"/>
    <xf numFmtId="0" fontId="5" fillId="28" borderId="0" xfId="0" applyFont="1" applyFill="1" applyAlignment="1">
      <alignment vertical="top"/>
    </xf>
    <xf numFmtId="49" fontId="19" fillId="0" borderId="2" xfId="0" applyNumberFormat="1" applyFont="1" applyFill="1" applyBorder="1" applyAlignment="1">
      <alignment horizontal="center" vertical="center"/>
    </xf>
    <xf numFmtId="49" fontId="19" fillId="0" borderId="4" xfId="0" applyNumberFormat="1" applyFont="1" applyFill="1" applyBorder="1" applyAlignment="1">
      <alignment horizontal="center" vertical="center"/>
    </xf>
    <xf numFmtId="49" fontId="19" fillId="0" borderId="3" xfId="0" applyNumberFormat="1" applyFont="1" applyFill="1" applyBorder="1" applyAlignment="1">
      <alignment horizontal="center" vertical="center"/>
    </xf>
    <xf numFmtId="49" fontId="52" fillId="0" borderId="2" xfId="0" applyNumberFormat="1" applyFont="1" applyFill="1" applyBorder="1" applyAlignment="1">
      <alignment horizontal="center" vertical="center"/>
    </xf>
    <xf numFmtId="0" fontId="16" fillId="29" borderId="0" xfId="0" applyFont="1" applyFill="1" applyAlignment="1"/>
    <xf numFmtId="0" fontId="16" fillId="16" borderId="15" xfId="0" applyFont="1" applyFill="1" applyBorder="1" applyAlignment="1">
      <alignment horizontal="center"/>
    </xf>
    <xf numFmtId="0" fontId="16" fillId="0" borderId="15" xfId="0" applyFont="1" applyFill="1" applyBorder="1" applyAlignment="1">
      <alignment horizontal="center"/>
    </xf>
    <xf numFmtId="0" fontId="5" fillId="0" borderId="0" xfId="0" applyFont="1" applyBorder="1"/>
    <xf numFmtId="49" fontId="16" fillId="73" borderId="69" xfId="0" applyNumberFormat="1" applyFont="1" applyFill="1" applyBorder="1" applyAlignment="1">
      <alignment horizontal="left" vertical="center"/>
    </xf>
    <xf numFmtId="49" fontId="16" fillId="73" borderId="70" xfId="0" applyNumberFormat="1" applyFont="1" applyFill="1" applyBorder="1" applyAlignment="1">
      <alignment horizontal="left" vertical="center"/>
    </xf>
    <xf numFmtId="49" fontId="16" fillId="73" borderId="70" xfId="0" applyNumberFormat="1" applyFont="1" applyFill="1" applyBorder="1" applyAlignment="1">
      <alignment horizontal="center" vertical="center"/>
    </xf>
    <xf numFmtId="49" fontId="16" fillId="73" borderId="70" xfId="0" applyNumberFormat="1" applyFont="1" applyFill="1" applyBorder="1" applyAlignment="1">
      <alignment vertical="center"/>
    </xf>
    <xf numFmtId="49" fontId="5" fillId="73" borderId="70" xfId="0" applyNumberFormat="1" applyFont="1" applyFill="1" applyBorder="1" applyAlignment="1">
      <alignment horizontal="center" vertical="center"/>
    </xf>
    <xf numFmtId="49" fontId="16" fillId="73" borderId="71" xfId="0" applyNumberFormat="1" applyFont="1" applyFill="1" applyBorder="1" applyAlignment="1">
      <alignment horizontal="center" vertical="center"/>
    </xf>
    <xf numFmtId="0" fontId="5" fillId="73" borderId="70" xfId="0" applyFont="1" applyFill="1" applyBorder="1" applyAlignment="1"/>
    <xf numFmtId="0" fontId="5" fillId="73" borderId="70" xfId="0" applyFont="1" applyFill="1" applyBorder="1"/>
    <xf numFmtId="0" fontId="5" fillId="73" borderId="71" xfId="0" applyFont="1" applyFill="1" applyBorder="1"/>
    <xf numFmtId="0" fontId="5" fillId="36" borderId="55" xfId="0" applyFont="1" applyFill="1" applyBorder="1" applyAlignment="1">
      <alignment horizontal="center"/>
    </xf>
    <xf numFmtId="0" fontId="5" fillId="36" borderId="56" xfId="0" applyFont="1" applyFill="1" applyBorder="1" applyAlignment="1">
      <alignment horizontal="center"/>
    </xf>
    <xf numFmtId="0" fontId="5" fillId="36" borderId="57" xfId="0" applyFont="1" applyFill="1" applyBorder="1" applyAlignment="1">
      <alignment horizontal="center"/>
    </xf>
    <xf numFmtId="0" fontId="58" fillId="36" borderId="66" xfId="0" applyFont="1" applyFill="1" applyBorder="1" applyAlignment="1">
      <alignment horizontal="center"/>
    </xf>
    <xf numFmtId="49" fontId="16" fillId="73" borderId="67" xfId="0" applyNumberFormat="1" applyFont="1" applyFill="1" applyBorder="1" applyAlignment="1">
      <alignment horizontal="left" vertical="center"/>
    </xf>
    <xf numFmtId="49" fontId="16" fillId="73" borderId="0" xfId="0" applyNumberFormat="1" applyFont="1" applyFill="1" applyBorder="1" applyAlignment="1">
      <alignment horizontal="left" vertical="center"/>
    </xf>
    <xf numFmtId="0" fontId="5" fillId="73" borderId="0" xfId="0" applyFont="1" applyFill="1" applyBorder="1" applyAlignment="1">
      <alignment horizontal="left"/>
    </xf>
    <xf numFmtId="49" fontId="16" fillId="73" borderId="0" xfId="0" applyNumberFormat="1" applyFont="1" applyFill="1" applyBorder="1" applyAlignment="1">
      <alignment horizontal="center" vertical="center"/>
    </xf>
    <xf numFmtId="0" fontId="16" fillId="73" borderId="0" xfId="0" applyFont="1" applyFill="1" applyBorder="1" applyAlignment="1">
      <alignment horizontal="left"/>
    </xf>
    <xf numFmtId="49" fontId="5" fillId="73" borderId="0" xfId="0" applyNumberFormat="1" applyFont="1" applyFill="1" applyBorder="1" applyAlignment="1">
      <alignment horizontal="left" vertical="center"/>
    </xf>
    <xf numFmtId="49" fontId="16" fillId="73" borderId="68" xfId="0" applyNumberFormat="1" applyFont="1" applyFill="1" applyBorder="1" applyAlignment="1">
      <alignment horizontal="center" vertical="center"/>
    </xf>
    <xf numFmtId="49" fontId="16" fillId="73" borderId="67" xfId="0" applyNumberFormat="1" applyFont="1" applyFill="1" applyBorder="1" applyAlignment="1">
      <alignment horizontal="left"/>
    </xf>
    <xf numFmtId="49" fontId="16" fillId="73" borderId="0" xfId="0" applyNumberFormat="1" applyFont="1" applyFill="1" applyBorder="1" applyAlignment="1">
      <alignment horizontal="left"/>
    </xf>
    <xf numFmtId="0" fontId="5" fillId="73" borderId="0" xfId="0" applyFont="1" applyFill="1" applyBorder="1" applyAlignment="1"/>
    <xf numFmtId="0" fontId="5" fillId="73" borderId="68" xfId="0" applyFont="1" applyFill="1" applyBorder="1" applyAlignment="1"/>
    <xf numFmtId="0" fontId="61" fillId="73" borderId="0" xfId="0" applyFont="1" applyFill="1" applyBorder="1" applyAlignment="1">
      <alignment horizontal="left" vertical="center"/>
    </xf>
    <xf numFmtId="49" fontId="5" fillId="73" borderId="68" xfId="0" applyNumberFormat="1" applyFont="1" applyFill="1" applyBorder="1" applyAlignment="1">
      <alignment horizontal="left" vertical="center"/>
    </xf>
    <xf numFmtId="0" fontId="61" fillId="73" borderId="0" xfId="0" applyFont="1" applyFill="1" applyBorder="1" applyAlignment="1">
      <alignment horizontal="left"/>
    </xf>
    <xf numFmtId="49" fontId="16" fillId="73" borderId="72" xfId="0" applyNumberFormat="1" applyFont="1" applyFill="1" applyBorder="1" applyAlignment="1">
      <alignment horizontal="left" vertical="center"/>
    </xf>
    <xf numFmtId="49" fontId="16" fillId="73" borderId="73" xfId="0" applyNumberFormat="1" applyFont="1" applyFill="1" applyBorder="1" applyAlignment="1">
      <alignment horizontal="left" vertical="center"/>
    </xf>
    <xf numFmtId="0" fontId="5" fillId="73" borderId="73" xfId="0" applyFont="1" applyFill="1" applyBorder="1" applyAlignment="1">
      <alignment horizontal="center"/>
    </xf>
    <xf numFmtId="0" fontId="16" fillId="73" borderId="73" xfId="0" applyFont="1" applyFill="1" applyBorder="1" applyAlignment="1">
      <alignment horizontal="left"/>
    </xf>
    <xf numFmtId="49" fontId="5" fillId="73" borderId="74" xfId="0" applyNumberFormat="1" applyFont="1" applyFill="1" applyBorder="1" applyAlignment="1">
      <alignment horizontal="left" vertical="center"/>
    </xf>
    <xf numFmtId="49" fontId="16" fillId="73" borderId="67" xfId="0" applyNumberFormat="1" applyFont="1" applyFill="1" applyBorder="1" applyAlignment="1">
      <alignment horizontal="center" vertical="center"/>
    </xf>
    <xf numFmtId="0" fontId="58" fillId="36" borderId="75" xfId="0" applyFont="1" applyFill="1" applyBorder="1" applyAlignment="1">
      <alignment horizontal="center"/>
    </xf>
    <xf numFmtId="0" fontId="58" fillId="36" borderId="23" xfId="0" applyFont="1" applyFill="1" applyBorder="1" applyAlignment="1">
      <alignment horizontal="center"/>
    </xf>
    <xf numFmtId="0" fontId="58" fillId="36" borderId="76" xfId="0" applyFont="1" applyFill="1" applyBorder="1" applyAlignment="1">
      <alignment horizontal="center"/>
    </xf>
    <xf numFmtId="0" fontId="5" fillId="73" borderId="67" xfId="0" applyFont="1" applyFill="1" applyBorder="1" applyAlignment="1">
      <alignment horizontal="left"/>
    </xf>
    <xf numFmtId="49" fontId="16" fillId="73" borderId="0" xfId="0" applyNumberFormat="1" applyFont="1" applyFill="1" applyBorder="1" applyAlignment="1">
      <alignment vertical="center"/>
    </xf>
    <xf numFmtId="0" fontId="5" fillId="73" borderId="0" xfId="0" applyFont="1" applyFill="1" applyBorder="1" applyAlignment="1">
      <alignment horizontal="center"/>
    </xf>
    <xf numFmtId="0" fontId="5" fillId="73" borderId="68" xfId="0" applyFont="1" applyFill="1" applyBorder="1" applyAlignment="1">
      <alignment horizontal="center"/>
    </xf>
    <xf numFmtId="0" fontId="5" fillId="73" borderId="0" xfId="0" applyFont="1" applyFill="1" applyBorder="1"/>
    <xf numFmtId="0" fontId="5" fillId="73" borderId="72" xfId="0" applyFont="1" applyFill="1" applyBorder="1" applyAlignment="1">
      <alignment horizontal="left"/>
    </xf>
    <xf numFmtId="0" fontId="5" fillId="73" borderId="73" xfId="0" applyFont="1" applyFill="1" applyBorder="1" applyAlignment="1"/>
    <xf numFmtId="0" fontId="5" fillId="73" borderId="73" xfId="0" applyFont="1" applyFill="1" applyBorder="1" applyAlignment="1">
      <alignment horizontal="left"/>
    </xf>
    <xf numFmtId="0" fontId="5" fillId="73" borderId="74" xfId="0" applyFont="1" applyFill="1" applyBorder="1" applyAlignment="1">
      <alignment horizontal="center"/>
    </xf>
    <xf numFmtId="0" fontId="16" fillId="73" borderId="69" xfId="0" applyFont="1" applyFill="1" applyBorder="1" applyAlignment="1">
      <alignment horizontal="center"/>
    </xf>
    <xf numFmtId="0" fontId="16" fillId="73" borderId="70" xfId="0" applyFont="1" applyFill="1" applyBorder="1" applyAlignment="1">
      <alignment horizontal="left"/>
    </xf>
    <xf numFmtId="0" fontId="5" fillId="73" borderId="70" xfId="0" applyFont="1" applyFill="1" applyBorder="1" applyAlignment="1">
      <alignment horizontal="center"/>
    </xf>
    <xf numFmtId="0" fontId="5" fillId="73" borderId="71" xfId="0" applyFont="1" applyFill="1" applyBorder="1" applyAlignment="1">
      <alignment horizontal="center"/>
    </xf>
    <xf numFmtId="0" fontId="16" fillId="73" borderId="67" xfId="0" applyFont="1" applyFill="1" applyBorder="1" applyAlignment="1">
      <alignment horizontal="center"/>
    </xf>
    <xf numFmtId="0" fontId="16" fillId="73" borderId="72" xfId="0" applyFont="1" applyFill="1" applyBorder="1" applyAlignment="1">
      <alignment horizontal="center"/>
    </xf>
    <xf numFmtId="0" fontId="57" fillId="36" borderId="16" xfId="0" applyFont="1" applyFill="1" applyBorder="1" applyAlignment="1">
      <alignment horizontal="center"/>
    </xf>
    <xf numFmtId="0" fontId="57" fillId="36" borderId="18" xfId="0" applyFont="1" applyFill="1" applyBorder="1" applyAlignment="1">
      <alignment horizontal="center"/>
    </xf>
    <xf numFmtId="0" fontId="63" fillId="30" borderId="8" xfId="1" applyNumberFormat="1" applyFont="1" applyFill="1" applyBorder="1" applyAlignment="1">
      <alignment horizontal="center" vertical="center"/>
    </xf>
    <xf numFmtId="0" fontId="63" fillId="30" borderId="8" xfId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16" fillId="0" borderId="0" xfId="12" applyFont="1" applyAlignment="1">
      <alignment horizontal="center"/>
    </xf>
    <xf numFmtId="1" fontId="16" fillId="0" borderId="0" xfId="12" applyNumberFormat="1" applyFont="1" applyAlignment="1">
      <alignment horizontal="center" vertical="top"/>
    </xf>
    <xf numFmtId="0" fontId="63" fillId="0" borderId="8" xfId="0" applyNumberFormat="1" applyFont="1" applyFill="1" applyBorder="1" applyAlignment="1">
      <alignment horizontal="center" vertical="center" wrapText="1"/>
    </xf>
    <xf numFmtId="0" fontId="63" fillId="0" borderId="8" xfId="0" applyFont="1" applyFill="1" applyBorder="1" applyAlignment="1">
      <alignment horizontal="center" vertical="center" wrapText="1"/>
    </xf>
    <xf numFmtId="0" fontId="63" fillId="0" borderId="0" xfId="0" applyFont="1" applyFill="1" applyBorder="1" applyAlignment="1">
      <alignment horizontal="center" vertical="center" wrapText="1"/>
    </xf>
    <xf numFmtId="1" fontId="18" fillId="0" borderId="0" xfId="0" applyNumberFormat="1" applyFont="1" applyAlignment="1">
      <alignment horizontal="center" vertical="top"/>
    </xf>
    <xf numFmtId="14" fontId="16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4" fontId="18" fillId="0" borderId="0" xfId="0" applyNumberFormat="1" applyFont="1" applyAlignment="1">
      <alignment horizontal="center" vertical="top"/>
    </xf>
    <xf numFmtId="14" fontId="4" fillId="0" borderId="0" xfId="0" applyNumberFormat="1" applyFont="1" applyAlignment="1">
      <alignment horizontal="center"/>
    </xf>
    <xf numFmtId="0" fontId="16" fillId="31" borderId="8" xfId="0" applyNumberFormat="1" applyFont="1" applyFill="1" applyBorder="1" applyAlignment="1">
      <alignment horizontal="center" vertical="center" wrapText="1"/>
    </xf>
    <xf numFmtId="1" fontId="16" fillId="31" borderId="8" xfId="0" applyNumberFormat="1" applyFont="1" applyFill="1" applyBorder="1" applyAlignment="1">
      <alignment horizontal="center" vertical="center" wrapText="1"/>
    </xf>
    <xf numFmtId="1" fontId="16" fillId="31" borderId="0" xfId="0" applyNumberFormat="1" applyFont="1" applyFill="1" applyBorder="1" applyAlignment="1">
      <alignment horizontal="center" vertical="center" wrapText="1"/>
    </xf>
    <xf numFmtId="14" fontId="16" fillId="0" borderId="0" xfId="12" applyNumberFormat="1" applyFont="1" applyAlignment="1">
      <alignment horizontal="center" vertical="top"/>
    </xf>
    <xf numFmtId="1" fontId="4" fillId="0" borderId="0" xfId="0" applyNumberFormat="1" applyFont="1" applyAlignment="1">
      <alignment horizontal="center"/>
    </xf>
    <xf numFmtId="0" fontId="16" fillId="36" borderId="5" xfId="0" applyNumberFormat="1" applyFont="1" applyFill="1" applyBorder="1" applyAlignment="1">
      <alignment horizontal="center"/>
    </xf>
    <xf numFmtId="0" fontId="4" fillId="36" borderId="6" xfId="0" applyFont="1" applyFill="1" applyBorder="1" applyAlignment="1">
      <alignment horizontal="center" vertical="center"/>
    </xf>
    <xf numFmtId="0" fontId="4" fillId="36" borderId="6" xfId="0" applyFont="1" applyFill="1" applyBorder="1" applyAlignment="1">
      <alignment horizontal="center"/>
    </xf>
    <xf numFmtId="0" fontId="18" fillId="36" borderId="0" xfId="1" applyNumberFormat="1" applyFont="1" applyFill="1" applyAlignment="1">
      <alignment horizontal="center" vertical="top"/>
    </xf>
    <xf numFmtId="0" fontId="4" fillId="36" borderId="7" xfId="0" applyFont="1" applyFill="1" applyBorder="1" applyAlignment="1">
      <alignment horizontal="center"/>
    </xf>
    <xf numFmtId="0" fontId="4" fillId="36" borderId="0" xfId="0" applyFont="1" applyFill="1" applyAlignment="1">
      <alignment horizontal="center"/>
    </xf>
    <xf numFmtId="1" fontId="0" fillId="0" borderId="0" xfId="0" applyNumberFormat="1" applyBorder="1" applyAlignment="1">
      <alignment horizontal="center"/>
    </xf>
    <xf numFmtId="0" fontId="3" fillId="0" borderId="0" xfId="0" applyFont="1" applyAlignment="1">
      <alignment vertical="top"/>
    </xf>
    <xf numFmtId="0" fontId="2" fillId="0" borderId="17" xfId="0" applyFont="1" applyBorder="1" applyAlignment="1">
      <alignment horizontal="center" vertical="top"/>
    </xf>
    <xf numFmtId="0" fontId="2" fillId="28" borderId="0" xfId="0" applyFont="1" applyFill="1" applyAlignment="1">
      <alignment horizontal="center" vertical="top"/>
    </xf>
    <xf numFmtId="0" fontId="1" fillId="0" borderId="0" xfId="0" applyFont="1" applyAlignment="1">
      <alignment vertical="top"/>
    </xf>
    <xf numFmtId="0" fontId="65" fillId="0" borderId="12" xfId="0" applyFont="1" applyBorder="1"/>
    <xf numFmtId="0" fontId="5" fillId="38" borderId="31" xfId="0" applyFont="1" applyFill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0" fillId="38" borderId="31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13" fillId="0" borderId="55" xfId="0" applyFont="1" applyBorder="1" applyAlignment="1">
      <alignment horizontal="center" vertical="center"/>
    </xf>
    <xf numFmtId="0" fontId="13" fillId="0" borderId="56" xfId="0" applyFont="1" applyBorder="1" applyAlignment="1">
      <alignment horizontal="center" vertical="center"/>
    </xf>
    <xf numFmtId="0" fontId="13" fillId="0" borderId="57" xfId="0" applyFont="1" applyBorder="1" applyAlignment="1">
      <alignment horizontal="center" vertical="center"/>
    </xf>
    <xf numFmtId="0" fontId="52" fillId="0" borderId="55" xfId="0" applyFont="1" applyBorder="1" applyAlignment="1">
      <alignment horizontal="center" vertical="center"/>
    </xf>
    <xf numFmtId="0" fontId="52" fillId="0" borderId="56" xfId="0" applyFont="1" applyBorder="1" applyAlignment="1">
      <alignment horizontal="center" vertical="center"/>
    </xf>
    <xf numFmtId="0" fontId="52" fillId="0" borderId="57" xfId="0" applyFont="1" applyBorder="1" applyAlignment="1">
      <alignment horizontal="center" vertical="center"/>
    </xf>
    <xf numFmtId="0" fontId="52" fillId="73" borderId="55" xfId="0" applyFont="1" applyFill="1" applyBorder="1" applyAlignment="1">
      <alignment horizontal="center" vertical="center"/>
    </xf>
    <xf numFmtId="0" fontId="52" fillId="73" borderId="56" xfId="0" applyFont="1" applyFill="1" applyBorder="1" applyAlignment="1">
      <alignment horizontal="center" vertical="center"/>
    </xf>
    <xf numFmtId="0" fontId="52" fillId="73" borderId="57" xfId="0" applyFont="1" applyFill="1" applyBorder="1" applyAlignment="1">
      <alignment horizontal="center" vertical="center"/>
    </xf>
    <xf numFmtId="0" fontId="0" fillId="13" borderId="55" xfId="0" applyFill="1" applyBorder="1" applyAlignment="1">
      <alignment horizontal="center"/>
    </xf>
    <xf numFmtId="0" fontId="0" fillId="13" borderId="56" xfId="0" applyFill="1" applyBorder="1" applyAlignment="1">
      <alignment horizontal="center"/>
    </xf>
    <xf numFmtId="0" fontId="0" fillId="13" borderId="57" xfId="0" applyFill="1" applyBorder="1" applyAlignment="1">
      <alignment horizontal="center"/>
    </xf>
    <xf numFmtId="0" fontId="62" fillId="0" borderId="55" xfId="0" applyFont="1" applyBorder="1" applyAlignment="1">
      <alignment horizontal="center"/>
    </xf>
    <xf numFmtId="0" fontId="62" fillId="0" borderId="57" xfId="0" applyFont="1" applyBorder="1" applyAlignment="1">
      <alignment horizontal="center"/>
    </xf>
  </cellXfs>
  <cellStyles count="38632">
    <cellStyle name="20 % - Accent1 2" xfId="30"/>
    <cellStyle name="20 % - Accent1 3" xfId="71"/>
    <cellStyle name="20 % - Accent2 2" xfId="31"/>
    <cellStyle name="20 % - Accent2 3" xfId="72"/>
    <cellStyle name="20 % - Accent3 2" xfId="32"/>
    <cellStyle name="20 % - Accent3 3" xfId="73"/>
    <cellStyle name="20 % - Accent4 2" xfId="33"/>
    <cellStyle name="20 % - Accent4 3" xfId="74"/>
    <cellStyle name="20 % - Accent5 2" xfId="34"/>
    <cellStyle name="20 % - Accent6 2" xfId="35"/>
    <cellStyle name="40 % - Accent1 2" xfId="36"/>
    <cellStyle name="40 % - Accent1 3" xfId="75"/>
    <cellStyle name="40 % - Accent2 2" xfId="37"/>
    <cellStyle name="40 % - Accent3 2" xfId="38"/>
    <cellStyle name="40 % - Accent3 3" xfId="76"/>
    <cellStyle name="40 % - Accent4 2" xfId="39"/>
    <cellStyle name="40 % - Accent4 3" xfId="77"/>
    <cellStyle name="40 % - Accent5 2" xfId="40"/>
    <cellStyle name="40 % - Accent6 2" xfId="41"/>
    <cellStyle name="40 % - Accent6 3" xfId="78"/>
    <cellStyle name="60 % - Accent1 2" xfId="42"/>
    <cellStyle name="60 % - Accent1 3" xfId="79"/>
    <cellStyle name="60 % - Accent2 2" xfId="43"/>
    <cellStyle name="60 % - Accent3 2" xfId="44"/>
    <cellStyle name="60 % - Accent3 3" xfId="80"/>
    <cellStyle name="60 % - Accent4 2" xfId="45"/>
    <cellStyle name="60 % - Accent4 3" xfId="81"/>
    <cellStyle name="60 % - Accent5 2" xfId="46"/>
    <cellStyle name="60 % - Accent6 2" xfId="47"/>
    <cellStyle name="60 % - Accent6 3" xfId="82"/>
    <cellStyle name="Accent1 2" xfId="48"/>
    <cellStyle name="Accent1 3" xfId="83"/>
    <cellStyle name="Accent2 2" xfId="49"/>
    <cellStyle name="Accent2 3" xfId="84"/>
    <cellStyle name="Accent3 2" xfId="50"/>
    <cellStyle name="Accent4 2" xfId="51"/>
    <cellStyle name="Accent4 3" xfId="85"/>
    <cellStyle name="Accent5 2" xfId="52"/>
    <cellStyle name="Accent6 2" xfId="53"/>
    <cellStyle name="Accent6 3" xfId="86"/>
    <cellStyle name="Avertissement 2" xfId="54"/>
    <cellStyle name="Avertissement 3" xfId="87"/>
    <cellStyle name="Calcul 2" xfId="55"/>
    <cellStyle name="Calcul 2 2" xfId="117"/>
    <cellStyle name="Calcul 2 2 2" xfId="269"/>
    <cellStyle name="Calcul 2 2 2 2" xfId="699"/>
    <cellStyle name="Calcul 2 2 3" xfId="549"/>
    <cellStyle name="Calcul 2 3" xfId="247"/>
    <cellStyle name="Calcul 2 3 2" xfId="677"/>
    <cellStyle name="Calcul 2 4" xfId="526"/>
    <cellStyle name="Calcul 3" xfId="88"/>
    <cellStyle name="Calcul 3 2" xfId="122"/>
    <cellStyle name="Calcul 3 2 2" xfId="274"/>
    <cellStyle name="Calcul 3 2 2 2" xfId="704"/>
    <cellStyle name="Calcul 3 2 3" xfId="554"/>
    <cellStyle name="Calcul 3 3" xfId="252"/>
    <cellStyle name="Calcul 3 3 2" xfId="682"/>
    <cellStyle name="Calcul 3 4" xfId="532"/>
    <cellStyle name="Cellule liée 2" xfId="56"/>
    <cellStyle name="Cellule liée 2 2" xfId="153"/>
    <cellStyle name="Cellule liée 2 2 2" xfId="312"/>
    <cellStyle name="Cellule liée 2 2 2 2" xfId="2598"/>
    <cellStyle name="Cellule liée 2 2 3" xfId="2457"/>
    <cellStyle name="Cellule liée 2 3" xfId="133"/>
    <cellStyle name="Cellule liée 2 3 2" xfId="340"/>
    <cellStyle name="Cellule liée 2 3 2 2" xfId="4077"/>
    <cellStyle name="Cellule liée 2 3 3" xfId="2437"/>
    <cellStyle name="Cellule liée 2 4" xfId="293"/>
    <cellStyle name="Cellule liée 2 4 2" xfId="2579"/>
    <cellStyle name="Cellule liée 2 5" xfId="2416"/>
    <cellStyle name="Commentaire 2" xfId="57"/>
    <cellStyle name="Commentaire 2 2" xfId="118"/>
    <cellStyle name="Commentaire 2 2 2" xfId="270"/>
    <cellStyle name="Commentaire 2 2 2 2" xfId="700"/>
    <cellStyle name="Commentaire 2 2 3" xfId="550"/>
    <cellStyle name="Commentaire 2 3" xfId="248"/>
    <cellStyle name="Commentaire 2 3 2" xfId="678"/>
    <cellStyle name="Commentaire 2 4" xfId="527"/>
    <cellStyle name="Commentaire 3" xfId="89"/>
    <cellStyle name="Commentaire 3 2" xfId="123"/>
    <cellStyle name="Commentaire 3 2 2" xfId="275"/>
    <cellStyle name="Commentaire 3 2 2 2" xfId="705"/>
    <cellStyle name="Commentaire 3 2 3" xfId="555"/>
    <cellStyle name="Commentaire 3 3" xfId="253"/>
    <cellStyle name="Commentaire 3 3 2" xfId="683"/>
    <cellStyle name="Commentaire 3 4" xfId="533"/>
    <cellStyle name="Entrée 2" xfId="58"/>
    <cellStyle name="Entrée 2 2" xfId="119"/>
    <cellStyle name="Entrée 2 2 2" xfId="271"/>
    <cellStyle name="Entrée 2 2 2 2" xfId="701"/>
    <cellStyle name="Entrée 2 2 3" xfId="551"/>
    <cellStyle name="Entrée 2 3" xfId="249"/>
    <cellStyle name="Entrée 2 3 2" xfId="679"/>
    <cellStyle name="Entrée 2 4" xfId="528"/>
    <cellStyle name="Insatisfaisant 2" xfId="59"/>
    <cellStyle name="Milliers 2" xfId="765"/>
    <cellStyle name="Milliers 3" xfId="1433"/>
    <cellStyle name="Milliers 4" xfId="13"/>
    <cellStyle name="Neutre 2" xfId="60"/>
    <cellStyle name="Normal" xfId="0" builtinId="0"/>
    <cellStyle name="Normal 10" xfId="5"/>
    <cellStyle name="Normal 10 2" xfId="4"/>
    <cellStyle name="Normal 10 2 10" xfId="288"/>
    <cellStyle name="Normal 10 2 10 2" xfId="476"/>
    <cellStyle name="Normal 10 2 10 2 2" xfId="1091"/>
    <cellStyle name="Normal 10 2 10 2 2 2" xfId="2224"/>
    <cellStyle name="Normal 10 2 10 2 2 2 2" xfId="5917"/>
    <cellStyle name="Normal 10 2 10 2 2 2 2 2" xfId="22141"/>
    <cellStyle name="Normal 10 2 10 2 2 2 3" xfId="18457"/>
    <cellStyle name="Normal 10 2 10 2 2 3" xfId="4788"/>
    <cellStyle name="Normal 10 2 10 2 2 3 2" xfId="21014"/>
    <cellStyle name="Normal 10 2 10 2 2 4" xfId="17330"/>
    <cellStyle name="Normal 10 2 10 2 3" xfId="1736"/>
    <cellStyle name="Normal 10 2 10 2 3 2" xfId="5430"/>
    <cellStyle name="Normal 10 2 10 2 3 2 2" xfId="21655"/>
    <cellStyle name="Normal 10 2 10 2 3 3" xfId="17971"/>
    <cellStyle name="Normal 10 2 10 2 4" xfId="4213"/>
    <cellStyle name="Normal 10 2 10 2 4 2" xfId="20439"/>
    <cellStyle name="Normal 10 2 10 2 5" xfId="16755"/>
    <cellStyle name="Normal 10 2 10 3" xfId="718"/>
    <cellStyle name="Normal 10 2 10 3 2" xfId="1297"/>
    <cellStyle name="Normal 10 2 10 3 2 2" xfId="2386"/>
    <cellStyle name="Normal 10 2 10 3 2 2 2" xfId="6079"/>
    <cellStyle name="Normal 10 2 10 3 2 2 2 2" xfId="22303"/>
    <cellStyle name="Normal 10 2 10 3 2 2 3" xfId="18619"/>
    <cellStyle name="Normal 10 2 10 3 2 3" xfId="4994"/>
    <cellStyle name="Normal 10 2 10 3 2 3 2" xfId="21220"/>
    <cellStyle name="Normal 10 2 10 3 2 4" xfId="17536"/>
    <cellStyle name="Normal 10 2 10 3 3" xfId="1898"/>
    <cellStyle name="Normal 10 2 10 3 3 2" xfId="5592"/>
    <cellStyle name="Normal 10 2 10 3 3 2 2" xfId="21817"/>
    <cellStyle name="Normal 10 2 10 3 3 3" xfId="18133"/>
    <cellStyle name="Normal 10 2 10 3 4" xfId="4419"/>
    <cellStyle name="Normal 10 2 10 3 4 2" xfId="20645"/>
    <cellStyle name="Normal 10 2 10 3 5" xfId="16961"/>
    <cellStyle name="Normal 10 2 10 4" xfId="906"/>
    <cellStyle name="Normal 10 2 10 4 2" xfId="2062"/>
    <cellStyle name="Normal 10 2 10 4 2 2" xfId="5755"/>
    <cellStyle name="Normal 10 2 10 4 2 2 2" xfId="21979"/>
    <cellStyle name="Normal 10 2 10 4 2 3" xfId="18295"/>
    <cellStyle name="Normal 10 2 10 4 3" xfId="4603"/>
    <cellStyle name="Normal 10 2 10 4 3 2" xfId="20829"/>
    <cellStyle name="Normal 10 2 10 4 4" xfId="17145"/>
    <cellStyle name="Normal 10 2 10 5" xfId="1574"/>
    <cellStyle name="Normal 10 2 10 5 2" xfId="5268"/>
    <cellStyle name="Normal 10 2 10 5 2 2" xfId="21493"/>
    <cellStyle name="Normal 10 2 10 5 3" xfId="17809"/>
    <cellStyle name="Normal 10 2 10 6" xfId="2574"/>
    <cellStyle name="Normal 10 2 10 6 2" xfId="6264"/>
    <cellStyle name="Normal 10 2 10 6 2 2" xfId="22488"/>
    <cellStyle name="Normal 10 2 10 6 3" xfId="18804"/>
    <cellStyle name="Normal 10 2 10 7" xfId="4027"/>
    <cellStyle name="Normal 10 2 10 7 2" xfId="20254"/>
    <cellStyle name="Normal 10 2 10 8" xfId="16570"/>
    <cellStyle name="Normal 10 2 11" xfId="314"/>
    <cellStyle name="Normal 10 2 11 2" xfId="930"/>
    <cellStyle name="Normal 10 2 11 2 2" xfId="2086"/>
    <cellStyle name="Normal 10 2 11 2 2 2" xfId="5779"/>
    <cellStyle name="Normal 10 2 11 2 2 2 2" xfId="22003"/>
    <cellStyle name="Normal 10 2 11 2 2 3" xfId="18319"/>
    <cellStyle name="Normal 10 2 11 2 3" xfId="4627"/>
    <cellStyle name="Normal 10 2 11 2 3 2" xfId="20853"/>
    <cellStyle name="Normal 10 2 11 2 4" xfId="17169"/>
    <cellStyle name="Normal 10 2 11 3" xfId="1598"/>
    <cellStyle name="Normal 10 2 11 3 2" xfId="5292"/>
    <cellStyle name="Normal 10 2 11 3 2 2" xfId="21517"/>
    <cellStyle name="Normal 10 2 11 3 3" xfId="17833"/>
    <cellStyle name="Normal 10 2 11 4" xfId="4051"/>
    <cellStyle name="Normal 10 2 11 4 2" xfId="20278"/>
    <cellStyle name="Normal 10 2 11 5" xfId="16594"/>
    <cellStyle name="Normal 10 2 12" xfId="521"/>
    <cellStyle name="Normal 10 2 12 2" xfId="1136"/>
    <cellStyle name="Normal 10 2 12 2 2" xfId="2248"/>
    <cellStyle name="Normal 10 2 12 2 2 2" xfId="5941"/>
    <cellStyle name="Normal 10 2 12 2 2 2 2" xfId="22165"/>
    <cellStyle name="Normal 10 2 12 2 2 3" xfId="18481"/>
    <cellStyle name="Normal 10 2 12 2 3" xfId="4833"/>
    <cellStyle name="Normal 10 2 12 2 3 2" xfId="21059"/>
    <cellStyle name="Normal 10 2 12 2 4" xfId="17375"/>
    <cellStyle name="Normal 10 2 12 3" xfId="1760"/>
    <cellStyle name="Normal 10 2 12 3 2" xfId="5454"/>
    <cellStyle name="Normal 10 2 12 3 2 2" xfId="21679"/>
    <cellStyle name="Normal 10 2 12 3 3" xfId="17995"/>
    <cellStyle name="Normal 10 2 12 4" xfId="4258"/>
    <cellStyle name="Normal 10 2 12 4 2" xfId="20484"/>
    <cellStyle name="Normal 10 2 12 5" xfId="16800"/>
    <cellStyle name="Normal 10 2 13" xfId="767"/>
    <cellStyle name="Normal 10 2 13 2" xfId="1924"/>
    <cellStyle name="Normal 10 2 13 2 2" xfId="5617"/>
    <cellStyle name="Normal 10 2 13 2 2 2" xfId="21841"/>
    <cellStyle name="Normal 10 2 13 2 3" xfId="18157"/>
    <cellStyle name="Normal 10 2 13 3" xfId="4465"/>
    <cellStyle name="Normal 10 2 13 3 2" xfId="20691"/>
    <cellStyle name="Normal 10 2 13 4" xfId="17007"/>
    <cellStyle name="Normal 10 2 14" xfId="1435"/>
    <cellStyle name="Normal 10 2 14 2" xfId="5130"/>
    <cellStyle name="Normal 10 2 14 2 2" xfId="21355"/>
    <cellStyle name="Normal 10 2 14 3" xfId="17671"/>
    <cellStyle name="Normal 10 2 15" xfId="2410"/>
    <cellStyle name="Normal 10 2 15 2" xfId="6103"/>
    <cellStyle name="Normal 10 2 15 2 2" xfId="22327"/>
    <cellStyle name="Normal 10 2 15 3" xfId="18643"/>
    <cellStyle name="Normal 10 2 16" xfId="3865"/>
    <cellStyle name="Normal 10 2 16 2" xfId="20093"/>
    <cellStyle name="Normal 10 2 17" xfId="16409"/>
    <cellStyle name="Normal 10 2 2" xfId="103"/>
    <cellStyle name="Normal 10 2 2 10" xfId="774"/>
    <cellStyle name="Normal 10 2 2 10 2" xfId="1930"/>
    <cellStyle name="Normal 10 2 2 10 2 2" xfId="5623"/>
    <cellStyle name="Normal 10 2 2 10 2 2 2" xfId="21847"/>
    <cellStyle name="Normal 10 2 2 10 2 3" xfId="18163"/>
    <cellStyle name="Normal 10 2 2 10 3" xfId="4471"/>
    <cellStyle name="Normal 10 2 2 10 3 2" xfId="20697"/>
    <cellStyle name="Normal 10 2 2 10 4" xfId="17013"/>
    <cellStyle name="Normal 10 2 2 11" xfId="1442"/>
    <cellStyle name="Normal 10 2 2 11 2" xfId="5136"/>
    <cellStyle name="Normal 10 2 2 11 2 2" xfId="21361"/>
    <cellStyle name="Normal 10 2 2 11 3" xfId="17677"/>
    <cellStyle name="Normal 10 2 2 12" xfId="2418"/>
    <cellStyle name="Normal 10 2 2 12 2" xfId="6110"/>
    <cellStyle name="Normal 10 2 2 12 2 2" xfId="22334"/>
    <cellStyle name="Normal 10 2 2 12 3" xfId="18650"/>
    <cellStyle name="Normal 10 2 2 13" xfId="3873"/>
    <cellStyle name="Normal 10 2 2 13 2" xfId="20100"/>
    <cellStyle name="Normal 10 2 2 14" xfId="16416"/>
    <cellStyle name="Normal 10 2 2 2" xfId="135"/>
    <cellStyle name="Normal 10 2 2 2 2" xfId="342"/>
    <cellStyle name="Normal 10 2 2 2 2 2" xfId="957"/>
    <cellStyle name="Normal 10 2 2 2 2 2 2" xfId="2110"/>
    <cellStyle name="Normal 10 2 2 2 2 2 2 2" xfId="5803"/>
    <cellStyle name="Normal 10 2 2 2 2 2 2 2 2" xfId="22027"/>
    <cellStyle name="Normal 10 2 2 2 2 2 2 3" xfId="18343"/>
    <cellStyle name="Normal 10 2 2 2 2 2 3" xfId="4654"/>
    <cellStyle name="Normal 10 2 2 2 2 2 3 2" xfId="20880"/>
    <cellStyle name="Normal 10 2 2 2 2 2 4" xfId="17196"/>
    <cellStyle name="Normal 10 2 2 2 2 3" xfId="1622"/>
    <cellStyle name="Normal 10 2 2 2 2 3 2" xfId="5316"/>
    <cellStyle name="Normal 10 2 2 2 2 3 2 2" xfId="21541"/>
    <cellStyle name="Normal 10 2 2 2 2 3 3" xfId="17857"/>
    <cellStyle name="Normal 10 2 2 2 2 4" xfId="4079"/>
    <cellStyle name="Normal 10 2 2 2 2 4 2" xfId="20305"/>
    <cellStyle name="Normal 10 2 2 2 2 5" xfId="16621"/>
    <cellStyle name="Normal 10 2 2 2 3" xfId="566"/>
    <cellStyle name="Normal 10 2 2 2 3 2" xfId="1163"/>
    <cellStyle name="Normal 10 2 2 2 3 2 2" xfId="2272"/>
    <cellStyle name="Normal 10 2 2 2 3 2 2 2" xfId="5965"/>
    <cellStyle name="Normal 10 2 2 2 3 2 2 2 2" xfId="22189"/>
    <cellStyle name="Normal 10 2 2 2 3 2 2 3" xfId="18505"/>
    <cellStyle name="Normal 10 2 2 2 3 2 3" xfId="4860"/>
    <cellStyle name="Normal 10 2 2 2 3 2 3 2" xfId="21086"/>
    <cellStyle name="Normal 10 2 2 2 3 2 4" xfId="17402"/>
    <cellStyle name="Normal 10 2 2 2 3 3" xfId="1784"/>
    <cellStyle name="Normal 10 2 2 2 3 3 2" xfId="5478"/>
    <cellStyle name="Normal 10 2 2 2 3 3 2 2" xfId="21703"/>
    <cellStyle name="Normal 10 2 2 2 3 3 3" xfId="18019"/>
    <cellStyle name="Normal 10 2 2 2 3 4" xfId="4285"/>
    <cellStyle name="Normal 10 2 2 2 3 4 2" xfId="20511"/>
    <cellStyle name="Normal 10 2 2 2 3 5" xfId="16827"/>
    <cellStyle name="Normal 10 2 2 2 4" xfId="792"/>
    <cellStyle name="Normal 10 2 2 2 4 2" xfId="1948"/>
    <cellStyle name="Normal 10 2 2 2 4 2 2" xfId="5641"/>
    <cellStyle name="Normal 10 2 2 2 4 2 2 2" xfId="21865"/>
    <cellStyle name="Normal 10 2 2 2 4 2 3" xfId="18181"/>
    <cellStyle name="Normal 10 2 2 2 4 3" xfId="4489"/>
    <cellStyle name="Normal 10 2 2 2 4 3 2" xfId="20715"/>
    <cellStyle name="Normal 10 2 2 2 4 4" xfId="17031"/>
    <cellStyle name="Normal 10 2 2 2 5" xfId="1460"/>
    <cellStyle name="Normal 10 2 2 2 5 2" xfId="5154"/>
    <cellStyle name="Normal 10 2 2 2 5 2 2" xfId="21379"/>
    <cellStyle name="Normal 10 2 2 2 5 3" xfId="17695"/>
    <cellStyle name="Normal 10 2 2 2 6" xfId="2439"/>
    <cellStyle name="Normal 10 2 2 2 6 2" xfId="6130"/>
    <cellStyle name="Normal 10 2 2 2 6 2 2" xfId="22354"/>
    <cellStyle name="Normal 10 2 2 2 6 3" xfId="18670"/>
    <cellStyle name="Normal 10 2 2 2 7" xfId="3893"/>
    <cellStyle name="Normal 10 2 2 2 7 2" xfId="20120"/>
    <cellStyle name="Normal 10 2 2 2 8" xfId="16436"/>
    <cellStyle name="Normal 10 2 2 3" xfId="164"/>
    <cellStyle name="Normal 10 2 2 3 2" xfId="370"/>
    <cellStyle name="Normal 10 2 2 3 2 2" xfId="985"/>
    <cellStyle name="Normal 10 2 2 3 2 2 2" xfId="2134"/>
    <cellStyle name="Normal 10 2 2 3 2 2 2 2" xfId="5827"/>
    <cellStyle name="Normal 10 2 2 3 2 2 2 2 2" xfId="22051"/>
    <cellStyle name="Normal 10 2 2 3 2 2 2 3" xfId="18367"/>
    <cellStyle name="Normal 10 2 2 3 2 2 3" xfId="4682"/>
    <cellStyle name="Normal 10 2 2 3 2 2 3 2" xfId="20908"/>
    <cellStyle name="Normal 10 2 2 3 2 2 4" xfId="17224"/>
    <cellStyle name="Normal 10 2 2 3 2 3" xfId="1646"/>
    <cellStyle name="Normal 10 2 2 3 2 3 2" xfId="5340"/>
    <cellStyle name="Normal 10 2 2 3 2 3 2 2" xfId="21565"/>
    <cellStyle name="Normal 10 2 2 3 2 3 3" xfId="17881"/>
    <cellStyle name="Normal 10 2 2 3 2 4" xfId="4107"/>
    <cellStyle name="Normal 10 2 2 3 2 4 2" xfId="20333"/>
    <cellStyle name="Normal 10 2 2 3 2 5" xfId="16649"/>
    <cellStyle name="Normal 10 2 2 3 3" xfId="594"/>
    <cellStyle name="Normal 10 2 2 3 3 2" xfId="1191"/>
    <cellStyle name="Normal 10 2 2 3 3 2 2" xfId="2296"/>
    <cellStyle name="Normal 10 2 2 3 3 2 2 2" xfId="5989"/>
    <cellStyle name="Normal 10 2 2 3 3 2 2 2 2" xfId="22213"/>
    <cellStyle name="Normal 10 2 2 3 3 2 2 3" xfId="18529"/>
    <cellStyle name="Normal 10 2 2 3 3 2 3" xfId="4888"/>
    <cellStyle name="Normal 10 2 2 3 3 2 3 2" xfId="21114"/>
    <cellStyle name="Normal 10 2 2 3 3 2 4" xfId="17430"/>
    <cellStyle name="Normal 10 2 2 3 3 3" xfId="1808"/>
    <cellStyle name="Normal 10 2 2 3 3 3 2" xfId="5502"/>
    <cellStyle name="Normal 10 2 2 3 3 3 2 2" xfId="21727"/>
    <cellStyle name="Normal 10 2 2 3 3 3 3" xfId="18043"/>
    <cellStyle name="Normal 10 2 2 3 3 4" xfId="4313"/>
    <cellStyle name="Normal 10 2 2 3 3 4 2" xfId="20539"/>
    <cellStyle name="Normal 10 2 2 3 3 5" xfId="16855"/>
    <cellStyle name="Normal 10 2 2 3 4" xfId="816"/>
    <cellStyle name="Normal 10 2 2 3 4 2" xfId="1972"/>
    <cellStyle name="Normal 10 2 2 3 4 2 2" xfId="5665"/>
    <cellStyle name="Normal 10 2 2 3 4 2 2 2" xfId="21889"/>
    <cellStyle name="Normal 10 2 2 3 4 2 3" xfId="18205"/>
    <cellStyle name="Normal 10 2 2 3 4 3" xfId="4513"/>
    <cellStyle name="Normal 10 2 2 3 4 3 2" xfId="20739"/>
    <cellStyle name="Normal 10 2 2 3 4 4" xfId="17055"/>
    <cellStyle name="Normal 10 2 2 3 5" xfId="1484"/>
    <cellStyle name="Normal 10 2 2 3 5 2" xfId="5178"/>
    <cellStyle name="Normal 10 2 2 3 5 2 2" xfId="21403"/>
    <cellStyle name="Normal 10 2 2 3 5 3" xfId="17719"/>
    <cellStyle name="Normal 10 2 2 3 6" xfId="2468"/>
    <cellStyle name="Normal 10 2 2 3 6 2" xfId="6158"/>
    <cellStyle name="Normal 10 2 2 3 6 2 2" xfId="22382"/>
    <cellStyle name="Normal 10 2 2 3 6 3" xfId="18698"/>
    <cellStyle name="Normal 10 2 2 3 7" xfId="3921"/>
    <cellStyle name="Normal 10 2 2 3 7 2" xfId="20148"/>
    <cellStyle name="Normal 10 2 2 3 8" xfId="16464"/>
    <cellStyle name="Normal 10 2 2 4" xfId="192"/>
    <cellStyle name="Normal 10 2 2 4 2" xfId="398"/>
    <cellStyle name="Normal 10 2 2 4 2 2" xfId="1013"/>
    <cellStyle name="Normal 10 2 2 4 2 2 2" xfId="2158"/>
    <cellStyle name="Normal 10 2 2 4 2 2 2 2" xfId="5851"/>
    <cellStyle name="Normal 10 2 2 4 2 2 2 2 2" xfId="22075"/>
    <cellStyle name="Normal 10 2 2 4 2 2 2 3" xfId="18391"/>
    <cellStyle name="Normal 10 2 2 4 2 2 3" xfId="4710"/>
    <cellStyle name="Normal 10 2 2 4 2 2 3 2" xfId="20936"/>
    <cellStyle name="Normal 10 2 2 4 2 2 4" xfId="17252"/>
    <cellStyle name="Normal 10 2 2 4 2 3" xfId="1670"/>
    <cellStyle name="Normal 10 2 2 4 2 3 2" xfId="5364"/>
    <cellStyle name="Normal 10 2 2 4 2 3 2 2" xfId="21589"/>
    <cellStyle name="Normal 10 2 2 4 2 3 3" xfId="17905"/>
    <cellStyle name="Normal 10 2 2 4 2 4" xfId="4135"/>
    <cellStyle name="Normal 10 2 2 4 2 4 2" xfId="20361"/>
    <cellStyle name="Normal 10 2 2 4 2 5" xfId="16677"/>
    <cellStyle name="Normal 10 2 2 4 3" xfId="622"/>
    <cellStyle name="Normal 10 2 2 4 3 2" xfId="1219"/>
    <cellStyle name="Normal 10 2 2 4 3 2 2" xfId="2320"/>
    <cellStyle name="Normal 10 2 2 4 3 2 2 2" xfId="6013"/>
    <cellStyle name="Normal 10 2 2 4 3 2 2 2 2" xfId="22237"/>
    <cellStyle name="Normal 10 2 2 4 3 2 2 3" xfId="18553"/>
    <cellStyle name="Normal 10 2 2 4 3 2 3" xfId="4916"/>
    <cellStyle name="Normal 10 2 2 4 3 2 3 2" xfId="21142"/>
    <cellStyle name="Normal 10 2 2 4 3 2 4" xfId="17458"/>
    <cellStyle name="Normal 10 2 2 4 3 3" xfId="1832"/>
    <cellStyle name="Normal 10 2 2 4 3 3 2" xfId="5526"/>
    <cellStyle name="Normal 10 2 2 4 3 3 2 2" xfId="21751"/>
    <cellStyle name="Normal 10 2 2 4 3 3 3" xfId="18067"/>
    <cellStyle name="Normal 10 2 2 4 3 4" xfId="4341"/>
    <cellStyle name="Normal 10 2 2 4 3 4 2" xfId="20567"/>
    <cellStyle name="Normal 10 2 2 4 3 5" xfId="16883"/>
    <cellStyle name="Normal 10 2 2 4 4" xfId="840"/>
    <cellStyle name="Normal 10 2 2 4 4 2" xfId="1996"/>
    <cellStyle name="Normal 10 2 2 4 4 2 2" xfId="5689"/>
    <cellStyle name="Normal 10 2 2 4 4 2 2 2" xfId="21913"/>
    <cellStyle name="Normal 10 2 2 4 4 2 3" xfId="18229"/>
    <cellStyle name="Normal 10 2 2 4 4 3" xfId="4537"/>
    <cellStyle name="Normal 10 2 2 4 4 3 2" xfId="20763"/>
    <cellStyle name="Normal 10 2 2 4 4 4" xfId="17079"/>
    <cellStyle name="Normal 10 2 2 4 5" xfId="1508"/>
    <cellStyle name="Normal 10 2 2 4 5 2" xfId="5202"/>
    <cellStyle name="Normal 10 2 2 4 5 2 2" xfId="21427"/>
    <cellStyle name="Normal 10 2 2 4 5 3" xfId="17743"/>
    <cellStyle name="Normal 10 2 2 4 6" xfId="2496"/>
    <cellStyle name="Normal 10 2 2 4 6 2" xfId="6186"/>
    <cellStyle name="Normal 10 2 2 4 6 2 2" xfId="22410"/>
    <cellStyle name="Normal 10 2 2 4 6 3" xfId="18726"/>
    <cellStyle name="Normal 10 2 2 4 7" xfId="3949"/>
    <cellStyle name="Normal 10 2 2 4 7 2" xfId="20176"/>
    <cellStyle name="Normal 10 2 2 4 8" xfId="16492"/>
    <cellStyle name="Normal 10 2 2 5" xfId="222"/>
    <cellStyle name="Normal 10 2 2 5 2" xfId="428"/>
    <cellStyle name="Normal 10 2 2 5 2 2" xfId="1043"/>
    <cellStyle name="Normal 10 2 2 5 2 2 2" xfId="2182"/>
    <cellStyle name="Normal 10 2 2 5 2 2 2 2" xfId="5875"/>
    <cellStyle name="Normal 10 2 2 5 2 2 2 2 2" xfId="22099"/>
    <cellStyle name="Normal 10 2 2 5 2 2 2 3" xfId="18415"/>
    <cellStyle name="Normal 10 2 2 5 2 2 3" xfId="4740"/>
    <cellStyle name="Normal 10 2 2 5 2 2 3 2" xfId="20966"/>
    <cellStyle name="Normal 10 2 2 5 2 2 4" xfId="17282"/>
    <cellStyle name="Normal 10 2 2 5 2 3" xfId="1694"/>
    <cellStyle name="Normal 10 2 2 5 2 3 2" xfId="5388"/>
    <cellStyle name="Normal 10 2 2 5 2 3 2 2" xfId="21613"/>
    <cellStyle name="Normal 10 2 2 5 2 3 3" xfId="17929"/>
    <cellStyle name="Normal 10 2 2 5 2 4" xfId="4165"/>
    <cellStyle name="Normal 10 2 2 5 2 4 2" xfId="20391"/>
    <cellStyle name="Normal 10 2 2 5 2 5" xfId="16707"/>
    <cellStyle name="Normal 10 2 2 5 3" xfId="652"/>
    <cellStyle name="Normal 10 2 2 5 3 2" xfId="1249"/>
    <cellStyle name="Normal 10 2 2 5 3 2 2" xfId="2344"/>
    <cellStyle name="Normal 10 2 2 5 3 2 2 2" xfId="6037"/>
    <cellStyle name="Normal 10 2 2 5 3 2 2 2 2" xfId="22261"/>
    <cellStyle name="Normal 10 2 2 5 3 2 2 3" xfId="18577"/>
    <cellStyle name="Normal 10 2 2 5 3 2 3" xfId="4946"/>
    <cellStyle name="Normal 10 2 2 5 3 2 3 2" xfId="21172"/>
    <cellStyle name="Normal 10 2 2 5 3 2 4" xfId="17488"/>
    <cellStyle name="Normal 10 2 2 5 3 3" xfId="1856"/>
    <cellStyle name="Normal 10 2 2 5 3 3 2" xfId="5550"/>
    <cellStyle name="Normal 10 2 2 5 3 3 2 2" xfId="21775"/>
    <cellStyle name="Normal 10 2 2 5 3 3 3" xfId="18091"/>
    <cellStyle name="Normal 10 2 2 5 3 4" xfId="4371"/>
    <cellStyle name="Normal 10 2 2 5 3 4 2" xfId="20597"/>
    <cellStyle name="Normal 10 2 2 5 3 5" xfId="16913"/>
    <cellStyle name="Normal 10 2 2 5 4" xfId="864"/>
    <cellStyle name="Normal 10 2 2 5 4 2" xfId="2020"/>
    <cellStyle name="Normal 10 2 2 5 4 2 2" xfId="5713"/>
    <cellStyle name="Normal 10 2 2 5 4 2 2 2" xfId="21937"/>
    <cellStyle name="Normal 10 2 2 5 4 2 3" xfId="18253"/>
    <cellStyle name="Normal 10 2 2 5 4 3" xfId="4561"/>
    <cellStyle name="Normal 10 2 2 5 4 3 2" xfId="20787"/>
    <cellStyle name="Normal 10 2 2 5 4 4" xfId="17103"/>
    <cellStyle name="Normal 10 2 2 5 5" xfId="1532"/>
    <cellStyle name="Normal 10 2 2 5 5 2" xfId="5226"/>
    <cellStyle name="Normal 10 2 2 5 5 2 2" xfId="21451"/>
    <cellStyle name="Normal 10 2 2 5 5 3" xfId="17767"/>
    <cellStyle name="Normal 10 2 2 5 6" xfId="2526"/>
    <cellStyle name="Normal 10 2 2 5 6 2" xfId="6216"/>
    <cellStyle name="Normal 10 2 2 5 6 2 2" xfId="22440"/>
    <cellStyle name="Normal 10 2 2 5 6 3" xfId="18756"/>
    <cellStyle name="Normal 10 2 2 5 7" xfId="3979"/>
    <cellStyle name="Normal 10 2 2 5 7 2" xfId="20206"/>
    <cellStyle name="Normal 10 2 2 5 8" xfId="16522"/>
    <cellStyle name="Normal 10 2 2 6" xfId="257"/>
    <cellStyle name="Normal 10 2 2 6 2" xfId="454"/>
    <cellStyle name="Normal 10 2 2 6 2 2" xfId="1069"/>
    <cellStyle name="Normal 10 2 2 6 2 2 2" xfId="2206"/>
    <cellStyle name="Normal 10 2 2 6 2 2 2 2" xfId="5899"/>
    <cellStyle name="Normal 10 2 2 6 2 2 2 2 2" xfId="22123"/>
    <cellStyle name="Normal 10 2 2 6 2 2 2 3" xfId="18439"/>
    <cellStyle name="Normal 10 2 2 6 2 2 3" xfId="4766"/>
    <cellStyle name="Normal 10 2 2 6 2 2 3 2" xfId="20992"/>
    <cellStyle name="Normal 10 2 2 6 2 2 4" xfId="17308"/>
    <cellStyle name="Normal 10 2 2 6 2 3" xfId="1718"/>
    <cellStyle name="Normal 10 2 2 6 2 3 2" xfId="5412"/>
    <cellStyle name="Normal 10 2 2 6 2 3 2 2" xfId="21637"/>
    <cellStyle name="Normal 10 2 2 6 2 3 3" xfId="17953"/>
    <cellStyle name="Normal 10 2 2 6 2 4" xfId="4191"/>
    <cellStyle name="Normal 10 2 2 6 2 4 2" xfId="20417"/>
    <cellStyle name="Normal 10 2 2 6 2 5" xfId="16733"/>
    <cellStyle name="Normal 10 2 2 6 3" xfId="687"/>
    <cellStyle name="Normal 10 2 2 6 3 2" xfId="1275"/>
    <cellStyle name="Normal 10 2 2 6 3 2 2" xfId="2368"/>
    <cellStyle name="Normal 10 2 2 6 3 2 2 2" xfId="6061"/>
    <cellStyle name="Normal 10 2 2 6 3 2 2 2 2" xfId="22285"/>
    <cellStyle name="Normal 10 2 2 6 3 2 2 3" xfId="18601"/>
    <cellStyle name="Normal 10 2 2 6 3 2 3" xfId="4972"/>
    <cellStyle name="Normal 10 2 2 6 3 2 3 2" xfId="21198"/>
    <cellStyle name="Normal 10 2 2 6 3 2 4" xfId="17514"/>
    <cellStyle name="Normal 10 2 2 6 3 3" xfId="1880"/>
    <cellStyle name="Normal 10 2 2 6 3 3 2" xfId="5574"/>
    <cellStyle name="Normal 10 2 2 6 3 3 2 2" xfId="21799"/>
    <cellStyle name="Normal 10 2 2 6 3 3 3" xfId="18115"/>
    <cellStyle name="Normal 10 2 2 6 3 4" xfId="4397"/>
    <cellStyle name="Normal 10 2 2 6 3 4 2" xfId="20623"/>
    <cellStyle name="Normal 10 2 2 6 3 5" xfId="16939"/>
    <cellStyle name="Normal 10 2 2 6 4" xfId="888"/>
    <cellStyle name="Normal 10 2 2 6 4 2" xfId="2044"/>
    <cellStyle name="Normal 10 2 2 6 4 2 2" xfId="5737"/>
    <cellStyle name="Normal 10 2 2 6 4 2 2 2" xfId="21961"/>
    <cellStyle name="Normal 10 2 2 6 4 2 3" xfId="18277"/>
    <cellStyle name="Normal 10 2 2 6 4 3" xfId="4585"/>
    <cellStyle name="Normal 10 2 2 6 4 3 2" xfId="20811"/>
    <cellStyle name="Normal 10 2 2 6 4 4" xfId="17127"/>
    <cellStyle name="Normal 10 2 2 6 5" xfId="1556"/>
    <cellStyle name="Normal 10 2 2 6 5 2" xfId="5250"/>
    <cellStyle name="Normal 10 2 2 6 5 2 2" xfId="21475"/>
    <cellStyle name="Normal 10 2 2 6 5 3" xfId="17791"/>
    <cellStyle name="Normal 10 2 2 6 6" xfId="2552"/>
    <cellStyle name="Normal 10 2 2 6 6 2" xfId="6242"/>
    <cellStyle name="Normal 10 2 2 6 6 2 2" xfId="22466"/>
    <cellStyle name="Normal 10 2 2 6 6 3" xfId="18782"/>
    <cellStyle name="Normal 10 2 2 6 7" xfId="4005"/>
    <cellStyle name="Normal 10 2 2 6 7 2" xfId="20232"/>
    <cellStyle name="Normal 10 2 2 6 8" xfId="16548"/>
    <cellStyle name="Normal 10 2 2 7" xfId="295"/>
    <cellStyle name="Normal 10 2 2 7 2" xfId="482"/>
    <cellStyle name="Normal 10 2 2 7 2 2" xfId="1097"/>
    <cellStyle name="Normal 10 2 2 7 2 2 2" xfId="2230"/>
    <cellStyle name="Normal 10 2 2 7 2 2 2 2" xfId="5923"/>
    <cellStyle name="Normal 10 2 2 7 2 2 2 2 2" xfId="22147"/>
    <cellStyle name="Normal 10 2 2 7 2 2 2 3" xfId="18463"/>
    <cellStyle name="Normal 10 2 2 7 2 2 3" xfId="4794"/>
    <cellStyle name="Normal 10 2 2 7 2 2 3 2" xfId="21020"/>
    <cellStyle name="Normal 10 2 2 7 2 2 4" xfId="17336"/>
    <cellStyle name="Normal 10 2 2 7 2 3" xfId="1742"/>
    <cellStyle name="Normal 10 2 2 7 2 3 2" xfId="5436"/>
    <cellStyle name="Normal 10 2 2 7 2 3 2 2" xfId="21661"/>
    <cellStyle name="Normal 10 2 2 7 2 3 3" xfId="17977"/>
    <cellStyle name="Normal 10 2 2 7 2 4" xfId="4219"/>
    <cellStyle name="Normal 10 2 2 7 2 4 2" xfId="20445"/>
    <cellStyle name="Normal 10 2 2 7 2 5" xfId="16761"/>
    <cellStyle name="Normal 10 2 2 7 3" xfId="724"/>
    <cellStyle name="Normal 10 2 2 7 3 2" xfId="1303"/>
    <cellStyle name="Normal 10 2 2 7 3 2 2" xfId="2392"/>
    <cellStyle name="Normal 10 2 2 7 3 2 2 2" xfId="6085"/>
    <cellStyle name="Normal 10 2 2 7 3 2 2 2 2" xfId="22309"/>
    <cellStyle name="Normal 10 2 2 7 3 2 2 3" xfId="18625"/>
    <cellStyle name="Normal 10 2 2 7 3 2 3" xfId="5000"/>
    <cellStyle name="Normal 10 2 2 7 3 2 3 2" xfId="21226"/>
    <cellStyle name="Normal 10 2 2 7 3 2 4" xfId="17542"/>
    <cellStyle name="Normal 10 2 2 7 3 3" xfId="1904"/>
    <cellStyle name="Normal 10 2 2 7 3 3 2" xfId="5598"/>
    <cellStyle name="Normal 10 2 2 7 3 3 2 2" xfId="21823"/>
    <cellStyle name="Normal 10 2 2 7 3 3 3" xfId="18139"/>
    <cellStyle name="Normal 10 2 2 7 3 4" xfId="4425"/>
    <cellStyle name="Normal 10 2 2 7 3 4 2" xfId="20651"/>
    <cellStyle name="Normal 10 2 2 7 3 5" xfId="16967"/>
    <cellStyle name="Normal 10 2 2 7 4" xfId="912"/>
    <cellStyle name="Normal 10 2 2 7 4 2" xfId="2068"/>
    <cellStyle name="Normal 10 2 2 7 4 2 2" xfId="5761"/>
    <cellStyle name="Normal 10 2 2 7 4 2 2 2" xfId="21985"/>
    <cellStyle name="Normal 10 2 2 7 4 2 3" xfId="18301"/>
    <cellStyle name="Normal 10 2 2 7 4 3" xfId="4609"/>
    <cellStyle name="Normal 10 2 2 7 4 3 2" xfId="20835"/>
    <cellStyle name="Normal 10 2 2 7 4 4" xfId="17151"/>
    <cellStyle name="Normal 10 2 2 7 5" xfId="1580"/>
    <cellStyle name="Normal 10 2 2 7 5 2" xfId="5274"/>
    <cellStyle name="Normal 10 2 2 7 5 2 2" xfId="21499"/>
    <cellStyle name="Normal 10 2 2 7 5 3" xfId="17815"/>
    <cellStyle name="Normal 10 2 2 7 6" xfId="2581"/>
    <cellStyle name="Normal 10 2 2 7 6 2" xfId="6270"/>
    <cellStyle name="Normal 10 2 2 7 6 2 2" xfId="22494"/>
    <cellStyle name="Normal 10 2 2 7 6 3" xfId="18810"/>
    <cellStyle name="Normal 10 2 2 7 7" xfId="4033"/>
    <cellStyle name="Normal 10 2 2 7 7 2" xfId="20260"/>
    <cellStyle name="Normal 10 2 2 7 8" xfId="16576"/>
    <cellStyle name="Normal 10 2 2 8" xfId="321"/>
    <cellStyle name="Normal 10 2 2 8 2" xfId="937"/>
    <cellStyle name="Normal 10 2 2 8 2 2" xfId="2092"/>
    <cellStyle name="Normal 10 2 2 8 2 2 2" xfId="5785"/>
    <cellStyle name="Normal 10 2 2 8 2 2 2 2" xfId="22009"/>
    <cellStyle name="Normal 10 2 2 8 2 2 3" xfId="18325"/>
    <cellStyle name="Normal 10 2 2 8 2 3" xfId="4634"/>
    <cellStyle name="Normal 10 2 2 8 2 3 2" xfId="20860"/>
    <cellStyle name="Normal 10 2 2 8 2 4" xfId="17176"/>
    <cellStyle name="Normal 10 2 2 8 3" xfId="1604"/>
    <cellStyle name="Normal 10 2 2 8 3 2" xfId="5298"/>
    <cellStyle name="Normal 10 2 2 8 3 2 2" xfId="21523"/>
    <cellStyle name="Normal 10 2 2 8 3 3" xfId="17839"/>
    <cellStyle name="Normal 10 2 2 8 4" xfId="4058"/>
    <cellStyle name="Normal 10 2 2 8 4 2" xfId="20285"/>
    <cellStyle name="Normal 10 2 2 8 5" xfId="16601"/>
    <cellStyle name="Normal 10 2 2 9" xfId="537"/>
    <cellStyle name="Normal 10 2 2 9 2" xfId="1143"/>
    <cellStyle name="Normal 10 2 2 9 2 2" xfId="2254"/>
    <cellStyle name="Normal 10 2 2 9 2 2 2" xfId="5947"/>
    <cellStyle name="Normal 10 2 2 9 2 2 2 2" xfId="22171"/>
    <cellStyle name="Normal 10 2 2 9 2 2 3" xfId="18487"/>
    <cellStyle name="Normal 10 2 2 9 2 3" xfId="4840"/>
    <cellStyle name="Normal 10 2 2 9 2 3 2" xfId="21066"/>
    <cellStyle name="Normal 10 2 2 9 2 4" xfId="17382"/>
    <cellStyle name="Normal 10 2 2 9 3" xfId="1766"/>
    <cellStyle name="Normal 10 2 2 9 3 2" xfId="5460"/>
    <cellStyle name="Normal 10 2 2 9 3 2 2" xfId="21685"/>
    <cellStyle name="Normal 10 2 2 9 3 3" xfId="18001"/>
    <cellStyle name="Normal 10 2 2 9 4" xfId="4265"/>
    <cellStyle name="Normal 10 2 2 9 4 2" xfId="20491"/>
    <cellStyle name="Normal 10 2 2 9 5" xfId="16807"/>
    <cellStyle name="Normal 10 2 3" xfId="112"/>
    <cellStyle name="Normal 10 2 3 10" xfId="780"/>
    <cellStyle name="Normal 10 2 3 10 2" xfId="1936"/>
    <cellStyle name="Normal 10 2 3 10 2 2" xfId="5629"/>
    <cellStyle name="Normal 10 2 3 10 2 2 2" xfId="21853"/>
    <cellStyle name="Normal 10 2 3 10 2 3" xfId="18169"/>
    <cellStyle name="Normal 10 2 3 10 3" xfId="4477"/>
    <cellStyle name="Normal 10 2 3 10 3 2" xfId="20703"/>
    <cellStyle name="Normal 10 2 3 10 4" xfId="17019"/>
    <cellStyle name="Normal 10 2 3 11" xfId="1448"/>
    <cellStyle name="Normal 10 2 3 11 2" xfId="5142"/>
    <cellStyle name="Normal 10 2 3 11 2 2" xfId="21367"/>
    <cellStyle name="Normal 10 2 3 11 3" xfId="17683"/>
    <cellStyle name="Normal 10 2 3 12" xfId="2425"/>
    <cellStyle name="Normal 10 2 3 12 2" xfId="6117"/>
    <cellStyle name="Normal 10 2 3 12 2 2" xfId="22341"/>
    <cellStyle name="Normal 10 2 3 12 3" xfId="18657"/>
    <cellStyle name="Normal 10 2 3 13" xfId="3880"/>
    <cellStyle name="Normal 10 2 3 13 2" xfId="20107"/>
    <cellStyle name="Normal 10 2 3 14" xfId="16423"/>
    <cellStyle name="Normal 10 2 3 2" xfId="142"/>
    <cellStyle name="Normal 10 2 3 2 2" xfId="349"/>
    <cellStyle name="Normal 10 2 3 2 2 2" xfId="964"/>
    <cellStyle name="Normal 10 2 3 2 2 2 2" xfId="2116"/>
    <cellStyle name="Normal 10 2 3 2 2 2 2 2" xfId="5809"/>
    <cellStyle name="Normal 10 2 3 2 2 2 2 2 2" xfId="22033"/>
    <cellStyle name="Normal 10 2 3 2 2 2 2 3" xfId="18349"/>
    <cellStyle name="Normal 10 2 3 2 2 2 3" xfId="4661"/>
    <cellStyle name="Normal 10 2 3 2 2 2 3 2" xfId="20887"/>
    <cellStyle name="Normal 10 2 3 2 2 2 4" xfId="17203"/>
    <cellStyle name="Normal 10 2 3 2 2 3" xfId="1628"/>
    <cellStyle name="Normal 10 2 3 2 2 3 2" xfId="5322"/>
    <cellStyle name="Normal 10 2 3 2 2 3 2 2" xfId="21547"/>
    <cellStyle name="Normal 10 2 3 2 2 3 3" xfId="17863"/>
    <cellStyle name="Normal 10 2 3 2 2 4" xfId="4086"/>
    <cellStyle name="Normal 10 2 3 2 2 4 2" xfId="20312"/>
    <cellStyle name="Normal 10 2 3 2 2 5" xfId="16628"/>
    <cellStyle name="Normal 10 2 3 2 3" xfId="573"/>
    <cellStyle name="Normal 10 2 3 2 3 2" xfId="1170"/>
    <cellStyle name="Normal 10 2 3 2 3 2 2" xfId="2278"/>
    <cellStyle name="Normal 10 2 3 2 3 2 2 2" xfId="5971"/>
    <cellStyle name="Normal 10 2 3 2 3 2 2 2 2" xfId="22195"/>
    <cellStyle name="Normal 10 2 3 2 3 2 2 3" xfId="18511"/>
    <cellStyle name="Normal 10 2 3 2 3 2 3" xfId="4867"/>
    <cellStyle name="Normal 10 2 3 2 3 2 3 2" xfId="21093"/>
    <cellStyle name="Normal 10 2 3 2 3 2 4" xfId="17409"/>
    <cellStyle name="Normal 10 2 3 2 3 3" xfId="1790"/>
    <cellStyle name="Normal 10 2 3 2 3 3 2" xfId="5484"/>
    <cellStyle name="Normal 10 2 3 2 3 3 2 2" xfId="21709"/>
    <cellStyle name="Normal 10 2 3 2 3 3 3" xfId="18025"/>
    <cellStyle name="Normal 10 2 3 2 3 4" xfId="4292"/>
    <cellStyle name="Normal 10 2 3 2 3 4 2" xfId="20518"/>
    <cellStyle name="Normal 10 2 3 2 3 5" xfId="16834"/>
    <cellStyle name="Normal 10 2 3 2 4" xfId="798"/>
    <cellStyle name="Normal 10 2 3 2 4 2" xfId="1954"/>
    <cellStyle name="Normal 10 2 3 2 4 2 2" xfId="5647"/>
    <cellStyle name="Normal 10 2 3 2 4 2 2 2" xfId="21871"/>
    <cellStyle name="Normal 10 2 3 2 4 2 3" xfId="18187"/>
    <cellStyle name="Normal 10 2 3 2 4 3" xfId="4495"/>
    <cellStyle name="Normal 10 2 3 2 4 3 2" xfId="20721"/>
    <cellStyle name="Normal 10 2 3 2 4 4" xfId="17037"/>
    <cellStyle name="Normal 10 2 3 2 5" xfId="1466"/>
    <cellStyle name="Normal 10 2 3 2 5 2" xfId="5160"/>
    <cellStyle name="Normal 10 2 3 2 5 2 2" xfId="21385"/>
    <cellStyle name="Normal 10 2 3 2 5 3" xfId="17701"/>
    <cellStyle name="Normal 10 2 3 2 6" xfId="2446"/>
    <cellStyle name="Normal 10 2 3 2 6 2" xfId="6137"/>
    <cellStyle name="Normal 10 2 3 2 6 2 2" xfId="22361"/>
    <cellStyle name="Normal 10 2 3 2 6 3" xfId="18677"/>
    <cellStyle name="Normal 10 2 3 2 7" xfId="3900"/>
    <cellStyle name="Normal 10 2 3 2 7 2" xfId="20127"/>
    <cellStyle name="Normal 10 2 3 2 8" xfId="16443"/>
    <cellStyle name="Normal 10 2 3 3" xfId="171"/>
    <cellStyle name="Normal 10 2 3 3 2" xfId="377"/>
    <cellStyle name="Normal 10 2 3 3 2 2" xfId="992"/>
    <cellStyle name="Normal 10 2 3 3 2 2 2" xfId="2140"/>
    <cellStyle name="Normal 10 2 3 3 2 2 2 2" xfId="5833"/>
    <cellStyle name="Normal 10 2 3 3 2 2 2 2 2" xfId="22057"/>
    <cellStyle name="Normal 10 2 3 3 2 2 2 3" xfId="18373"/>
    <cellStyle name="Normal 10 2 3 3 2 2 3" xfId="4689"/>
    <cellStyle name="Normal 10 2 3 3 2 2 3 2" xfId="20915"/>
    <cellStyle name="Normal 10 2 3 3 2 2 4" xfId="17231"/>
    <cellStyle name="Normal 10 2 3 3 2 3" xfId="1652"/>
    <cellStyle name="Normal 10 2 3 3 2 3 2" xfId="5346"/>
    <cellStyle name="Normal 10 2 3 3 2 3 2 2" xfId="21571"/>
    <cellStyle name="Normal 10 2 3 3 2 3 3" xfId="17887"/>
    <cellStyle name="Normal 10 2 3 3 2 4" xfId="4114"/>
    <cellStyle name="Normal 10 2 3 3 2 4 2" xfId="20340"/>
    <cellStyle name="Normal 10 2 3 3 2 5" xfId="16656"/>
    <cellStyle name="Normal 10 2 3 3 3" xfId="601"/>
    <cellStyle name="Normal 10 2 3 3 3 2" xfId="1198"/>
    <cellStyle name="Normal 10 2 3 3 3 2 2" xfId="2302"/>
    <cellStyle name="Normal 10 2 3 3 3 2 2 2" xfId="5995"/>
    <cellStyle name="Normal 10 2 3 3 3 2 2 2 2" xfId="22219"/>
    <cellStyle name="Normal 10 2 3 3 3 2 2 3" xfId="18535"/>
    <cellStyle name="Normal 10 2 3 3 3 2 3" xfId="4895"/>
    <cellStyle name="Normal 10 2 3 3 3 2 3 2" xfId="21121"/>
    <cellStyle name="Normal 10 2 3 3 3 2 4" xfId="17437"/>
    <cellStyle name="Normal 10 2 3 3 3 3" xfId="1814"/>
    <cellStyle name="Normal 10 2 3 3 3 3 2" xfId="5508"/>
    <cellStyle name="Normal 10 2 3 3 3 3 2 2" xfId="21733"/>
    <cellStyle name="Normal 10 2 3 3 3 3 3" xfId="18049"/>
    <cellStyle name="Normal 10 2 3 3 3 4" xfId="4320"/>
    <cellStyle name="Normal 10 2 3 3 3 4 2" xfId="20546"/>
    <cellStyle name="Normal 10 2 3 3 3 5" xfId="16862"/>
    <cellStyle name="Normal 10 2 3 3 4" xfId="822"/>
    <cellStyle name="Normal 10 2 3 3 4 2" xfId="1978"/>
    <cellStyle name="Normal 10 2 3 3 4 2 2" xfId="5671"/>
    <cellStyle name="Normal 10 2 3 3 4 2 2 2" xfId="21895"/>
    <cellStyle name="Normal 10 2 3 3 4 2 3" xfId="18211"/>
    <cellStyle name="Normal 10 2 3 3 4 3" xfId="4519"/>
    <cellStyle name="Normal 10 2 3 3 4 3 2" xfId="20745"/>
    <cellStyle name="Normal 10 2 3 3 4 4" xfId="17061"/>
    <cellStyle name="Normal 10 2 3 3 5" xfId="1490"/>
    <cellStyle name="Normal 10 2 3 3 5 2" xfId="5184"/>
    <cellStyle name="Normal 10 2 3 3 5 2 2" xfId="21409"/>
    <cellStyle name="Normal 10 2 3 3 5 3" xfId="17725"/>
    <cellStyle name="Normal 10 2 3 3 6" xfId="2475"/>
    <cellStyle name="Normal 10 2 3 3 6 2" xfId="6165"/>
    <cellStyle name="Normal 10 2 3 3 6 2 2" xfId="22389"/>
    <cellStyle name="Normal 10 2 3 3 6 3" xfId="18705"/>
    <cellStyle name="Normal 10 2 3 3 7" xfId="3928"/>
    <cellStyle name="Normal 10 2 3 3 7 2" xfId="20155"/>
    <cellStyle name="Normal 10 2 3 3 8" xfId="16471"/>
    <cellStyle name="Normal 10 2 3 4" xfId="199"/>
    <cellStyle name="Normal 10 2 3 4 2" xfId="405"/>
    <cellStyle name="Normal 10 2 3 4 2 2" xfId="1020"/>
    <cellStyle name="Normal 10 2 3 4 2 2 2" xfId="2164"/>
    <cellStyle name="Normal 10 2 3 4 2 2 2 2" xfId="5857"/>
    <cellStyle name="Normal 10 2 3 4 2 2 2 2 2" xfId="22081"/>
    <cellStyle name="Normal 10 2 3 4 2 2 2 3" xfId="18397"/>
    <cellStyle name="Normal 10 2 3 4 2 2 3" xfId="4717"/>
    <cellStyle name="Normal 10 2 3 4 2 2 3 2" xfId="20943"/>
    <cellStyle name="Normal 10 2 3 4 2 2 4" xfId="17259"/>
    <cellStyle name="Normal 10 2 3 4 2 3" xfId="1676"/>
    <cellStyle name="Normal 10 2 3 4 2 3 2" xfId="5370"/>
    <cellStyle name="Normal 10 2 3 4 2 3 2 2" xfId="21595"/>
    <cellStyle name="Normal 10 2 3 4 2 3 3" xfId="17911"/>
    <cellStyle name="Normal 10 2 3 4 2 4" xfId="4142"/>
    <cellStyle name="Normal 10 2 3 4 2 4 2" xfId="20368"/>
    <cellStyle name="Normal 10 2 3 4 2 5" xfId="16684"/>
    <cellStyle name="Normal 10 2 3 4 3" xfId="629"/>
    <cellStyle name="Normal 10 2 3 4 3 2" xfId="1226"/>
    <cellStyle name="Normal 10 2 3 4 3 2 2" xfId="2326"/>
    <cellStyle name="Normal 10 2 3 4 3 2 2 2" xfId="6019"/>
    <cellStyle name="Normal 10 2 3 4 3 2 2 2 2" xfId="22243"/>
    <cellStyle name="Normal 10 2 3 4 3 2 2 3" xfId="18559"/>
    <cellStyle name="Normal 10 2 3 4 3 2 3" xfId="4923"/>
    <cellStyle name="Normal 10 2 3 4 3 2 3 2" xfId="21149"/>
    <cellStyle name="Normal 10 2 3 4 3 2 4" xfId="17465"/>
    <cellStyle name="Normal 10 2 3 4 3 3" xfId="1838"/>
    <cellStyle name="Normal 10 2 3 4 3 3 2" xfId="5532"/>
    <cellStyle name="Normal 10 2 3 4 3 3 2 2" xfId="21757"/>
    <cellStyle name="Normal 10 2 3 4 3 3 3" xfId="18073"/>
    <cellStyle name="Normal 10 2 3 4 3 4" xfId="4348"/>
    <cellStyle name="Normal 10 2 3 4 3 4 2" xfId="20574"/>
    <cellStyle name="Normal 10 2 3 4 3 5" xfId="16890"/>
    <cellStyle name="Normal 10 2 3 4 4" xfId="846"/>
    <cellStyle name="Normal 10 2 3 4 4 2" xfId="2002"/>
    <cellStyle name="Normal 10 2 3 4 4 2 2" xfId="5695"/>
    <cellStyle name="Normal 10 2 3 4 4 2 2 2" xfId="21919"/>
    <cellStyle name="Normal 10 2 3 4 4 2 3" xfId="18235"/>
    <cellStyle name="Normal 10 2 3 4 4 3" xfId="4543"/>
    <cellStyle name="Normal 10 2 3 4 4 3 2" xfId="20769"/>
    <cellStyle name="Normal 10 2 3 4 4 4" xfId="17085"/>
    <cellStyle name="Normal 10 2 3 4 5" xfId="1514"/>
    <cellStyle name="Normal 10 2 3 4 5 2" xfId="5208"/>
    <cellStyle name="Normal 10 2 3 4 5 2 2" xfId="21433"/>
    <cellStyle name="Normal 10 2 3 4 5 3" xfId="17749"/>
    <cellStyle name="Normal 10 2 3 4 6" xfId="2503"/>
    <cellStyle name="Normal 10 2 3 4 6 2" xfId="6193"/>
    <cellStyle name="Normal 10 2 3 4 6 2 2" xfId="22417"/>
    <cellStyle name="Normal 10 2 3 4 6 3" xfId="18733"/>
    <cellStyle name="Normal 10 2 3 4 7" xfId="3956"/>
    <cellStyle name="Normal 10 2 3 4 7 2" xfId="20183"/>
    <cellStyle name="Normal 10 2 3 4 8" xfId="16499"/>
    <cellStyle name="Normal 10 2 3 5" xfId="228"/>
    <cellStyle name="Normal 10 2 3 5 2" xfId="434"/>
    <cellStyle name="Normal 10 2 3 5 2 2" xfId="1049"/>
    <cellStyle name="Normal 10 2 3 5 2 2 2" xfId="2188"/>
    <cellStyle name="Normal 10 2 3 5 2 2 2 2" xfId="5881"/>
    <cellStyle name="Normal 10 2 3 5 2 2 2 2 2" xfId="22105"/>
    <cellStyle name="Normal 10 2 3 5 2 2 2 3" xfId="18421"/>
    <cellStyle name="Normal 10 2 3 5 2 2 3" xfId="4746"/>
    <cellStyle name="Normal 10 2 3 5 2 2 3 2" xfId="20972"/>
    <cellStyle name="Normal 10 2 3 5 2 2 4" xfId="17288"/>
    <cellStyle name="Normal 10 2 3 5 2 3" xfId="1700"/>
    <cellStyle name="Normal 10 2 3 5 2 3 2" xfId="5394"/>
    <cellStyle name="Normal 10 2 3 5 2 3 2 2" xfId="21619"/>
    <cellStyle name="Normal 10 2 3 5 2 3 3" xfId="17935"/>
    <cellStyle name="Normal 10 2 3 5 2 4" xfId="4171"/>
    <cellStyle name="Normal 10 2 3 5 2 4 2" xfId="20397"/>
    <cellStyle name="Normal 10 2 3 5 2 5" xfId="16713"/>
    <cellStyle name="Normal 10 2 3 5 3" xfId="658"/>
    <cellStyle name="Normal 10 2 3 5 3 2" xfId="1255"/>
    <cellStyle name="Normal 10 2 3 5 3 2 2" xfId="2350"/>
    <cellStyle name="Normal 10 2 3 5 3 2 2 2" xfId="6043"/>
    <cellStyle name="Normal 10 2 3 5 3 2 2 2 2" xfId="22267"/>
    <cellStyle name="Normal 10 2 3 5 3 2 2 3" xfId="18583"/>
    <cellStyle name="Normal 10 2 3 5 3 2 3" xfId="4952"/>
    <cellStyle name="Normal 10 2 3 5 3 2 3 2" xfId="21178"/>
    <cellStyle name="Normal 10 2 3 5 3 2 4" xfId="17494"/>
    <cellStyle name="Normal 10 2 3 5 3 3" xfId="1862"/>
    <cellStyle name="Normal 10 2 3 5 3 3 2" xfId="5556"/>
    <cellStyle name="Normal 10 2 3 5 3 3 2 2" xfId="21781"/>
    <cellStyle name="Normal 10 2 3 5 3 3 3" xfId="18097"/>
    <cellStyle name="Normal 10 2 3 5 3 4" xfId="4377"/>
    <cellStyle name="Normal 10 2 3 5 3 4 2" xfId="20603"/>
    <cellStyle name="Normal 10 2 3 5 3 5" xfId="16919"/>
    <cellStyle name="Normal 10 2 3 5 4" xfId="870"/>
    <cellStyle name="Normal 10 2 3 5 4 2" xfId="2026"/>
    <cellStyle name="Normal 10 2 3 5 4 2 2" xfId="5719"/>
    <cellStyle name="Normal 10 2 3 5 4 2 2 2" xfId="21943"/>
    <cellStyle name="Normal 10 2 3 5 4 2 3" xfId="18259"/>
    <cellStyle name="Normal 10 2 3 5 4 3" xfId="4567"/>
    <cellStyle name="Normal 10 2 3 5 4 3 2" xfId="20793"/>
    <cellStyle name="Normal 10 2 3 5 4 4" xfId="17109"/>
    <cellStyle name="Normal 10 2 3 5 5" xfId="1538"/>
    <cellStyle name="Normal 10 2 3 5 5 2" xfId="5232"/>
    <cellStyle name="Normal 10 2 3 5 5 2 2" xfId="21457"/>
    <cellStyle name="Normal 10 2 3 5 5 3" xfId="17773"/>
    <cellStyle name="Normal 10 2 3 5 6" xfId="2532"/>
    <cellStyle name="Normal 10 2 3 5 6 2" xfId="6222"/>
    <cellStyle name="Normal 10 2 3 5 6 2 2" xfId="22446"/>
    <cellStyle name="Normal 10 2 3 5 6 3" xfId="18762"/>
    <cellStyle name="Normal 10 2 3 5 7" xfId="3985"/>
    <cellStyle name="Normal 10 2 3 5 7 2" xfId="20212"/>
    <cellStyle name="Normal 10 2 3 5 8" xfId="16528"/>
    <cellStyle name="Normal 10 2 3 6" xfId="264"/>
    <cellStyle name="Normal 10 2 3 6 2" xfId="461"/>
    <cellStyle name="Normal 10 2 3 6 2 2" xfId="1076"/>
    <cellStyle name="Normal 10 2 3 6 2 2 2" xfId="2212"/>
    <cellStyle name="Normal 10 2 3 6 2 2 2 2" xfId="5905"/>
    <cellStyle name="Normal 10 2 3 6 2 2 2 2 2" xfId="22129"/>
    <cellStyle name="Normal 10 2 3 6 2 2 2 3" xfId="18445"/>
    <cellStyle name="Normal 10 2 3 6 2 2 3" xfId="4773"/>
    <cellStyle name="Normal 10 2 3 6 2 2 3 2" xfId="20999"/>
    <cellStyle name="Normal 10 2 3 6 2 2 4" xfId="17315"/>
    <cellStyle name="Normal 10 2 3 6 2 3" xfId="1724"/>
    <cellStyle name="Normal 10 2 3 6 2 3 2" xfId="5418"/>
    <cellStyle name="Normal 10 2 3 6 2 3 2 2" xfId="21643"/>
    <cellStyle name="Normal 10 2 3 6 2 3 3" xfId="17959"/>
    <cellStyle name="Normal 10 2 3 6 2 4" xfId="4198"/>
    <cellStyle name="Normal 10 2 3 6 2 4 2" xfId="20424"/>
    <cellStyle name="Normal 10 2 3 6 2 5" xfId="16740"/>
    <cellStyle name="Normal 10 2 3 6 3" xfId="694"/>
    <cellStyle name="Normal 10 2 3 6 3 2" xfId="1282"/>
    <cellStyle name="Normal 10 2 3 6 3 2 2" xfId="2374"/>
    <cellStyle name="Normal 10 2 3 6 3 2 2 2" xfId="6067"/>
    <cellStyle name="Normal 10 2 3 6 3 2 2 2 2" xfId="22291"/>
    <cellStyle name="Normal 10 2 3 6 3 2 2 3" xfId="18607"/>
    <cellStyle name="Normal 10 2 3 6 3 2 3" xfId="4979"/>
    <cellStyle name="Normal 10 2 3 6 3 2 3 2" xfId="21205"/>
    <cellStyle name="Normal 10 2 3 6 3 2 4" xfId="17521"/>
    <cellStyle name="Normal 10 2 3 6 3 3" xfId="1886"/>
    <cellStyle name="Normal 10 2 3 6 3 3 2" xfId="5580"/>
    <cellStyle name="Normal 10 2 3 6 3 3 2 2" xfId="21805"/>
    <cellStyle name="Normal 10 2 3 6 3 3 3" xfId="18121"/>
    <cellStyle name="Normal 10 2 3 6 3 4" xfId="4404"/>
    <cellStyle name="Normal 10 2 3 6 3 4 2" xfId="20630"/>
    <cellStyle name="Normal 10 2 3 6 3 5" xfId="16946"/>
    <cellStyle name="Normal 10 2 3 6 4" xfId="894"/>
    <cellStyle name="Normal 10 2 3 6 4 2" xfId="2050"/>
    <cellStyle name="Normal 10 2 3 6 4 2 2" xfId="5743"/>
    <cellStyle name="Normal 10 2 3 6 4 2 2 2" xfId="21967"/>
    <cellStyle name="Normal 10 2 3 6 4 2 3" xfId="18283"/>
    <cellStyle name="Normal 10 2 3 6 4 3" xfId="4591"/>
    <cellStyle name="Normal 10 2 3 6 4 3 2" xfId="20817"/>
    <cellStyle name="Normal 10 2 3 6 4 4" xfId="17133"/>
    <cellStyle name="Normal 10 2 3 6 5" xfId="1562"/>
    <cellStyle name="Normal 10 2 3 6 5 2" xfId="5256"/>
    <cellStyle name="Normal 10 2 3 6 5 2 2" xfId="21481"/>
    <cellStyle name="Normal 10 2 3 6 5 3" xfId="17797"/>
    <cellStyle name="Normal 10 2 3 6 6" xfId="2559"/>
    <cellStyle name="Normal 10 2 3 6 6 2" xfId="6249"/>
    <cellStyle name="Normal 10 2 3 6 6 2 2" xfId="22473"/>
    <cellStyle name="Normal 10 2 3 6 6 3" xfId="18789"/>
    <cellStyle name="Normal 10 2 3 6 7" xfId="4012"/>
    <cellStyle name="Normal 10 2 3 6 7 2" xfId="20239"/>
    <cellStyle name="Normal 10 2 3 6 8" xfId="16555"/>
    <cellStyle name="Normal 10 2 3 7" xfId="301"/>
    <cellStyle name="Normal 10 2 3 7 2" xfId="488"/>
    <cellStyle name="Normal 10 2 3 7 2 2" xfId="1103"/>
    <cellStyle name="Normal 10 2 3 7 2 2 2" xfId="2236"/>
    <cellStyle name="Normal 10 2 3 7 2 2 2 2" xfId="5929"/>
    <cellStyle name="Normal 10 2 3 7 2 2 2 2 2" xfId="22153"/>
    <cellStyle name="Normal 10 2 3 7 2 2 2 3" xfId="18469"/>
    <cellStyle name="Normal 10 2 3 7 2 2 3" xfId="4800"/>
    <cellStyle name="Normal 10 2 3 7 2 2 3 2" xfId="21026"/>
    <cellStyle name="Normal 10 2 3 7 2 2 4" xfId="17342"/>
    <cellStyle name="Normal 10 2 3 7 2 3" xfId="1748"/>
    <cellStyle name="Normal 10 2 3 7 2 3 2" xfId="5442"/>
    <cellStyle name="Normal 10 2 3 7 2 3 2 2" xfId="21667"/>
    <cellStyle name="Normal 10 2 3 7 2 3 3" xfId="17983"/>
    <cellStyle name="Normal 10 2 3 7 2 4" xfId="4225"/>
    <cellStyle name="Normal 10 2 3 7 2 4 2" xfId="20451"/>
    <cellStyle name="Normal 10 2 3 7 2 5" xfId="16767"/>
    <cellStyle name="Normal 10 2 3 7 3" xfId="730"/>
    <cellStyle name="Normal 10 2 3 7 3 2" xfId="1309"/>
    <cellStyle name="Normal 10 2 3 7 3 2 2" xfId="2398"/>
    <cellStyle name="Normal 10 2 3 7 3 2 2 2" xfId="6091"/>
    <cellStyle name="Normal 10 2 3 7 3 2 2 2 2" xfId="22315"/>
    <cellStyle name="Normal 10 2 3 7 3 2 2 3" xfId="18631"/>
    <cellStyle name="Normal 10 2 3 7 3 2 3" xfId="5006"/>
    <cellStyle name="Normal 10 2 3 7 3 2 3 2" xfId="21232"/>
    <cellStyle name="Normal 10 2 3 7 3 2 4" xfId="17548"/>
    <cellStyle name="Normal 10 2 3 7 3 3" xfId="1910"/>
    <cellStyle name="Normal 10 2 3 7 3 3 2" xfId="5604"/>
    <cellStyle name="Normal 10 2 3 7 3 3 2 2" xfId="21829"/>
    <cellStyle name="Normal 10 2 3 7 3 3 3" xfId="18145"/>
    <cellStyle name="Normal 10 2 3 7 3 4" xfId="4431"/>
    <cellStyle name="Normal 10 2 3 7 3 4 2" xfId="20657"/>
    <cellStyle name="Normal 10 2 3 7 3 5" xfId="16973"/>
    <cellStyle name="Normal 10 2 3 7 4" xfId="918"/>
    <cellStyle name="Normal 10 2 3 7 4 2" xfId="2074"/>
    <cellStyle name="Normal 10 2 3 7 4 2 2" xfId="5767"/>
    <cellStyle name="Normal 10 2 3 7 4 2 2 2" xfId="21991"/>
    <cellStyle name="Normal 10 2 3 7 4 2 3" xfId="18307"/>
    <cellStyle name="Normal 10 2 3 7 4 3" xfId="4615"/>
    <cellStyle name="Normal 10 2 3 7 4 3 2" xfId="20841"/>
    <cellStyle name="Normal 10 2 3 7 4 4" xfId="17157"/>
    <cellStyle name="Normal 10 2 3 7 5" xfId="1586"/>
    <cellStyle name="Normal 10 2 3 7 5 2" xfId="5280"/>
    <cellStyle name="Normal 10 2 3 7 5 2 2" xfId="21505"/>
    <cellStyle name="Normal 10 2 3 7 5 3" xfId="17821"/>
    <cellStyle name="Normal 10 2 3 7 6" xfId="2587"/>
    <cellStyle name="Normal 10 2 3 7 6 2" xfId="6276"/>
    <cellStyle name="Normal 10 2 3 7 6 2 2" xfId="22500"/>
    <cellStyle name="Normal 10 2 3 7 6 3" xfId="18816"/>
    <cellStyle name="Normal 10 2 3 7 7" xfId="4039"/>
    <cellStyle name="Normal 10 2 3 7 7 2" xfId="20266"/>
    <cellStyle name="Normal 10 2 3 7 8" xfId="16582"/>
    <cellStyle name="Normal 10 2 3 8" xfId="328"/>
    <cellStyle name="Normal 10 2 3 8 2" xfId="944"/>
    <cellStyle name="Normal 10 2 3 8 2 2" xfId="2098"/>
    <cellStyle name="Normal 10 2 3 8 2 2 2" xfId="5791"/>
    <cellStyle name="Normal 10 2 3 8 2 2 2 2" xfId="22015"/>
    <cellStyle name="Normal 10 2 3 8 2 2 3" xfId="18331"/>
    <cellStyle name="Normal 10 2 3 8 2 3" xfId="4641"/>
    <cellStyle name="Normal 10 2 3 8 2 3 2" xfId="20867"/>
    <cellStyle name="Normal 10 2 3 8 2 4" xfId="17183"/>
    <cellStyle name="Normal 10 2 3 8 3" xfId="1610"/>
    <cellStyle name="Normal 10 2 3 8 3 2" xfId="5304"/>
    <cellStyle name="Normal 10 2 3 8 3 2 2" xfId="21529"/>
    <cellStyle name="Normal 10 2 3 8 3 3" xfId="17845"/>
    <cellStyle name="Normal 10 2 3 8 4" xfId="4065"/>
    <cellStyle name="Normal 10 2 3 8 4 2" xfId="20292"/>
    <cellStyle name="Normal 10 2 3 8 5" xfId="16608"/>
    <cellStyle name="Normal 10 2 3 9" xfId="544"/>
    <cellStyle name="Normal 10 2 3 9 2" xfId="1150"/>
    <cellStyle name="Normal 10 2 3 9 2 2" xfId="2260"/>
    <cellStyle name="Normal 10 2 3 9 2 2 2" xfId="5953"/>
    <cellStyle name="Normal 10 2 3 9 2 2 2 2" xfId="22177"/>
    <cellStyle name="Normal 10 2 3 9 2 2 3" xfId="18493"/>
    <cellStyle name="Normal 10 2 3 9 2 3" xfId="4847"/>
    <cellStyle name="Normal 10 2 3 9 2 3 2" xfId="21073"/>
    <cellStyle name="Normal 10 2 3 9 2 4" xfId="17389"/>
    <cellStyle name="Normal 10 2 3 9 3" xfId="1772"/>
    <cellStyle name="Normal 10 2 3 9 3 2" xfId="5466"/>
    <cellStyle name="Normal 10 2 3 9 3 2 2" xfId="21691"/>
    <cellStyle name="Normal 10 2 3 9 3 3" xfId="18007"/>
    <cellStyle name="Normal 10 2 3 9 4" xfId="4272"/>
    <cellStyle name="Normal 10 2 3 9 4 2" xfId="20498"/>
    <cellStyle name="Normal 10 2 3 9 5" xfId="16814"/>
    <cellStyle name="Normal 10 2 4" xfId="148"/>
    <cellStyle name="Normal 10 2 4 10" xfId="1472"/>
    <cellStyle name="Normal 10 2 4 10 2" xfId="5166"/>
    <cellStyle name="Normal 10 2 4 10 2 2" xfId="21391"/>
    <cellStyle name="Normal 10 2 4 10 3" xfId="17707"/>
    <cellStyle name="Normal 10 2 4 11" xfId="2452"/>
    <cellStyle name="Normal 10 2 4 11 2" xfId="6143"/>
    <cellStyle name="Normal 10 2 4 11 2 2" xfId="22367"/>
    <cellStyle name="Normal 10 2 4 11 3" xfId="18683"/>
    <cellStyle name="Normal 10 2 4 12" xfId="3906"/>
    <cellStyle name="Normal 10 2 4 12 2" xfId="20133"/>
    <cellStyle name="Normal 10 2 4 13" xfId="16449"/>
    <cellStyle name="Normal 10 2 4 2" xfId="177"/>
    <cellStyle name="Normal 10 2 4 2 2" xfId="383"/>
    <cellStyle name="Normal 10 2 4 2 2 2" xfId="998"/>
    <cellStyle name="Normal 10 2 4 2 2 2 2" xfId="2146"/>
    <cellStyle name="Normal 10 2 4 2 2 2 2 2" xfId="5839"/>
    <cellStyle name="Normal 10 2 4 2 2 2 2 2 2" xfId="22063"/>
    <cellStyle name="Normal 10 2 4 2 2 2 2 3" xfId="18379"/>
    <cellStyle name="Normal 10 2 4 2 2 2 3" xfId="4695"/>
    <cellStyle name="Normal 10 2 4 2 2 2 3 2" xfId="20921"/>
    <cellStyle name="Normal 10 2 4 2 2 2 4" xfId="17237"/>
    <cellStyle name="Normal 10 2 4 2 2 3" xfId="1658"/>
    <cellStyle name="Normal 10 2 4 2 2 3 2" xfId="5352"/>
    <cellStyle name="Normal 10 2 4 2 2 3 2 2" xfId="21577"/>
    <cellStyle name="Normal 10 2 4 2 2 3 3" xfId="17893"/>
    <cellStyle name="Normal 10 2 4 2 2 4" xfId="4120"/>
    <cellStyle name="Normal 10 2 4 2 2 4 2" xfId="20346"/>
    <cellStyle name="Normal 10 2 4 2 2 5" xfId="16662"/>
    <cellStyle name="Normal 10 2 4 2 3" xfId="607"/>
    <cellStyle name="Normal 10 2 4 2 3 2" xfId="1204"/>
    <cellStyle name="Normal 10 2 4 2 3 2 2" xfId="2308"/>
    <cellStyle name="Normal 10 2 4 2 3 2 2 2" xfId="6001"/>
    <cellStyle name="Normal 10 2 4 2 3 2 2 2 2" xfId="22225"/>
    <cellStyle name="Normal 10 2 4 2 3 2 2 3" xfId="18541"/>
    <cellStyle name="Normal 10 2 4 2 3 2 3" xfId="4901"/>
    <cellStyle name="Normal 10 2 4 2 3 2 3 2" xfId="21127"/>
    <cellStyle name="Normal 10 2 4 2 3 2 4" xfId="17443"/>
    <cellStyle name="Normal 10 2 4 2 3 3" xfId="1820"/>
    <cellStyle name="Normal 10 2 4 2 3 3 2" xfId="5514"/>
    <cellStyle name="Normal 10 2 4 2 3 3 2 2" xfId="21739"/>
    <cellStyle name="Normal 10 2 4 2 3 3 3" xfId="18055"/>
    <cellStyle name="Normal 10 2 4 2 3 4" xfId="4326"/>
    <cellStyle name="Normal 10 2 4 2 3 4 2" xfId="20552"/>
    <cellStyle name="Normal 10 2 4 2 3 5" xfId="16868"/>
    <cellStyle name="Normal 10 2 4 2 4" xfId="828"/>
    <cellStyle name="Normal 10 2 4 2 4 2" xfId="1984"/>
    <cellStyle name="Normal 10 2 4 2 4 2 2" xfId="5677"/>
    <cellStyle name="Normal 10 2 4 2 4 2 2 2" xfId="21901"/>
    <cellStyle name="Normal 10 2 4 2 4 2 3" xfId="18217"/>
    <cellStyle name="Normal 10 2 4 2 4 3" xfId="4525"/>
    <cellStyle name="Normal 10 2 4 2 4 3 2" xfId="20751"/>
    <cellStyle name="Normal 10 2 4 2 4 4" xfId="17067"/>
    <cellStyle name="Normal 10 2 4 2 5" xfId="1496"/>
    <cellStyle name="Normal 10 2 4 2 5 2" xfId="5190"/>
    <cellStyle name="Normal 10 2 4 2 5 2 2" xfId="21415"/>
    <cellStyle name="Normal 10 2 4 2 5 3" xfId="17731"/>
    <cellStyle name="Normal 10 2 4 2 6" xfId="2481"/>
    <cellStyle name="Normal 10 2 4 2 6 2" xfId="6171"/>
    <cellStyle name="Normal 10 2 4 2 6 2 2" xfId="22395"/>
    <cellStyle name="Normal 10 2 4 2 6 3" xfId="18711"/>
    <cellStyle name="Normal 10 2 4 2 7" xfId="3934"/>
    <cellStyle name="Normal 10 2 4 2 7 2" xfId="20161"/>
    <cellStyle name="Normal 10 2 4 2 8" xfId="16477"/>
    <cellStyle name="Normal 10 2 4 3" xfId="205"/>
    <cellStyle name="Normal 10 2 4 3 2" xfId="411"/>
    <cellStyle name="Normal 10 2 4 3 2 2" xfId="1026"/>
    <cellStyle name="Normal 10 2 4 3 2 2 2" xfId="2170"/>
    <cellStyle name="Normal 10 2 4 3 2 2 2 2" xfId="5863"/>
    <cellStyle name="Normal 10 2 4 3 2 2 2 2 2" xfId="22087"/>
    <cellStyle name="Normal 10 2 4 3 2 2 2 3" xfId="18403"/>
    <cellStyle name="Normal 10 2 4 3 2 2 3" xfId="4723"/>
    <cellStyle name="Normal 10 2 4 3 2 2 3 2" xfId="20949"/>
    <cellStyle name="Normal 10 2 4 3 2 2 4" xfId="17265"/>
    <cellStyle name="Normal 10 2 4 3 2 3" xfId="1682"/>
    <cellStyle name="Normal 10 2 4 3 2 3 2" xfId="5376"/>
    <cellStyle name="Normal 10 2 4 3 2 3 2 2" xfId="21601"/>
    <cellStyle name="Normal 10 2 4 3 2 3 3" xfId="17917"/>
    <cellStyle name="Normal 10 2 4 3 2 4" xfId="4148"/>
    <cellStyle name="Normal 10 2 4 3 2 4 2" xfId="20374"/>
    <cellStyle name="Normal 10 2 4 3 2 5" xfId="16690"/>
    <cellStyle name="Normal 10 2 4 3 3" xfId="635"/>
    <cellStyle name="Normal 10 2 4 3 3 2" xfId="1232"/>
    <cellStyle name="Normal 10 2 4 3 3 2 2" xfId="2332"/>
    <cellStyle name="Normal 10 2 4 3 3 2 2 2" xfId="6025"/>
    <cellStyle name="Normal 10 2 4 3 3 2 2 2 2" xfId="22249"/>
    <cellStyle name="Normal 10 2 4 3 3 2 2 3" xfId="18565"/>
    <cellStyle name="Normal 10 2 4 3 3 2 3" xfId="4929"/>
    <cellStyle name="Normal 10 2 4 3 3 2 3 2" xfId="21155"/>
    <cellStyle name="Normal 10 2 4 3 3 2 4" xfId="17471"/>
    <cellStyle name="Normal 10 2 4 3 3 3" xfId="1844"/>
    <cellStyle name="Normal 10 2 4 3 3 3 2" xfId="5538"/>
    <cellStyle name="Normal 10 2 4 3 3 3 2 2" xfId="21763"/>
    <cellStyle name="Normal 10 2 4 3 3 3 3" xfId="18079"/>
    <cellStyle name="Normal 10 2 4 3 3 4" xfId="4354"/>
    <cellStyle name="Normal 10 2 4 3 3 4 2" xfId="20580"/>
    <cellStyle name="Normal 10 2 4 3 3 5" xfId="16896"/>
    <cellStyle name="Normal 10 2 4 3 4" xfId="852"/>
    <cellStyle name="Normal 10 2 4 3 4 2" xfId="2008"/>
    <cellStyle name="Normal 10 2 4 3 4 2 2" xfId="5701"/>
    <cellStyle name="Normal 10 2 4 3 4 2 2 2" xfId="21925"/>
    <cellStyle name="Normal 10 2 4 3 4 2 3" xfId="18241"/>
    <cellStyle name="Normal 10 2 4 3 4 3" xfId="4549"/>
    <cellStyle name="Normal 10 2 4 3 4 3 2" xfId="20775"/>
    <cellStyle name="Normal 10 2 4 3 4 4" xfId="17091"/>
    <cellStyle name="Normal 10 2 4 3 5" xfId="1520"/>
    <cellStyle name="Normal 10 2 4 3 5 2" xfId="5214"/>
    <cellStyle name="Normal 10 2 4 3 5 2 2" xfId="21439"/>
    <cellStyle name="Normal 10 2 4 3 5 3" xfId="17755"/>
    <cellStyle name="Normal 10 2 4 3 6" xfId="2509"/>
    <cellStyle name="Normal 10 2 4 3 6 2" xfId="6199"/>
    <cellStyle name="Normal 10 2 4 3 6 2 2" xfId="22423"/>
    <cellStyle name="Normal 10 2 4 3 6 3" xfId="18739"/>
    <cellStyle name="Normal 10 2 4 3 7" xfId="3962"/>
    <cellStyle name="Normal 10 2 4 3 7 2" xfId="20189"/>
    <cellStyle name="Normal 10 2 4 3 8" xfId="16505"/>
    <cellStyle name="Normal 10 2 4 4" xfId="234"/>
    <cellStyle name="Normal 10 2 4 4 2" xfId="440"/>
    <cellStyle name="Normal 10 2 4 4 2 2" xfId="1055"/>
    <cellStyle name="Normal 10 2 4 4 2 2 2" xfId="2194"/>
    <cellStyle name="Normal 10 2 4 4 2 2 2 2" xfId="5887"/>
    <cellStyle name="Normal 10 2 4 4 2 2 2 2 2" xfId="22111"/>
    <cellStyle name="Normal 10 2 4 4 2 2 2 3" xfId="18427"/>
    <cellStyle name="Normal 10 2 4 4 2 2 3" xfId="4752"/>
    <cellStyle name="Normal 10 2 4 4 2 2 3 2" xfId="20978"/>
    <cellStyle name="Normal 10 2 4 4 2 2 4" xfId="17294"/>
    <cellStyle name="Normal 10 2 4 4 2 3" xfId="1706"/>
    <cellStyle name="Normal 10 2 4 4 2 3 2" xfId="5400"/>
    <cellStyle name="Normal 10 2 4 4 2 3 2 2" xfId="21625"/>
    <cellStyle name="Normal 10 2 4 4 2 3 3" xfId="17941"/>
    <cellStyle name="Normal 10 2 4 4 2 4" xfId="4177"/>
    <cellStyle name="Normal 10 2 4 4 2 4 2" xfId="20403"/>
    <cellStyle name="Normal 10 2 4 4 2 5" xfId="16719"/>
    <cellStyle name="Normal 10 2 4 4 3" xfId="664"/>
    <cellStyle name="Normal 10 2 4 4 3 2" xfId="1261"/>
    <cellStyle name="Normal 10 2 4 4 3 2 2" xfId="2356"/>
    <cellStyle name="Normal 10 2 4 4 3 2 2 2" xfId="6049"/>
    <cellStyle name="Normal 10 2 4 4 3 2 2 2 2" xfId="22273"/>
    <cellStyle name="Normal 10 2 4 4 3 2 2 3" xfId="18589"/>
    <cellStyle name="Normal 10 2 4 4 3 2 3" xfId="4958"/>
    <cellStyle name="Normal 10 2 4 4 3 2 3 2" xfId="21184"/>
    <cellStyle name="Normal 10 2 4 4 3 2 4" xfId="17500"/>
    <cellStyle name="Normal 10 2 4 4 3 3" xfId="1868"/>
    <cellStyle name="Normal 10 2 4 4 3 3 2" xfId="5562"/>
    <cellStyle name="Normal 10 2 4 4 3 3 2 2" xfId="21787"/>
    <cellStyle name="Normal 10 2 4 4 3 3 3" xfId="18103"/>
    <cellStyle name="Normal 10 2 4 4 3 4" xfId="4383"/>
    <cellStyle name="Normal 10 2 4 4 3 4 2" xfId="20609"/>
    <cellStyle name="Normal 10 2 4 4 3 5" xfId="16925"/>
    <cellStyle name="Normal 10 2 4 4 4" xfId="876"/>
    <cellStyle name="Normal 10 2 4 4 4 2" xfId="2032"/>
    <cellStyle name="Normal 10 2 4 4 4 2 2" xfId="5725"/>
    <cellStyle name="Normal 10 2 4 4 4 2 2 2" xfId="21949"/>
    <cellStyle name="Normal 10 2 4 4 4 2 3" xfId="18265"/>
    <cellStyle name="Normal 10 2 4 4 4 3" xfId="4573"/>
    <cellStyle name="Normal 10 2 4 4 4 3 2" xfId="20799"/>
    <cellStyle name="Normal 10 2 4 4 4 4" xfId="17115"/>
    <cellStyle name="Normal 10 2 4 4 5" xfId="1544"/>
    <cellStyle name="Normal 10 2 4 4 5 2" xfId="5238"/>
    <cellStyle name="Normal 10 2 4 4 5 2 2" xfId="21463"/>
    <cellStyle name="Normal 10 2 4 4 5 3" xfId="17779"/>
    <cellStyle name="Normal 10 2 4 4 6" xfId="2538"/>
    <cellStyle name="Normal 10 2 4 4 6 2" xfId="6228"/>
    <cellStyle name="Normal 10 2 4 4 6 2 2" xfId="22452"/>
    <cellStyle name="Normal 10 2 4 4 6 3" xfId="18768"/>
    <cellStyle name="Normal 10 2 4 4 7" xfId="3991"/>
    <cellStyle name="Normal 10 2 4 4 7 2" xfId="20218"/>
    <cellStyle name="Normal 10 2 4 4 8" xfId="16534"/>
    <cellStyle name="Normal 10 2 4 5" xfId="279"/>
    <cellStyle name="Normal 10 2 4 5 2" xfId="467"/>
    <cellStyle name="Normal 10 2 4 5 2 2" xfId="1082"/>
    <cellStyle name="Normal 10 2 4 5 2 2 2" xfId="2218"/>
    <cellStyle name="Normal 10 2 4 5 2 2 2 2" xfId="5911"/>
    <cellStyle name="Normal 10 2 4 5 2 2 2 2 2" xfId="22135"/>
    <cellStyle name="Normal 10 2 4 5 2 2 2 3" xfId="18451"/>
    <cellStyle name="Normal 10 2 4 5 2 2 3" xfId="4779"/>
    <cellStyle name="Normal 10 2 4 5 2 2 3 2" xfId="21005"/>
    <cellStyle name="Normal 10 2 4 5 2 2 4" xfId="17321"/>
    <cellStyle name="Normal 10 2 4 5 2 3" xfId="1730"/>
    <cellStyle name="Normal 10 2 4 5 2 3 2" xfId="5424"/>
    <cellStyle name="Normal 10 2 4 5 2 3 2 2" xfId="21649"/>
    <cellStyle name="Normal 10 2 4 5 2 3 3" xfId="17965"/>
    <cellStyle name="Normal 10 2 4 5 2 4" xfId="4204"/>
    <cellStyle name="Normal 10 2 4 5 2 4 2" xfId="20430"/>
    <cellStyle name="Normal 10 2 4 5 2 5" xfId="16746"/>
    <cellStyle name="Normal 10 2 4 5 3" xfId="709"/>
    <cellStyle name="Normal 10 2 4 5 3 2" xfId="1288"/>
    <cellStyle name="Normal 10 2 4 5 3 2 2" xfId="2380"/>
    <cellStyle name="Normal 10 2 4 5 3 2 2 2" xfId="6073"/>
    <cellStyle name="Normal 10 2 4 5 3 2 2 2 2" xfId="22297"/>
    <cellStyle name="Normal 10 2 4 5 3 2 2 3" xfId="18613"/>
    <cellStyle name="Normal 10 2 4 5 3 2 3" xfId="4985"/>
    <cellStyle name="Normal 10 2 4 5 3 2 3 2" xfId="21211"/>
    <cellStyle name="Normal 10 2 4 5 3 2 4" xfId="17527"/>
    <cellStyle name="Normal 10 2 4 5 3 3" xfId="1892"/>
    <cellStyle name="Normal 10 2 4 5 3 3 2" xfId="5586"/>
    <cellStyle name="Normal 10 2 4 5 3 3 2 2" xfId="21811"/>
    <cellStyle name="Normal 10 2 4 5 3 3 3" xfId="18127"/>
    <cellStyle name="Normal 10 2 4 5 3 4" xfId="4410"/>
    <cellStyle name="Normal 10 2 4 5 3 4 2" xfId="20636"/>
    <cellStyle name="Normal 10 2 4 5 3 5" xfId="16952"/>
    <cellStyle name="Normal 10 2 4 5 4" xfId="900"/>
    <cellStyle name="Normal 10 2 4 5 4 2" xfId="2056"/>
    <cellStyle name="Normal 10 2 4 5 4 2 2" xfId="5749"/>
    <cellStyle name="Normal 10 2 4 5 4 2 2 2" xfId="21973"/>
    <cellStyle name="Normal 10 2 4 5 4 2 3" xfId="18289"/>
    <cellStyle name="Normal 10 2 4 5 4 3" xfId="4597"/>
    <cellStyle name="Normal 10 2 4 5 4 3 2" xfId="20823"/>
    <cellStyle name="Normal 10 2 4 5 4 4" xfId="17139"/>
    <cellStyle name="Normal 10 2 4 5 5" xfId="1568"/>
    <cellStyle name="Normal 10 2 4 5 5 2" xfId="5262"/>
    <cellStyle name="Normal 10 2 4 5 5 2 2" xfId="21487"/>
    <cellStyle name="Normal 10 2 4 5 5 3" xfId="17803"/>
    <cellStyle name="Normal 10 2 4 5 6" xfId="2565"/>
    <cellStyle name="Normal 10 2 4 5 6 2" xfId="6255"/>
    <cellStyle name="Normal 10 2 4 5 6 2 2" xfId="22479"/>
    <cellStyle name="Normal 10 2 4 5 6 3" xfId="18795"/>
    <cellStyle name="Normal 10 2 4 5 7" xfId="4018"/>
    <cellStyle name="Normal 10 2 4 5 7 2" xfId="20245"/>
    <cellStyle name="Normal 10 2 4 5 8" xfId="16561"/>
    <cellStyle name="Normal 10 2 4 6" xfId="307"/>
    <cellStyle name="Normal 10 2 4 6 2" xfId="494"/>
    <cellStyle name="Normal 10 2 4 6 2 2" xfId="1109"/>
    <cellStyle name="Normal 10 2 4 6 2 2 2" xfId="2242"/>
    <cellStyle name="Normal 10 2 4 6 2 2 2 2" xfId="5935"/>
    <cellStyle name="Normal 10 2 4 6 2 2 2 2 2" xfId="22159"/>
    <cellStyle name="Normal 10 2 4 6 2 2 2 3" xfId="18475"/>
    <cellStyle name="Normal 10 2 4 6 2 2 3" xfId="4806"/>
    <cellStyle name="Normal 10 2 4 6 2 2 3 2" xfId="21032"/>
    <cellStyle name="Normal 10 2 4 6 2 2 4" xfId="17348"/>
    <cellStyle name="Normal 10 2 4 6 2 3" xfId="1754"/>
    <cellStyle name="Normal 10 2 4 6 2 3 2" xfId="5448"/>
    <cellStyle name="Normal 10 2 4 6 2 3 2 2" xfId="21673"/>
    <cellStyle name="Normal 10 2 4 6 2 3 3" xfId="17989"/>
    <cellStyle name="Normal 10 2 4 6 2 4" xfId="4231"/>
    <cellStyle name="Normal 10 2 4 6 2 4 2" xfId="20457"/>
    <cellStyle name="Normal 10 2 4 6 2 5" xfId="16773"/>
    <cellStyle name="Normal 10 2 4 6 3" xfId="736"/>
    <cellStyle name="Normal 10 2 4 6 3 2" xfId="1315"/>
    <cellStyle name="Normal 10 2 4 6 3 2 2" xfId="2404"/>
    <cellStyle name="Normal 10 2 4 6 3 2 2 2" xfId="6097"/>
    <cellStyle name="Normal 10 2 4 6 3 2 2 2 2" xfId="22321"/>
    <cellStyle name="Normal 10 2 4 6 3 2 2 3" xfId="18637"/>
    <cellStyle name="Normal 10 2 4 6 3 2 3" xfId="5012"/>
    <cellStyle name="Normal 10 2 4 6 3 2 3 2" xfId="21238"/>
    <cellStyle name="Normal 10 2 4 6 3 2 4" xfId="17554"/>
    <cellStyle name="Normal 10 2 4 6 3 3" xfId="1916"/>
    <cellStyle name="Normal 10 2 4 6 3 3 2" xfId="5610"/>
    <cellStyle name="Normal 10 2 4 6 3 3 2 2" xfId="21835"/>
    <cellStyle name="Normal 10 2 4 6 3 3 3" xfId="18151"/>
    <cellStyle name="Normal 10 2 4 6 3 4" xfId="4437"/>
    <cellStyle name="Normal 10 2 4 6 3 4 2" xfId="20663"/>
    <cellStyle name="Normal 10 2 4 6 3 5" xfId="16979"/>
    <cellStyle name="Normal 10 2 4 6 4" xfId="924"/>
    <cellStyle name="Normal 10 2 4 6 4 2" xfId="2080"/>
    <cellStyle name="Normal 10 2 4 6 4 2 2" xfId="5773"/>
    <cellStyle name="Normal 10 2 4 6 4 2 2 2" xfId="21997"/>
    <cellStyle name="Normal 10 2 4 6 4 2 3" xfId="18313"/>
    <cellStyle name="Normal 10 2 4 6 4 3" xfId="4621"/>
    <cellStyle name="Normal 10 2 4 6 4 3 2" xfId="20847"/>
    <cellStyle name="Normal 10 2 4 6 4 4" xfId="17163"/>
    <cellStyle name="Normal 10 2 4 6 5" xfId="1592"/>
    <cellStyle name="Normal 10 2 4 6 5 2" xfId="5286"/>
    <cellStyle name="Normal 10 2 4 6 5 2 2" xfId="21511"/>
    <cellStyle name="Normal 10 2 4 6 5 3" xfId="17827"/>
    <cellStyle name="Normal 10 2 4 6 6" xfId="2593"/>
    <cellStyle name="Normal 10 2 4 6 6 2" xfId="6282"/>
    <cellStyle name="Normal 10 2 4 6 6 2 2" xfId="22506"/>
    <cellStyle name="Normal 10 2 4 6 6 3" xfId="18822"/>
    <cellStyle name="Normal 10 2 4 6 7" xfId="4045"/>
    <cellStyle name="Normal 10 2 4 6 7 2" xfId="20272"/>
    <cellStyle name="Normal 10 2 4 6 8" xfId="16588"/>
    <cellStyle name="Normal 10 2 4 7" xfId="355"/>
    <cellStyle name="Normal 10 2 4 7 2" xfId="970"/>
    <cellStyle name="Normal 10 2 4 7 2 2" xfId="2122"/>
    <cellStyle name="Normal 10 2 4 7 2 2 2" xfId="5815"/>
    <cellStyle name="Normal 10 2 4 7 2 2 2 2" xfId="22039"/>
    <cellStyle name="Normal 10 2 4 7 2 2 3" xfId="18355"/>
    <cellStyle name="Normal 10 2 4 7 2 3" xfId="4667"/>
    <cellStyle name="Normal 10 2 4 7 2 3 2" xfId="20893"/>
    <cellStyle name="Normal 10 2 4 7 2 4" xfId="17209"/>
    <cellStyle name="Normal 10 2 4 7 3" xfId="1634"/>
    <cellStyle name="Normal 10 2 4 7 3 2" xfId="5328"/>
    <cellStyle name="Normal 10 2 4 7 3 2 2" xfId="21553"/>
    <cellStyle name="Normal 10 2 4 7 3 3" xfId="17869"/>
    <cellStyle name="Normal 10 2 4 7 4" xfId="4092"/>
    <cellStyle name="Normal 10 2 4 7 4 2" xfId="20318"/>
    <cellStyle name="Normal 10 2 4 7 5" xfId="16634"/>
    <cellStyle name="Normal 10 2 4 8" xfId="579"/>
    <cellStyle name="Normal 10 2 4 8 2" xfId="1176"/>
    <cellStyle name="Normal 10 2 4 8 2 2" xfId="2284"/>
    <cellStyle name="Normal 10 2 4 8 2 2 2" xfId="5977"/>
    <cellStyle name="Normal 10 2 4 8 2 2 2 2" xfId="22201"/>
    <cellStyle name="Normal 10 2 4 8 2 2 3" xfId="18517"/>
    <cellStyle name="Normal 10 2 4 8 2 3" xfId="4873"/>
    <cellStyle name="Normal 10 2 4 8 2 3 2" xfId="21099"/>
    <cellStyle name="Normal 10 2 4 8 2 4" xfId="17415"/>
    <cellStyle name="Normal 10 2 4 8 3" xfId="1796"/>
    <cellStyle name="Normal 10 2 4 8 3 2" xfId="5490"/>
    <cellStyle name="Normal 10 2 4 8 3 2 2" xfId="21715"/>
    <cellStyle name="Normal 10 2 4 8 3 3" xfId="18031"/>
    <cellStyle name="Normal 10 2 4 8 4" xfId="4298"/>
    <cellStyle name="Normal 10 2 4 8 4 2" xfId="20524"/>
    <cellStyle name="Normal 10 2 4 8 5" xfId="16840"/>
    <cellStyle name="Normal 10 2 4 9" xfId="804"/>
    <cellStyle name="Normal 10 2 4 9 2" xfId="1960"/>
    <cellStyle name="Normal 10 2 4 9 2 2" xfId="5653"/>
    <cellStyle name="Normal 10 2 4 9 2 2 2" xfId="21877"/>
    <cellStyle name="Normal 10 2 4 9 2 3" xfId="18193"/>
    <cellStyle name="Normal 10 2 4 9 3" xfId="4501"/>
    <cellStyle name="Normal 10 2 4 9 3 2" xfId="20727"/>
    <cellStyle name="Normal 10 2 4 9 4" xfId="17043"/>
    <cellStyle name="Normal 10 2 5" xfId="127"/>
    <cellStyle name="Normal 10 2 5 2" xfId="334"/>
    <cellStyle name="Normal 10 2 5 2 2" xfId="950"/>
    <cellStyle name="Normal 10 2 5 2 2 2" xfId="2104"/>
    <cellStyle name="Normal 10 2 5 2 2 2 2" xfId="5797"/>
    <cellStyle name="Normal 10 2 5 2 2 2 2 2" xfId="22021"/>
    <cellStyle name="Normal 10 2 5 2 2 2 3" xfId="18337"/>
    <cellStyle name="Normal 10 2 5 2 2 3" xfId="4647"/>
    <cellStyle name="Normal 10 2 5 2 2 3 2" xfId="20873"/>
    <cellStyle name="Normal 10 2 5 2 2 4" xfId="17189"/>
    <cellStyle name="Normal 10 2 5 2 3" xfId="1616"/>
    <cellStyle name="Normal 10 2 5 2 3 2" xfId="5310"/>
    <cellStyle name="Normal 10 2 5 2 3 2 2" xfId="21535"/>
    <cellStyle name="Normal 10 2 5 2 3 3" xfId="17851"/>
    <cellStyle name="Normal 10 2 5 2 4" xfId="4071"/>
    <cellStyle name="Normal 10 2 5 2 4 2" xfId="20298"/>
    <cellStyle name="Normal 10 2 5 2 5" xfId="16614"/>
    <cellStyle name="Normal 10 2 5 3" xfId="559"/>
    <cellStyle name="Normal 10 2 5 3 2" xfId="1156"/>
    <cellStyle name="Normal 10 2 5 3 2 2" xfId="2266"/>
    <cellStyle name="Normal 10 2 5 3 2 2 2" xfId="5959"/>
    <cellStyle name="Normal 10 2 5 3 2 2 2 2" xfId="22183"/>
    <cellStyle name="Normal 10 2 5 3 2 2 3" xfId="18499"/>
    <cellStyle name="Normal 10 2 5 3 2 3" xfId="4853"/>
    <cellStyle name="Normal 10 2 5 3 2 3 2" xfId="21079"/>
    <cellStyle name="Normal 10 2 5 3 2 4" xfId="17395"/>
    <cellStyle name="Normal 10 2 5 3 3" xfId="1778"/>
    <cellStyle name="Normal 10 2 5 3 3 2" xfId="5472"/>
    <cellStyle name="Normal 10 2 5 3 3 2 2" xfId="21697"/>
    <cellStyle name="Normal 10 2 5 3 3 3" xfId="18013"/>
    <cellStyle name="Normal 10 2 5 3 4" xfId="4278"/>
    <cellStyle name="Normal 10 2 5 3 4 2" xfId="20504"/>
    <cellStyle name="Normal 10 2 5 3 5" xfId="16820"/>
    <cellStyle name="Normal 10 2 5 4" xfId="786"/>
    <cellStyle name="Normal 10 2 5 4 2" xfId="1942"/>
    <cellStyle name="Normal 10 2 5 4 2 2" xfId="5635"/>
    <cellStyle name="Normal 10 2 5 4 2 2 2" xfId="21859"/>
    <cellStyle name="Normal 10 2 5 4 2 3" xfId="18175"/>
    <cellStyle name="Normal 10 2 5 4 3" xfId="4483"/>
    <cellStyle name="Normal 10 2 5 4 3 2" xfId="20709"/>
    <cellStyle name="Normal 10 2 5 4 4" xfId="17025"/>
    <cellStyle name="Normal 10 2 5 5" xfId="1454"/>
    <cellStyle name="Normal 10 2 5 5 2" xfId="5148"/>
    <cellStyle name="Normal 10 2 5 5 2 2" xfId="21373"/>
    <cellStyle name="Normal 10 2 5 5 3" xfId="17689"/>
    <cellStyle name="Normal 10 2 5 6" xfId="2431"/>
    <cellStyle name="Normal 10 2 5 6 2" xfId="6123"/>
    <cellStyle name="Normal 10 2 5 6 2 2" xfId="22347"/>
    <cellStyle name="Normal 10 2 5 6 3" xfId="18663"/>
    <cellStyle name="Normal 10 2 5 7" xfId="3886"/>
    <cellStyle name="Normal 10 2 5 7 2" xfId="20113"/>
    <cellStyle name="Normal 10 2 5 8" xfId="16429"/>
    <cellStyle name="Normal 10 2 6" xfId="158"/>
    <cellStyle name="Normal 10 2 6 2" xfId="364"/>
    <cellStyle name="Normal 10 2 6 2 2" xfId="979"/>
    <cellStyle name="Normal 10 2 6 2 2 2" xfId="2128"/>
    <cellStyle name="Normal 10 2 6 2 2 2 2" xfId="5821"/>
    <cellStyle name="Normal 10 2 6 2 2 2 2 2" xfId="22045"/>
    <cellStyle name="Normal 10 2 6 2 2 2 3" xfId="18361"/>
    <cellStyle name="Normal 10 2 6 2 2 3" xfId="4676"/>
    <cellStyle name="Normal 10 2 6 2 2 3 2" xfId="20902"/>
    <cellStyle name="Normal 10 2 6 2 2 4" xfId="17218"/>
    <cellStyle name="Normal 10 2 6 2 3" xfId="1640"/>
    <cellStyle name="Normal 10 2 6 2 3 2" xfId="5334"/>
    <cellStyle name="Normal 10 2 6 2 3 2 2" xfId="21559"/>
    <cellStyle name="Normal 10 2 6 2 3 3" xfId="17875"/>
    <cellStyle name="Normal 10 2 6 2 4" xfId="4101"/>
    <cellStyle name="Normal 10 2 6 2 4 2" xfId="20327"/>
    <cellStyle name="Normal 10 2 6 2 5" xfId="16643"/>
    <cellStyle name="Normal 10 2 6 3" xfId="588"/>
    <cellStyle name="Normal 10 2 6 3 2" xfId="1185"/>
    <cellStyle name="Normal 10 2 6 3 2 2" xfId="2290"/>
    <cellStyle name="Normal 10 2 6 3 2 2 2" xfId="5983"/>
    <cellStyle name="Normal 10 2 6 3 2 2 2 2" xfId="22207"/>
    <cellStyle name="Normal 10 2 6 3 2 2 3" xfId="18523"/>
    <cellStyle name="Normal 10 2 6 3 2 3" xfId="4882"/>
    <cellStyle name="Normal 10 2 6 3 2 3 2" xfId="21108"/>
    <cellStyle name="Normal 10 2 6 3 2 4" xfId="17424"/>
    <cellStyle name="Normal 10 2 6 3 3" xfId="1802"/>
    <cellStyle name="Normal 10 2 6 3 3 2" xfId="5496"/>
    <cellStyle name="Normal 10 2 6 3 3 2 2" xfId="21721"/>
    <cellStyle name="Normal 10 2 6 3 3 3" xfId="18037"/>
    <cellStyle name="Normal 10 2 6 3 4" xfId="4307"/>
    <cellStyle name="Normal 10 2 6 3 4 2" xfId="20533"/>
    <cellStyle name="Normal 10 2 6 3 5" xfId="16849"/>
    <cellStyle name="Normal 10 2 6 4" xfId="810"/>
    <cellStyle name="Normal 10 2 6 4 2" xfId="1966"/>
    <cellStyle name="Normal 10 2 6 4 2 2" xfId="5659"/>
    <cellStyle name="Normal 10 2 6 4 2 2 2" xfId="21883"/>
    <cellStyle name="Normal 10 2 6 4 2 3" xfId="18199"/>
    <cellStyle name="Normal 10 2 6 4 3" xfId="4507"/>
    <cellStyle name="Normal 10 2 6 4 3 2" xfId="20733"/>
    <cellStyle name="Normal 10 2 6 4 4" xfId="17049"/>
    <cellStyle name="Normal 10 2 6 5" xfId="1478"/>
    <cellStyle name="Normal 10 2 6 5 2" xfId="5172"/>
    <cellStyle name="Normal 10 2 6 5 2 2" xfId="21397"/>
    <cellStyle name="Normal 10 2 6 5 3" xfId="17713"/>
    <cellStyle name="Normal 10 2 6 6" xfId="2462"/>
    <cellStyle name="Normal 10 2 6 6 2" xfId="6152"/>
    <cellStyle name="Normal 10 2 6 6 2 2" xfId="22376"/>
    <cellStyle name="Normal 10 2 6 6 3" xfId="18692"/>
    <cellStyle name="Normal 10 2 6 7" xfId="3915"/>
    <cellStyle name="Normal 10 2 6 7 2" xfId="20142"/>
    <cellStyle name="Normal 10 2 6 8" xfId="16458"/>
    <cellStyle name="Normal 10 2 7" xfId="186"/>
    <cellStyle name="Normal 10 2 7 2" xfId="392"/>
    <cellStyle name="Normal 10 2 7 2 2" xfId="1007"/>
    <cellStyle name="Normal 10 2 7 2 2 2" xfId="2152"/>
    <cellStyle name="Normal 10 2 7 2 2 2 2" xfId="5845"/>
    <cellStyle name="Normal 10 2 7 2 2 2 2 2" xfId="22069"/>
    <cellStyle name="Normal 10 2 7 2 2 2 3" xfId="18385"/>
    <cellStyle name="Normal 10 2 7 2 2 3" xfId="4704"/>
    <cellStyle name="Normal 10 2 7 2 2 3 2" xfId="20930"/>
    <cellStyle name="Normal 10 2 7 2 2 4" xfId="17246"/>
    <cellStyle name="Normal 10 2 7 2 3" xfId="1664"/>
    <cellStyle name="Normal 10 2 7 2 3 2" xfId="5358"/>
    <cellStyle name="Normal 10 2 7 2 3 2 2" xfId="21583"/>
    <cellStyle name="Normal 10 2 7 2 3 3" xfId="17899"/>
    <cellStyle name="Normal 10 2 7 2 4" xfId="4129"/>
    <cellStyle name="Normal 10 2 7 2 4 2" xfId="20355"/>
    <cellStyle name="Normal 10 2 7 2 5" xfId="16671"/>
    <cellStyle name="Normal 10 2 7 3" xfId="616"/>
    <cellStyle name="Normal 10 2 7 3 2" xfId="1213"/>
    <cellStyle name="Normal 10 2 7 3 2 2" xfId="2314"/>
    <cellStyle name="Normal 10 2 7 3 2 2 2" xfId="6007"/>
    <cellStyle name="Normal 10 2 7 3 2 2 2 2" xfId="22231"/>
    <cellStyle name="Normal 10 2 7 3 2 2 3" xfId="18547"/>
    <cellStyle name="Normal 10 2 7 3 2 3" xfId="4910"/>
    <cellStyle name="Normal 10 2 7 3 2 3 2" xfId="21136"/>
    <cellStyle name="Normal 10 2 7 3 2 4" xfId="17452"/>
    <cellStyle name="Normal 10 2 7 3 3" xfId="1826"/>
    <cellStyle name="Normal 10 2 7 3 3 2" xfId="5520"/>
    <cellStyle name="Normal 10 2 7 3 3 2 2" xfId="21745"/>
    <cellStyle name="Normal 10 2 7 3 3 3" xfId="18061"/>
    <cellStyle name="Normal 10 2 7 3 4" xfId="4335"/>
    <cellStyle name="Normal 10 2 7 3 4 2" xfId="20561"/>
    <cellStyle name="Normal 10 2 7 3 5" xfId="16877"/>
    <cellStyle name="Normal 10 2 7 4" xfId="834"/>
    <cellStyle name="Normal 10 2 7 4 2" xfId="1990"/>
    <cellStyle name="Normal 10 2 7 4 2 2" xfId="5683"/>
    <cellStyle name="Normal 10 2 7 4 2 2 2" xfId="21907"/>
    <cellStyle name="Normal 10 2 7 4 2 3" xfId="18223"/>
    <cellStyle name="Normal 10 2 7 4 3" xfId="4531"/>
    <cellStyle name="Normal 10 2 7 4 3 2" xfId="20757"/>
    <cellStyle name="Normal 10 2 7 4 4" xfId="17073"/>
    <cellStyle name="Normal 10 2 7 5" xfId="1502"/>
    <cellStyle name="Normal 10 2 7 5 2" xfId="5196"/>
    <cellStyle name="Normal 10 2 7 5 2 2" xfId="21421"/>
    <cellStyle name="Normal 10 2 7 5 3" xfId="17737"/>
    <cellStyle name="Normal 10 2 7 6" xfId="2490"/>
    <cellStyle name="Normal 10 2 7 6 2" xfId="6180"/>
    <cellStyle name="Normal 10 2 7 6 2 2" xfId="22404"/>
    <cellStyle name="Normal 10 2 7 6 3" xfId="18720"/>
    <cellStyle name="Normal 10 2 7 7" xfId="3943"/>
    <cellStyle name="Normal 10 2 7 7 2" xfId="20170"/>
    <cellStyle name="Normal 10 2 7 8" xfId="16486"/>
    <cellStyle name="Normal 10 2 8" xfId="214"/>
    <cellStyle name="Normal 10 2 8 2" xfId="420"/>
    <cellStyle name="Normal 10 2 8 2 2" xfId="1035"/>
    <cellStyle name="Normal 10 2 8 2 2 2" xfId="2176"/>
    <cellStyle name="Normal 10 2 8 2 2 2 2" xfId="5869"/>
    <cellStyle name="Normal 10 2 8 2 2 2 2 2" xfId="22093"/>
    <cellStyle name="Normal 10 2 8 2 2 2 3" xfId="18409"/>
    <cellStyle name="Normal 10 2 8 2 2 3" xfId="4732"/>
    <cellStyle name="Normal 10 2 8 2 2 3 2" xfId="20958"/>
    <cellStyle name="Normal 10 2 8 2 2 4" xfId="17274"/>
    <cellStyle name="Normal 10 2 8 2 3" xfId="1688"/>
    <cellStyle name="Normal 10 2 8 2 3 2" xfId="5382"/>
    <cellStyle name="Normal 10 2 8 2 3 2 2" xfId="21607"/>
    <cellStyle name="Normal 10 2 8 2 3 3" xfId="17923"/>
    <cellStyle name="Normal 10 2 8 2 4" xfId="4157"/>
    <cellStyle name="Normal 10 2 8 2 4 2" xfId="20383"/>
    <cellStyle name="Normal 10 2 8 2 5" xfId="16699"/>
    <cellStyle name="Normal 10 2 8 3" xfId="644"/>
    <cellStyle name="Normal 10 2 8 3 2" xfId="1241"/>
    <cellStyle name="Normal 10 2 8 3 2 2" xfId="2338"/>
    <cellStyle name="Normal 10 2 8 3 2 2 2" xfId="6031"/>
    <cellStyle name="Normal 10 2 8 3 2 2 2 2" xfId="22255"/>
    <cellStyle name="Normal 10 2 8 3 2 2 3" xfId="18571"/>
    <cellStyle name="Normal 10 2 8 3 2 3" xfId="4938"/>
    <cellStyle name="Normal 10 2 8 3 2 3 2" xfId="21164"/>
    <cellStyle name="Normal 10 2 8 3 2 4" xfId="17480"/>
    <cellStyle name="Normal 10 2 8 3 3" xfId="1850"/>
    <cellStyle name="Normal 10 2 8 3 3 2" xfId="5544"/>
    <cellStyle name="Normal 10 2 8 3 3 2 2" xfId="21769"/>
    <cellStyle name="Normal 10 2 8 3 3 3" xfId="18085"/>
    <cellStyle name="Normal 10 2 8 3 4" xfId="4363"/>
    <cellStyle name="Normal 10 2 8 3 4 2" xfId="20589"/>
    <cellStyle name="Normal 10 2 8 3 5" xfId="16905"/>
    <cellStyle name="Normal 10 2 8 4" xfId="858"/>
    <cellStyle name="Normal 10 2 8 4 2" xfId="2014"/>
    <cellStyle name="Normal 10 2 8 4 2 2" xfId="5707"/>
    <cellStyle name="Normal 10 2 8 4 2 2 2" xfId="21931"/>
    <cellStyle name="Normal 10 2 8 4 2 3" xfId="18247"/>
    <cellStyle name="Normal 10 2 8 4 3" xfId="4555"/>
    <cellStyle name="Normal 10 2 8 4 3 2" xfId="20781"/>
    <cellStyle name="Normal 10 2 8 4 4" xfId="17097"/>
    <cellStyle name="Normal 10 2 8 5" xfId="1526"/>
    <cellStyle name="Normal 10 2 8 5 2" xfId="5220"/>
    <cellStyle name="Normal 10 2 8 5 2 2" xfId="21445"/>
    <cellStyle name="Normal 10 2 8 5 3" xfId="17761"/>
    <cellStyle name="Normal 10 2 8 6" xfId="2518"/>
    <cellStyle name="Normal 10 2 8 6 2" xfId="6208"/>
    <cellStyle name="Normal 10 2 8 6 2 2" xfId="22432"/>
    <cellStyle name="Normal 10 2 8 6 3" xfId="18748"/>
    <cellStyle name="Normal 10 2 8 7" xfId="3971"/>
    <cellStyle name="Normal 10 2 8 7 2" xfId="20198"/>
    <cellStyle name="Normal 10 2 8 8" xfId="16514"/>
    <cellStyle name="Normal 10 2 9" xfId="242"/>
    <cellStyle name="Normal 10 2 9 2" xfId="448"/>
    <cellStyle name="Normal 10 2 9 2 2" xfId="1063"/>
    <cellStyle name="Normal 10 2 9 2 2 2" xfId="2200"/>
    <cellStyle name="Normal 10 2 9 2 2 2 2" xfId="5893"/>
    <cellStyle name="Normal 10 2 9 2 2 2 2 2" xfId="22117"/>
    <cellStyle name="Normal 10 2 9 2 2 2 3" xfId="18433"/>
    <cellStyle name="Normal 10 2 9 2 2 3" xfId="4760"/>
    <cellStyle name="Normal 10 2 9 2 2 3 2" xfId="20986"/>
    <cellStyle name="Normal 10 2 9 2 2 4" xfId="17302"/>
    <cellStyle name="Normal 10 2 9 2 3" xfId="1712"/>
    <cellStyle name="Normal 10 2 9 2 3 2" xfId="5406"/>
    <cellStyle name="Normal 10 2 9 2 3 2 2" xfId="21631"/>
    <cellStyle name="Normal 10 2 9 2 3 3" xfId="17947"/>
    <cellStyle name="Normal 10 2 9 2 4" xfId="4185"/>
    <cellStyle name="Normal 10 2 9 2 4 2" xfId="20411"/>
    <cellStyle name="Normal 10 2 9 2 5" xfId="16727"/>
    <cellStyle name="Normal 10 2 9 3" xfId="672"/>
    <cellStyle name="Normal 10 2 9 3 2" xfId="1269"/>
    <cellStyle name="Normal 10 2 9 3 2 2" xfId="2362"/>
    <cellStyle name="Normal 10 2 9 3 2 2 2" xfId="6055"/>
    <cellStyle name="Normal 10 2 9 3 2 2 2 2" xfId="22279"/>
    <cellStyle name="Normal 10 2 9 3 2 2 3" xfId="18595"/>
    <cellStyle name="Normal 10 2 9 3 2 3" xfId="4966"/>
    <cellStyle name="Normal 10 2 9 3 2 3 2" xfId="21192"/>
    <cellStyle name="Normal 10 2 9 3 2 4" xfId="17508"/>
    <cellStyle name="Normal 10 2 9 3 3" xfId="1874"/>
    <cellStyle name="Normal 10 2 9 3 3 2" xfId="5568"/>
    <cellStyle name="Normal 10 2 9 3 3 2 2" xfId="21793"/>
    <cellStyle name="Normal 10 2 9 3 3 3" xfId="18109"/>
    <cellStyle name="Normal 10 2 9 3 4" xfId="4391"/>
    <cellStyle name="Normal 10 2 9 3 4 2" xfId="20617"/>
    <cellStyle name="Normal 10 2 9 3 5" xfId="16933"/>
    <cellStyle name="Normal 10 2 9 4" xfId="882"/>
    <cellStyle name="Normal 10 2 9 4 2" xfId="2038"/>
    <cellStyle name="Normal 10 2 9 4 2 2" xfId="5731"/>
    <cellStyle name="Normal 10 2 9 4 2 2 2" xfId="21955"/>
    <cellStyle name="Normal 10 2 9 4 2 3" xfId="18271"/>
    <cellStyle name="Normal 10 2 9 4 3" xfId="4579"/>
    <cellStyle name="Normal 10 2 9 4 3 2" xfId="20805"/>
    <cellStyle name="Normal 10 2 9 4 4" xfId="17121"/>
    <cellStyle name="Normal 10 2 9 5" xfId="1550"/>
    <cellStyle name="Normal 10 2 9 5 2" xfId="5244"/>
    <cellStyle name="Normal 10 2 9 5 2 2" xfId="21469"/>
    <cellStyle name="Normal 10 2 9 5 3" xfId="17785"/>
    <cellStyle name="Normal 10 2 9 6" xfId="2546"/>
    <cellStyle name="Normal 10 2 9 6 2" xfId="6236"/>
    <cellStyle name="Normal 10 2 9 6 2 2" xfId="22460"/>
    <cellStyle name="Normal 10 2 9 6 3" xfId="18776"/>
    <cellStyle name="Normal 10 2 9 7" xfId="3999"/>
    <cellStyle name="Normal 10 2 9 7 2" xfId="20226"/>
    <cellStyle name="Normal 10 2 9 8" xfId="16542"/>
    <cellStyle name="Normal 11" xfId="25"/>
    <cellStyle name="Normal 12" xfId="7"/>
    <cellStyle name="Normal 12 10" xfId="289"/>
    <cellStyle name="Normal 12 10 2" xfId="477"/>
    <cellStyle name="Normal 12 10 2 2" xfId="1092"/>
    <cellStyle name="Normal 12 10 2 2 2" xfId="2225"/>
    <cellStyle name="Normal 12 10 2 2 2 2" xfId="5918"/>
    <cellStyle name="Normal 12 10 2 2 2 2 2" xfId="22142"/>
    <cellStyle name="Normal 12 10 2 2 2 3" xfId="18458"/>
    <cellStyle name="Normal 12 10 2 2 3" xfId="4789"/>
    <cellStyle name="Normal 12 10 2 2 3 2" xfId="21015"/>
    <cellStyle name="Normal 12 10 2 2 4" xfId="17331"/>
    <cellStyle name="Normal 12 10 2 3" xfId="1737"/>
    <cellStyle name="Normal 12 10 2 3 2" xfId="5431"/>
    <cellStyle name="Normal 12 10 2 3 2 2" xfId="21656"/>
    <cellStyle name="Normal 12 10 2 3 3" xfId="17972"/>
    <cellStyle name="Normal 12 10 2 4" xfId="4214"/>
    <cellStyle name="Normal 12 10 2 4 2" xfId="20440"/>
    <cellStyle name="Normal 12 10 2 5" xfId="16756"/>
    <cellStyle name="Normal 12 10 3" xfId="719"/>
    <cellStyle name="Normal 12 10 3 2" xfId="1298"/>
    <cellStyle name="Normal 12 10 3 2 2" xfId="2387"/>
    <cellStyle name="Normal 12 10 3 2 2 2" xfId="6080"/>
    <cellStyle name="Normal 12 10 3 2 2 2 2" xfId="22304"/>
    <cellStyle name="Normal 12 10 3 2 2 3" xfId="18620"/>
    <cellStyle name="Normal 12 10 3 2 3" xfId="4995"/>
    <cellStyle name="Normal 12 10 3 2 3 2" xfId="21221"/>
    <cellStyle name="Normal 12 10 3 2 4" xfId="17537"/>
    <cellStyle name="Normal 12 10 3 3" xfId="1899"/>
    <cellStyle name="Normal 12 10 3 3 2" xfId="5593"/>
    <cellStyle name="Normal 12 10 3 3 2 2" xfId="21818"/>
    <cellStyle name="Normal 12 10 3 3 3" xfId="18134"/>
    <cellStyle name="Normal 12 10 3 4" xfId="4420"/>
    <cellStyle name="Normal 12 10 3 4 2" xfId="20646"/>
    <cellStyle name="Normal 12 10 3 5" xfId="16962"/>
    <cellStyle name="Normal 12 10 4" xfId="907"/>
    <cellStyle name="Normal 12 10 4 2" xfId="2063"/>
    <cellStyle name="Normal 12 10 4 2 2" xfId="5756"/>
    <cellStyle name="Normal 12 10 4 2 2 2" xfId="21980"/>
    <cellStyle name="Normal 12 10 4 2 3" xfId="18296"/>
    <cellStyle name="Normal 12 10 4 3" xfId="4604"/>
    <cellStyle name="Normal 12 10 4 3 2" xfId="20830"/>
    <cellStyle name="Normal 12 10 4 4" xfId="17146"/>
    <cellStyle name="Normal 12 10 5" xfId="1575"/>
    <cellStyle name="Normal 12 10 5 2" xfId="5269"/>
    <cellStyle name="Normal 12 10 5 2 2" xfId="21494"/>
    <cellStyle name="Normal 12 10 5 3" xfId="17810"/>
    <cellStyle name="Normal 12 10 6" xfId="2575"/>
    <cellStyle name="Normal 12 10 6 2" xfId="6265"/>
    <cellStyle name="Normal 12 10 6 2 2" xfId="22489"/>
    <cellStyle name="Normal 12 10 6 3" xfId="18805"/>
    <cellStyle name="Normal 12 10 7" xfId="4028"/>
    <cellStyle name="Normal 12 10 7 2" xfId="20255"/>
    <cellStyle name="Normal 12 10 8" xfId="16571"/>
    <cellStyle name="Normal 12 11" xfId="315"/>
    <cellStyle name="Normal 12 11 2" xfId="931"/>
    <cellStyle name="Normal 12 11 2 2" xfId="2087"/>
    <cellStyle name="Normal 12 11 2 2 2" xfId="5780"/>
    <cellStyle name="Normal 12 11 2 2 2 2" xfId="22004"/>
    <cellStyle name="Normal 12 11 2 2 3" xfId="18320"/>
    <cellStyle name="Normal 12 11 2 3" xfId="4628"/>
    <cellStyle name="Normal 12 11 2 3 2" xfId="20854"/>
    <cellStyle name="Normal 12 11 2 4" xfId="17170"/>
    <cellStyle name="Normal 12 11 3" xfId="1599"/>
    <cellStyle name="Normal 12 11 3 2" xfId="5293"/>
    <cellStyle name="Normal 12 11 3 2 2" xfId="21518"/>
    <cellStyle name="Normal 12 11 3 3" xfId="17834"/>
    <cellStyle name="Normal 12 11 4" xfId="4052"/>
    <cellStyle name="Normal 12 11 4 2" xfId="20279"/>
    <cellStyle name="Normal 12 11 5" xfId="16595"/>
    <cellStyle name="Normal 12 12" xfId="522"/>
    <cellStyle name="Normal 12 12 2" xfId="1137"/>
    <cellStyle name="Normal 12 12 2 2" xfId="2249"/>
    <cellStyle name="Normal 12 12 2 2 2" xfId="5942"/>
    <cellStyle name="Normal 12 12 2 2 2 2" xfId="22166"/>
    <cellStyle name="Normal 12 12 2 2 3" xfId="18482"/>
    <cellStyle name="Normal 12 12 2 3" xfId="4834"/>
    <cellStyle name="Normal 12 12 2 3 2" xfId="21060"/>
    <cellStyle name="Normal 12 12 2 4" xfId="17376"/>
    <cellStyle name="Normal 12 12 3" xfId="1761"/>
    <cellStyle name="Normal 12 12 3 2" xfId="5455"/>
    <cellStyle name="Normal 12 12 3 2 2" xfId="21680"/>
    <cellStyle name="Normal 12 12 3 3" xfId="17996"/>
    <cellStyle name="Normal 12 12 4" xfId="4259"/>
    <cellStyle name="Normal 12 12 4 2" xfId="20485"/>
    <cellStyle name="Normal 12 12 5" xfId="16801"/>
    <cellStyle name="Normal 12 13" xfId="769"/>
    <cellStyle name="Normal 12 13 2" xfId="1925"/>
    <cellStyle name="Normal 12 13 2 2" xfId="5618"/>
    <cellStyle name="Normal 12 13 2 2 2" xfId="21842"/>
    <cellStyle name="Normal 12 13 2 3" xfId="18158"/>
    <cellStyle name="Normal 12 13 3" xfId="4466"/>
    <cellStyle name="Normal 12 13 3 2" xfId="20692"/>
    <cellStyle name="Normal 12 13 4" xfId="17008"/>
    <cellStyle name="Normal 12 14" xfId="1437"/>
    <cellStyle name="Normal 12 14 2" xfId="5131"/>
    <cellStyle name="Normal 12 14 2 2" xfId="21356"/>
    <cellStyle name="Normal 12 14 3" xfId="17672"/>
    <cellStyle name="Normal 12 15" xfId="2411"/>
    <cellStyle name="Normal 12 15 2" xfId="6104"/>
    <cellStyle name="Normal 12 15 2 2" xfId="22328"/>
    <cellStyle name="Normal 12 15 3" xfId="18644"/>
    <cellStyle name="Normal 12 16" xfId="3866"/>
    <cellStyle name="Normal 12 16 2" xfId="20094"/>
    <cellStyle name="Normal 12 17" xfId="16410"/>
    <cellStyle name="Normal 12 2" xfId="106"/>
    <cellStyle name="Normal 12 2 10" xfId="775"/>
    <cellStyle name="Normal 12 2 10 2" xfId="1931"/>
    <cellStyle name="Normal 12 2 10 2 2" xfId="5624"/>
    <cellStyle name="Normal 12 2 10 2 2 2" xfId="21848"/>
    <cellStyle name="Normal 12 2 10 2 3" xfId="18164"/>
    <cellStyle name="Normal 12 2 10 3" xfId="4472"/>
    <cellStyle name="Normal 12 2 10 3 2" xfId="20698"/>
    <cellStyle name="Normal 12 2 10 4" xfId="17014"/>
    <cellStyle name="Normal 12 2 11" xfId="1443"/>
    <cellStyle name="Normal 12 2 11 2" xfId="5137"/>
    <cellStyle name="Normal 12 2 11 2 2" xfId="21362"/>
    <cellStyle name="Normal 12 2 11 3" xfId="17678"/>
    <cellStyle name="Normal 12 2 12" xfId="2419"/>
    <cellStyle name="Normal 12 2 12 2" xfId="6111"/>
    <cellStyle name="Normal 12 2 12 2 2" xfId="22335"/>
    <cellStyle name="Normal 12 2 12 3" xfId="18651"/>
    <cellStyle name="Normal 12 2 13" xfId="3874"/>
    <cellStyle name="Normal 12 2 13 2" xfId="20101"/>
    <cellStyle name="Normal 12 2 14" xfId="16417"/>
    <cellStyle name="Normal 12 2 2" xfId="136"/>
    <cellStyle name="Normal 12 2 2 2" xfId="343"/>
    <cellStyle name="Normal 12 2 2 2 2" xfId="958"/>
    <cellStyle name="Normal 12 2 2 2 2 2" xfId="2111"/>
    <cellStyle name="Normal 12 2 2 2 2 2 2" xfId="5804"/>
    <cellStyle name="Normal 12 2 2 2 2 2 2 2" xfId="22028"/>
    <cellStyle name="Normal 12 2 2 2 2 2 3" xfId="18344"/>
    <cellStyle name="Normal 12 2 2 2 2 3" xfId="4655"/>
    <cellStyle name="Normal 12 2 2 2 2 3 2" xfId="20881"/>
    <cellStyle name="Normal 12 2 2 2 2 4" xfId="17197"/>
    <cellStyle name="Normal 12 2 2 2 3" xfId="1623"/>
    <cellStyle name="Normal 12 2 2 2 3 2" xfId="5317"/>
    <cellStyle name="Normal 12 2 2 2 3 2 2" xfId="21542"/>
    <cellStyle name="Normal 12 2 2 2 3 3" xfId="17858"/>
    <cellStyle name="Normal 12 2 2 2 4" xfId="4080"/>
    <cellStyle name="Normal 12 2 2 2 4 2" xfId="20306"/>
    <cellStyle name="Normal 12 2 2 2 5" xfId="16622"/>
    <cellStyle name="Normal 12 2 2 3" xfId="567"/>
    <cellStyle name="Normal 12 2 2 3 2" xfId="1164"/>
    <cellStyle name="Normal 12 2 2 3 2 2" xfId="2273"/>
    <cellStyle name="Normal 12 2 2 3 2 2 2" xfId="5966"/>
    <cellStyle name="Normal 12 2 2 3 2 2 2 2" xfId="22190"/>
    <cellStyle name="Normal 12 2 2 3 2 2 3" xfId="18506"/>
    <cellStyle name="Normal 12 2 2 3 2 3" xfId="4861"/>
    <cellStyle name="Normal 12 2 2 3 2 3 2" xfId="21087"/>
    <cellStyle name="Normal 12 2 2 3 2 4" xfId="17403"/>
    <cellStyle name="Normal 12 2 2 3 3" xfId="1785"/>
    <cellStyle name="Normal 12 2 2 3 3 2" xfId="5479"/>
    <cellStyle name="Normal 12 2 2 3 3 2 2" xfId="21704"/>
    <cellStyle name="Normal 12 2 2 3 3 3" xfId="18020"/>
    <cellStyle name="Normal 12 2 2 3 4" xfId="4286"/>
    <cellStyle name="Normal 12 2 2 3 4 2" xfId="20512"/>
    <cellStyle name="Normal 12 2 2 3 5" xfId="16828"/>
    <cellStyle name="Normal 12 2 2 4" xfId="793"/>
    <cellStyle name="Normal 12 2 2 4 2" xfId="1949"/>
    <cellStyle name="Normal 12 2 2 4 2 2" xfId="5642"/>
    <cellStyle name="Normal 12 2 2 4 2 2 2" xfId="21866"/>
    <cellStyle name="Normal 12 2 2 4 2 3" xfId="18182"/>
    <cellStyle name="Normal 12 2 2 4 3" xfId="4490"/>
    <cellStyle name="Normal 12 2 2 4 3 2" xfId="20716"/>
    <cellStyle name="Normal 12 2 2 4 4" xfId="17032"/>
    <cellStyle name="Normal 12 2 2 5" xfId="1461"/>
    <cellStyle name="Normal 12 2 2 5 2" xfId="5155"/>
    <cellStyle name="Normal 12 2 2 5 2 2" xfId="21380"/>
    <cellStyle name="Normal 12 2 2 5 3" xfId="17696"/>
    <cellStyle name="Normal 12 2 2 6" xfId="2440"/>
    <cellStyle name="Normal 12 2 2 6 2" xfId="6131"/>
    <cellStyle name="Normal 12 2 2 6 2 2" xfId="22355"/>
    <cellStyle name="Normal 12 2 2 6 3" xfId="18671"/>
    <cellStyle name="Normal 12 2 2 7" xfId="3894"/>
    <cellStyle name="Normal 12 2 2 7 2" xfId="20121"/>
    <cellStyle name="Normal 12 2 2 8" xfId="16437"/>
    <cellStyle name="Normal 12 2 3" xfId="165"/>
    <cellStyle name="Normal 12 2 3 2" xfId="371"/>
    <cellStyle name="Normal 12 2 3 2 2" xfId="986"/>
    <cellStyle name="Normal 12 2 3 2 2 2" xfId="2135"/>
    <cellStyle name="Normal 12 2 3 2 2 2 2" xfId="5828"/>
    <cellStyle name="Normal 12 2 3 2 2 2 2 2" xfId="22052"/>
    <cellStyle name="Normal 12 2 3 2 2 2 3" xfId="18368"/>
    <cellStyle name="Normal 12 2 3 2 2 3" xfId="4683"/>
    <cellStyle name="Normal 12 2 3 2 2 3 2" xfId="20909"/>
    <cellStyle name="Normal 12 2 3 2 2 4" xfId="17225"/>
    <cellStyle name="Normal 12 2 3 2 3" xfId="1647"/>
    <cellStyle name="Normal 12 2 3 2 3 2" xfId="5341"/>
    <cellStyle name="Normal 12 2 3 2 3 2 2" xfId="21566"/>
    <cellStyle name="Normal 12 2 3 2 3 3" xfId="17882"/>
    <cellStyle name="Normal 12 2 3 2 4" xfId="4108"/>
    <cellStyle name="Normal 12 2 3 2 4 2" xfId="20334"/>
    <cellStyle name="Normal 12 2 3 2 5" xfId="16650"/>
    <cellStyle name="Normal 12 2 3 3" xfId="595"/>
    <cellStyle name="Normal 12 2 3 3 2" xfId="1192"/>
    <cellStyle name="Normal 12 2 3 3 2 2" xfId="2297"/>
    <cellStyle name="Normal 12 2 3 3 2 2 2" xfId="5990"/>
    <cellStyle name="Normal 12 2 3 3 2 2 2 2" xfId="22214"/>
    <cellStyle name="Normal 12 2 3 3 2 2 3" xfId="18530"/>
    <cellStyle name="Normal 12 2 3 3 2 3" xfId="4889"/>
    <cellStyle name="Normal 12 2 3 3 2 3 2" xfId="21115"/>
    <cellStyle name="Normal 12 2 3 3 2 4" xfId="17431"/>
    <cellStyle name="Normal 12 2 3 3 3" xfId="1809"/>
    <cellStyle name="Normal 12 2 3 3 3 2" xfId="5503"/>
    <cellStyle name="Normal 12 2 3 3 3 2 2" xfId="21728"/>
    <cellStyle name="Normal 12 2 3 3 3 3" xfId="18044"/>
    <cellStyle name="Normal 12 2 3 3 4" xfId="4314"/>
    <cellStyle name="Normal 12 2 3 3 4 2" xfId="20540"/>
    <cellStyle name="Normal 12 2 3 3 5" xfId="16856"/>
    <cellStyle name="Normal 12 2 3 4" xfId="817"/>
    <cellStyle name="Normal 12 2 3 4 2" xfId="1973"/>
    <cellStyle name="Normal 12 2 3 4 2 2" xfId="5666"/>
    <cellStyle name="Normal 12 2 3 4 2 2 2" xfId="21890"/>
    <cellStyle name="Normal 12 2 3 4 2 3" xfId="18206"/>
    <cellStyle name="Normal 12 2 3 4 3" xfId="4514"/>
    <cellStyle name="Normal 12 2 3 4 3 2" xfId="20740"/>
    <cellStyle name="Normal 12 2 3 4 4" xfId="17056"/>
    <cellStyle name="Normal 12 2 3 5" xfId="1485"/>
    <cellStyle name="Normal 12 2 3 5 2" xfId="5179"/>
    <cellStyle name="Normal 12 2 3 5 2 2" xfId="21404"/>
    <cellStyle name="Normal 12 2 3 5 3" xfId="17720"/>
    <cellStyle name="Normal 12 2 3 6" xfId="2469"/>
    <cellStyle name="Normal 12 2 3 6 2" xfId="6159"/>
    <cellStyle name="Normal 12 2 3 6 2 2" xfId="22383"/>
    <cellStyle name="Normal 12 2 3 6 3" xfId="18699"/>
    <cellStyle name="Normal 12 2 3 7" xfId="3922"/>
    <cellStyle name="Normal 12 2 3 7 2" xfId="20149"/>
    <cellStyle name="Normal 12 2 3 8" xfId="16465"/>
    <cellStyle name="Normal 12 2 4" xfId="193"/>
    <cellStyle name="Normal 12 2 4 2" xfId="399"/>
    <cellStyle name="Normal 12 2 4 2 2" xfId="1014"/>
    <cellStyle name="Normal 12 2 4 2 2 2" xfId="2159"/>
    <cellStyle name="Normal 12 2 4 2 2 2 2" xfId="5852"/>
    <cellStyle name="Normal 12 2 4 2 2 2 2 2" xfId="22076"/>
    <cellStyle name="Normal 12 2 4 2 2 2 3" xfId="18392"/>
    <cellStyle name="Normal 12 2 4 2 2 3" xfId="4711"/>
    <cellStyle name="Normal 12 2 4 2 2 3 2" xfId="20937"/>
    <cellStyle name="Normal 12 2 4 2 2 4" xfId="17253"/>
    <cellStyle name="Normal 12 2 4 2 3" xfId="1671"/>
    <cellStyle name="Normal 12 2 4 2 3 2" xfId="5365"/>
    <cellStyle name="Normal 12 2 4 2 3 2 2" xfId="21590"/>
    <cellStyle name="Normal 12 2 4 2 3 3" xfId="17906"/>
    <cellStyle name="Normal 12 2 4 2 4" xfId="4136"/>
    <cellStyle name="Normal 12 2 4 2 4 2" xfId="20362"/>
    <cellStyle name="Normal 12 2 4 2 5" xfId="16678"/>
    <cellStyle name="Normal 12 2 4 3" xfId="623"/>
    <cellStyle name="Normal 12 2 4 3 2" xfId="1220"/>
    <cellStyle name="Normal 12 2 4 3 2 2" xfId="2321"/>
    <cellStyle name="Normal 12 2 4 3 2 2 2" xfId="6014"/>
    <cellStyle name="Normal 12 2 4 3 2 2 2 2" xfId="22238"/>
    <cellStyle name="Normal 12 2 4 3 2 2 3" xfId="18554"/>
    <cellStyle name="Normal 12 2 4 3 2 3" xfId="4917"/>
    <cellStyle name="Normal 12 2 4 3 2 3 2" xfId="21143"/>
    <cellStyle name="Normal 12 2 4 3 2 4" xfId="17459"/>
    <cellStyle name="Normal 12 2 4 3 3" xfId="1833"/>
    <cellStyle name="Normal 12 2 4 3 3 2" xfId="5527"/>
    <cellStyle name="Normal 12 2 4 3 3 2 2" xfId="21752"/>
    <cellStyle name="Normal 12 2 4 3 3 3" xfId="18068"/>
    <cellStyle name="Normal 12 2 4 3 4" xfId="4342"/>
    <cellStyle name="Normal 12 2 4 3 4 2" xfId="20568"/>
    <cellStyle name="Normal 12 2 4 3 5" xfId="16884"/>
    <cellStyle name="Normal 12 2 4 4" xfId="841"/>
    <cellStyle name="Normal 12 2 4 4 2" xfId="1997"/>
    <cellStyle name="Normal 12 2 4 4 2 2" xfId="5690"/>
    <cellStyle name="Normal 12 2 4 4 2 2 2" xfId="21914"/>
    <cellStyle name="Normal 12 2 4 4 2 3" xfId="18230"/>
    <cellStyle name="Normal 12 2 4 4 3" xfId="4538"/>
    <cellStyle name="Normal 12 2 4 4 3 2" xfId="20764"/>
    <cellStyle name="Normal 12 2 4 4 4" xfId="17080"/>
    <cellStyle name="Normal 12 2 4 5" xfId="1509"/>
    <cellStyle name="Normal 12 2 4 5 2" xfId="5203"/>
    <cellStyle name="Normal 12 2 4 5 2 2" xfId="21428"/>
    <cellStyle name="Normal 12 2 4 5 3" xfId="17744"/>
    <cellStyle name="Normal 12 2 4 6" xfId="2497"/>
    <cellStyle name="Normal 12 2 4 6 2" xfId="6187"/>
    <cellStyle name="Normal 12 2 4 6 2 2" xfId="22411"/>
    <cellStyle name="Normal 12 2 4 6 3" xfId="18727"/>
    <cellStyle name="Normal 12 2 4 7" xfId="3950"/>
    <cellStyle name="Normal 12 2 4 7 2" xfId="20177"/>
    <cellStyle name="Normal 12 2 4 8" xfId="16493"/>
    <cellStyle name="Normal 12 2 5" xfId="223"/>
    <cellStyle name="Normal 12 2 5 2" xfId="429"/>
    <cellStyle name="Normal 12 2 5 2 2" xfId="1044"/>
    <cellStyle name="Normal 12 2 5 2 2 2" xfId="2183"/>
    <cellStyle name="Normal 12 2 5 2 2 2 2" xfId="5876"/>
    <cellStyle name="Normal 12 2 5 2 2 2 2 2" xfId="22100"/>
    <cellStyle name="Normal 12 2 5 2 2 2 3" xfId="18416"/>
    <cellStyle name="Normal 12 2 5 2 2 3" xfId="4741"/>
    <cellStyle name="Normal 12 2 5 2 2 3 2" xfId="20967"/>
    <cellStyle name="Normal 12 2 5 2 2 4" xfId="17283"/>
    <cellStyle name="Normal 12 2 5 2 3" xfId="1695"/>
    <cellStyle name="Normal 12 2 5 2 3 2" xfId="5389"/>
    <cellStyle name="Normal 12 2 5 2 3 2 2" xfId="21614"/>
    <cellStyle name="Normal 12 2 5 2 3 3" xfId="17930"/>
    <cellStyle name="Normal 12 2 5 2 4" xfId="4166"/>
    <cellStyle name="Normal 12 2 5 2 4 2" xfId="20392"/>
    <cellStyle name="Normal 12 2 5 2 5" xfId="16708"/>
    <cellStyle name="Normal 12 2 5 3" xfId="653"/>
    <cellStyle name="Normal 12 2 5 3 2" xfId="1250"/>
    <cellStyle name="Normal 12 2 5 3 2 2" xfId="2345"/>
    <cellStyle name="Normal 12 2 5 3 2 2 2" xfId="6038"/>
    <cellStyle name="Normal 12 2 5 3 2 2 2 2" xfId="22262"/>
    <cellStyle name="Normal 12 2 5 3 2 2 3" xfId="18578"/>
    <cellStyle name="Normal 12 2 5 3 2 3" xfId="4947"/>
    <cellStyle name="Normal 12 2 5 3 2 3 2" xfId="21173"/>
    <cellStyle name="Normal 12 2 5 3 2 4" xfId="17489"/>
    <cellStyle name="Normal 12 2 5 3 3" xfId="1857"/>
    <cellStyle name="Normal 12 2 5 3 3 2" xfId="5551"/>
    <cellStyle name="Normal 12 2 5 3 3 2 2" xfId="21776"/>
    <cellStyle name="Normal 12 2 5 3 3 3" xfId="18092"/>
    <cellStyle name="Normal 12 2 5 3 4" xfId="4372"/>
    <cellStyle name="Normal 12 2 5 3 4 2" xfId="20598"/>
    <cellStyle name="Normal 12 2 5 3 5" xfId="16914"/>
    <cellStyle name="Normal 12 2 5 4" xfId="865"/>
    <cellStyle name="Normal 12 2 5 4 2" xfId="2021"/>
    <cellStyle name="Normal 12 2 5 4 2 2" xfId="5714"/>
    <cellStyle name="Normal 12 2 5 4 2 2 2" xfId="21938"/>
    <cellStyle name="Normal 12 2 5 4 2 3" xfId="18254"/>
    <cellStyle name="Normal 12 2 5 4 3" xfId="4562"/>
    <cellStyle name="Normal 12 2 5 4 3 2" xfId="20788"/>
    <cellStyle name="Normal 12 2 5 4 4" xfId="17104"/>
    <cellStyle name="Normal 12 2 5 5" xfId="1533"/>
    <cellStyle name="Normal 12 2 5 5 2" xfId="5227"/>
    <cellStyle name="Normal 12 2 5 5 2 2" xfId="21452"/>
    <cellStyle name="Normal 12 2 5 5 3" xfId="17768"/>
    <cellStyle name="Normal 12 2 5 6" xfId="2527"/>
    <cellStyle name="Normal 12 2 5 6 2" xfId="6217"/>
    <cellStyle name="Normal 12 2 5 6 2 2" xfId="22441"/>
    <cellStyle name="Normal 12 2 5 6 3" xfId="18757"/>
    <cellStyle name="Normal 12 2 5 7" xfId="3980"/>
    <cellStyle name="Normal 12 2 5 7 2" xfId="20207"/>
    <cellStyle name="Normal 12 2 5 8" xfId="16523"/>
    <cellStyle name="Normal 12 2 6" xfId="258"/>
    <cellStyle name="Normal 12 2 6 2" xfId="455"/>
    <cellStyle name="Normal 12 2 6 2 2" xfId="1070"/>
    <cellStyle name="Normal 12 2 6 2 2 2" xfId="2207"/>
    <cellStyle name="Normal 12 2 6 2 2 2 2" xfId="5900"/>
    <cellStyle name="Normal 12 2 6 2 2 2 2 2" xfId="22124"/>
    <cellStyle name="Normal 12 2 6 2 2 2 3" xfId="18440"/>
    <cellStyle name="Normal 12 2 6 2 2 3" xfId="4767"/>
    <cellStyle name="Normal 12 2 6 2 2 3 2" xfId="20993"/>
    <cellStyle name="Normal 12 2 6 2 2 4" xfId="17309"/>
    <cellStyle name="Normal 12 2 6 2 3" xfId="1719"/>
    <cellStyle name="Normal 12 2 6 2 3 2" xfId="5413"/>
    <cellStyle name="Normal 12 2 6 2 3 2 2" xfId="21638"/>
    <cellStyle name="Normal 12 2 6 2 3 3" xfId="17954"/>
    <cellStyle name="Normal 12 2 6 2 4" xfId="4192"/>
    <cellStyle name="Normal 12 2 6 2 4 2" xfId="20418"/>
    <cellStyle name="Normal 12 2 6 2 5" xfId="16734"/>
    <cellStyle name="Normal 12 2 6 3" xfId="688"/>
    <cellStyle name="Normal 12 2 6 3 2" xfId="1276"/>
    <cellStyle name="Normal 12 2 6 3 2 2" xfId="2369"/>
    <cellStyle name="Normal 12 2 6 3 2 2 2" xfId="6062"/>
    <cellStyle name="Normal 12 2 6 3 2 2 2 2" xfId="22286"/>
    <cellStyle name="Normal 12 2 6 3 2 2 3" xfId="18602"/>
    <cellStyle name="Normal 12 2 6 3 2 3" xfId="4973"/>
    <cellStyle name="Normal 12 2 6 3 2 3 2" xfId="21199"/>
    <cellStyle name="Normal 12 2 6 3 2 4" xfId="17515"/>
    <cellStyle name="Normal 12 2 6 3 3" xfId="1881"/>
    <cellStyle name="Normal 12 2 6 3 3 2" xfId="5575"/>
    <cellStyle name="Normal 12 2 6 3 3 2 2" xfId="21800"/>
    <cellStyle name="Normal 12 2 6 3 3 3" xfId="18116"/>
    <cellStyle name="Normal 12 2 6 3 4" xfId="4398"/>
    <cellStyle name="Normal 12 2 6 3 4 2" xfId="20624"/>
    <cellStyle name="Normal 12 2 6 3 5" xfId="16940"/>
    <cellStyle name="Normal 12 2 6 4" xfId="889"/>
    <cellStyle name="Normal 12 2 6 4 2" xfId="2045"/>
    <cellStyle name="Normal 12 2 6 4 2 2" xfId="5738"/>
    <cellStyle name="Normal 12 2 6 4 2 2 2" xfId="21962"/>
    <cellStyle name="Normal 12 2 6 4 2 3" xfId="18278"/>
    <cellStyle name="Normal 12 2 6 4 3" xfId="4586"/>
    <cellStyle name="Normal 12 2 6 4 3 2" xfId="20812"/>
    <cellStyle name="Normal 12 2 6 4 4" xfId="17128"/>
    <cellStyle name="Normal 12 2 6 5" xfId="1557"/>
    <cellStyle name="Normal 12 2 6 5 2" xfId="5251"/>
    <cellStyle name="Normal 12 2 6 5 2 2" xfId="21476"/>
    <cellStyle name="Normal 12 2 6 5 3" xfId="17792"/>
    <cellStyle name="Normal 12 2 6 6" xfId="2553"/>
    <cellStyle name="Normal 12 2 6 6 2" xfId="6243"/>
    <cellStyle name="Normal 12 2 6 6 2 2" xfId="22467"/>
    <cellStyle name="Normal 12 2 6 6 3" xfId="18783"/>
    <cellStyle name="Normal 12 2 6 7" xfId="4006"/>
    <cellStyle name="Normal 12 2 6 7 2" xfId="20233"/>
    <cellStyle name="Normal 12 2 6 8" xfId="16549"/>
    <cellStyle name="Normal 12 2 7" xfId="296"/>
    <cellStyle name="Normal 12 2 7 2" xfId="483"/>
    <cellStyle name="Normal 12 2 7 2 2" xfId="1098"/>
    <cellStyle name="Normal 12 2 7 2 2 2" xfId="2231"/>
    <cellStyle name="Normal 12 2 7 2 2 2 2" xfId="5924"/>
    <cellStyle name="Normal 12 2 7 2 2 2 2 2" xfId="22148"/>
    <cellStyle name="Normal 12 2 7 2 2 2 3" xfId="18464"/>
    <cellStyle name="Normal 12 2 7 2 2 3" xfId="4795"/>
    <cellStyle name="Normal 12 2 7 2 2 3 2" xfId="21021"/>
    <cellStyle name="Normal 12 2 7 2 2 4" xfId="17337"/>
    <cellStyle name="Normal 12 2 7 2 3" xfId="1743"/>
    <cellStyle name="Normal 12 2 7 2 3 2" xfId="5437"/>
    <cellStyle name="Normal 12 2 7 2 3 2 2" xfId="21662"/>
    <cellStyle name="Normal 12 2 7 2 3 3" xfId="17978"/>
    <cellStyle name="Normal 12 2 7 2 4" xfId="4220"/>
    <cellStyle name="Normal 12 2 7 2 4 2" xfId="20446"/>
    <cellStyle name="Normal 12 2 7 2 5" xfId="16762"/>
    <cellStyle name="Normal 12 2 7 3" xfId="725"/>
    <cellStyle name="Normal 12 2 7 3 2" xfId="1304"/>
    <cellStyle name="Normal 12 2 7 3 2 2" xfId="2393"/>
    <cellStyle name="Normal 12 2 7 3 2 2 2" xfId="6086"/>
    <cellStyle name="Normal 12 2 7 3 2 2 2 2" xfId="22310"/>
    <cellStyle name="Normal 12 2 7 3 2 2 3" xfId="18626"/>
    <cellStyle name="Normal 12 2 7 3 2 3" xfId="5001"/>
    <cellStyle name="Normal 12 2 7 3 2 3 2" xfId="21227"/>
    <cellStyle name="Normal 12 2 7 3 2 4" xfId="17543"/>
    <cellStyle name="Normal 12 2 7 3 3" xfId="1905"/>
    <cellStyle name="Normal 12 2 7 3 3 2" xfId="5599"/>
    <cellStyle name="Normal 12 2 7 3 3 2 2" xfId="21824"/>
    <cellStyle name="Normal 12 2 7 3 3 3" xfId="18140"/>
    <cellStyle name="Normal 12 2 7 3 4" xfId="4426"/>
    <cellStyle name="Normal 12 2 7 3 4 2" xfId="20652"/>
    <cellStyle name="Normal 12 2 7 3 5" xfId="16968"/>
    <cellStyle name="Normal 12 2 7 4" xfId="913"/>
    <cellStyle name="Normal 12 2 7 4 2" xfId="2069"/>
    <cellStyle name="Normal 12 2 7 4 2 2" xfId="5762"/>
    <cellStyle name="Normal 12 2 7 4 2 2 2" xfId="21986"/>
    <cellStyle name="Normal 12 2 7 4 2 3" xfId="18302"/>
    <cellStyle name="Normal 12 2 7 4 3" xfId="4610"/>
    <cellStyle name="Normal 12 2 7 4 3 2" xfId="20836"/>
    <cellStyle name="Normal 12 2 7 4 4" xfId="17152"/>
    <cellStyle name="Normal 12 2 7 5" xfId="1581"/>
    <cellStyle name="Normal 12 2 7 5 2" xfId="5275"/>
    <cellStyle name="Normal 12 2 7 5 2 2" xfId="21500"/>
    <cellStyle name="Normal 12 2 7 5 3" xfId="17816"/>
    <cellStyle name="Normal 12 2 7 6" xfId="2582"/>
    <cellStyle name="Normal 12 2 7 6 2" xfId="6271"/>
    <cellStyle name="Normal 12 2 7 6 2 2" xfId="22495"/>
    <cellStyle name="Normal 12 2 7 6 3" xfId="18811"/>
    <cellStyle name="Normal 12 2 7 7" xfId="4034"/>
    <cellStyle name="Normal 12 2 7 7 2" xfId="20261"/>
    <cellStyle name="Normal 12 2 7 8" xfId="16577"/>
    <cellStyle name="Normal 12 2 8" xfId="322"/>
    <cellStyle name="Normal 12 2 8 2" xfId="938"/>
    <cellStyle name="Normal 12 2 8 2 2" xfId="2093"/>
    <cellStyle name="Normal 12 2 8 2 2 2" xfId="5786"/>
    <cellStyle name="Normal 12 2 8 2 2 2 2" xfId="22010"/>
    <cellStyle name="Normal 12 2 8 2 2 3" xfId="18326"/>
    <cellStyle name="Normal 12 2 8 2 3" xfId="4635"/>
    <cellStyle name="Normal 12 2 8 2 3 2" xfId="20861"/>
    <cellStyle name="Normal 12 2 8 2 4" xfId="17177"/>
    <cellStyle name="Normal 12 2 8 3" xfId="1605"/>
    <cellStyle name="Normal 12 2 8 3 2" xfId="5299"/>
    <cellStyle name="Normal 12 2 8 3 2 2" xfId="21524"/>
    <cellStyle name="Normal 12 2 8 3 3" xfId="17840"/>
    <cellStyle name="Normal 12 2 8 4" xfId="4059"/>
    <cellStyle name="Normal 12 2 8 4 2" xfId="20286"/>
    <cellStyle name="Normal 12 2 8 5" xfId="16602"/>
    <cellStyle name="Normal 12 2 9" xfId="538"/>
    <cellStyle name="Normal 12 2 9 2" xfId="1144"/>
    <cellStyle name="Normal 12 2 9 2 2" xfId="2255"/>
    <cellStyle name="Normal 12 2 9 2 2 2" xfId="5948"/>
    <cellStyle name="Normal 12 2 9 2 2 2 2" xfId="22172"/>
    <cellStyle name="Normal 12 2 9 2 2 3" xfId="18488"/>
    <cellStyle name="Normal 12 2 9 2 3" xfId="4841"/>
    <cellStyle name="Normal 12 2 9 2 3 2" xfId="21067"/>
    <cellStyle name="Normal 12 2 9 2 4" xfId="17383"/>
    <cellStyle name="Normal 12 2 9 3" xfId="1767"/>
    <cellStyle name="Normal 12 2 9 3 2" xfId="5461"/>
    <cellStyle name="Normal 12 2 9 3 2 2" xfId="21686"/>
    <cellStyle name="Normal 12 2 9 3 3" xfId="18002"/>
    <cellStyle name="Normal 12 2 9 4" xfId="4266"/>
    <cellStyle name="Normal 12 2 9 4 2" xfId="20492"/>
    <cellStyle name="Normal 12 2 9 5" xfId="16808"/>
    <cellStyle name="Normal 12 3" xfId="113"/>
    <cellStyle name="Normal 12 3 10" xfId="781"/>
    <cellStyle name="Normal 12 3 10 2" xfId="1937"/>
    <cellStyle name="Normal 12 3 10 2 2" xfId="5630"/>
    <cellStyle name="Normal 12 3 10 2 2 2" xfId="21854"/>
    <cellStyle name="Normal 12 3 10 2 3" xfId="18170"/>
    <cellStyle name="Normal 12 3 10 3" xfId="4478"/>
    <cellStyle name="Normal 12 3 10 3 2" xfId="20704"/>
    <cellStyle name="Normal 12 3 10 4" xfId="17020"/>
    <cellStyle name="Normal 12 3 11" xfId="1449"/>
    <cellStyle name="Normal 12 3 11 2" xfId="5143"/>
    <cellStyle name="Normal 12 3 11 2 2" xfId="21368"/>
    <cellStyle name="Normal 12 3 11 3" xfId="17684"/>
    <cellStyle name="Normal 12 3 12" xfId="2426"/>
    <cellStyle name="Normal 12 3 12 2" xfId="6118"/>
    <cellStyle name="Normal 12 3 12 2 2" xfId="22342"/>
    <cellStyle name="Normal 12 3 12 3" xfId="18658"/>
    <cellStyle name="Normal 12 3 13" xfId="3881"/>
    <cellStyle name="Normal 12 3 13 2" xfId="20108"/>
    <cellStyle name="Normal 12 3 14" xfId="16424"/>
    <cellStyle name="Normal 12 3 2" xfId="143"/>
    <cellStyle name="Normal 12 3 2 2" xfId="350"/>
    <cellStyle name="Normal 12 3 2 2 2" xfId="965"/>
    <cellStyle name="Normal 12 3 2 2 2 2" xfId="2117"/>
    <cellStyle name="Normal 12 3 2 2 2 2 2" xfId="5810"/>
    <cellStyle name="Normal 12 3 2 2 2 2 2 2" xfId="22034"/>
    <cellStyle name="Normal 12 3 2 2 2 2 3" xfId="18350"/>
    <cellStyle name="Normal 12 3 2 2 2 3" xfId="4662"/>
    <cellStyle name="Normal 12 3 2 2 2 3 2" xfId="20888"/>
    <cellStyle name="Normal 12 3 2 2 2 4" xfId="17204"/>
    <cellStyle name="Normal 12 3 2 2 3" xfId="1629"/>
    <cellStyle name="Normal 12 3 2 2 3 2" xfId="5323"/>
    <cellStyle name="Normal 12 3 2 2 3 2 2" xfId="21548"/>
    <cellStyle name="Normal 12 3 2 2 3 3" xfId="17864"/>
    <cellStyle name="Normal 12 3 2 2 4" xfId="4087"/>
    <cellStyle name="Normal 12 3 2 2 4 2" xfId="20313"/>
    <cellStyle name="Normal 12 3 2 2 5" xfId="16629"/>
    <cellStyle name="Normal 12 3 2 3" xfId="574"/>
    <cellStyle name="Normal 12 3 2 3 2" xfId="1171"/>
    <cellStyle name="Normal 12 3 2 3 2 2" xfId="2279"/>
    <cellStyle name="Normal 12 3 2 3 2 2 2" xfId="5972"/>
    <cellStyle name="Normal 12 3 2 3 2 2 2 2" xfId="22196"/>
    <cellStyle name="Normal 12 3 2 3 2 2 3" xfId="18512"/>
    <cellStyle name="Normal 12 3 2 3 2 3" xfId="4868"/>
    <cellStyle name="Normal 12 3 2 3 2 3 2" xfId="21094"/>
    <cellStyle name="Normal 12 3 2 3 2 4" xfId="17410"/>
    <cellStyle name="Normal 12 3 2 3 3" xfId="1791"/>
    <cellStyle name="Normal 12 3 2 3 3 2" xfId="5485"/>
    <cellStyle name="Normal 12 3 2 3 3 2 2" xfId="21710"/>
    <cellStyle name="Normal 12 3 2 3 3 3" xfId="18026"/>
    <cellStyle name="Normal 12 3 2 3 4" xfId="4293"/>
    <cellStyle name="Normal 12 3 2 3 4 2" xfId="20519"/>
    <cellStyle name="Normal 12 3 2 3 5" xfId="16835"/>
    <cellStyle name="Normal 12 3 2 4" xfId="799"/>
    <cellStyle name="Normal 12 3 2 4 2" xfId="1955"/>
    <cellStyle name="Normal 12 3 2 4 2 2" xfId="5648"/>
    <cellStyle name="Normal 12 3 2 4 2 2 2" xfId="21872"/>
    <cellStyle name="Normal 12 3 2 4 2 3" xfId="18188"/>
    <cellStyle name="Normal 12 3 2 4 3" xfId="4496"/>
    <cellStyle name="Normal 12 3 2 4 3 2" xfId="20722"/>
    <cellStyle name="Normal 12 3 2 4 4" xfId="17038"/>
    <cellStyle name="Normal 12 3 2 5" xfId="1467"/>
    <cellStyle name="Normal 12 3 2 5 2" xfId="5161"/>
    <cellStyle name="Normal 12 3 2 5 2 2" xfId="21386"/>
    <cellStyle name="Normal 12 3 2 5 3" xfId="17702"/>
    <cellStyle name="Normal 12 3 2 6" xfId="2447"/>
    <cellStyle name="Normal 12 3 2 6 2" xfId="6138"/>
    <cellStyle name="Normal 12 3 2 6 2 2" xfId="22362"/>
    <cellStyle name="Normal 12 3 2 6 3" xfId="18678"/>
    <cellStyle name="Normal 12 3 2 7" xfId="3901"/>
    <cellStyle name="Normal 12 3 2 7 2" xfId="20128"/>
    <cellStyle name="Normal 12 3 2 8" xfId="16444"/>
    <cellStyle name="Normal 12 3 3" xfId="172"/>
    <cellStyle name="Normal 12 3 3 2" xfId="378"/>
    <cellStyle name="Normal 12 3 3 2 2" xfId="993"/>
    <cellStyle name="Normal 12 3 3 2 2 2" xfId="2141"/>
    <cellStyle name="Normal 12 3 3 2 2 2 2" xfId="5834"/>
    <cellStyle name="Normal 12 3 3 2 2 2 2 2" xfId="22058"/>
    <cellStyle name="Normal 12 3 3 2 2 2 3" xfId="18374"/>
    <cellStyle name="Normal 12 3 3 2 2 3" xfId="4690"/>
    <cellStyle name="Normal 12 3 3 2 2 3 2" xfId="20916"/>
    <cellStyle name="Normal 12 3 3 2 2 4" xfId="17232"/>
    <cellStyle name="Normal 12 3 3 2 3" xfId="1653"/>
    <cellStyle name="Normal 12 3 3 2 3 2" xfId="5347"/>
    <cellStyle name="Normal 12 3 3 2 3 2 2" xfId="21572"/>
    <cellStyle name="Normal 12 3 3 2 3 3" xfId="17888"/>
    <cellStyle name="Normal 12 3 3 2 4" xfId="4115"/>
    <cellStyle name="Normal 12 3 3 2 4 2" xfId="20341"/>
    <cellStyle name="Normal 12 3 3 2 5" xfId="16657"/>
    <cellStyle name="Normal 12 3 3 3" xfId="602"/>
    <cellStyle name="Normal 12 3 3 3 2" xfId="1199"/>
    <cellStyle name="Normal 12 3 3 3 2 2" xfId="2303"/>
    <cellStyle name="Normal 12 3 3 3 2 2 2" xfId="5996"/>
    <cellStyle name="Normal 12 3 3 3 2 2 2 2" xfId="22220"/>
    <cellStyle name="Normal 12 3 3 3 2 2 3" xfId="18536"/>
    <cellStyle name="Normal 12 3 3 3 2 3" xfId="4896"/>
    <cellStyle name="Normal 12 3 3 3 2 3 2" xfId="21122"/>
    <cellStyle name="Normal 12 3 3 3 2 4" xfId="17438"/>
    <cellStyle name="Normal 12 3 3 3 3" xfId="1815"/>
    <cellStyle name="Normal 12 3 3 3 3 2" xfId="5509"/>
    <cellStyle name="Normal 12 3 3 3 3 2 2" xfId="21734"/>
    <cellStyle name="Normal 12 3 3 3 3 3" xfId="18050"/>
    <cellStyle name="Normal 12 3 3 3 4" xfId="4321"/>
    <cellStyle name="Normal 12 3 3 3 4 2" xfId="20547"/>
    <cellStyle name="Normal 12 3 3 3 5" xfId="16863"/>
    <cellStyle name="Normal 12 3 3 4" xfId="823"/>
    <cellStyle name="Normal 12 3 3 4 2" xfId="1979"/>
    <cellStyle name="Normal 12 3 3 4 2 2" xfId="5672"/>
    <cellStyle name="Normal 12 3 3 4 2 2 2" xfId="21896"/>
    <cellStyle name="Normal 12 3 3 4 2 3" xfId="18212"/>
    <cellStyle name="Normal 12 3 3 4 3" xfId="4520"/>
    <cellStyle name="Normal 12 3 3 4 3 2" xfId="20746"/>
    <cellStyle name="Normal 12 3 3 4 4" xfId="17062"/>
    <cellStyle name="Normal 12 3 3 5" xfId="1491"/>
    <cellStyle name="Normal 12 3 3 5 2" xfId="5185"/>
    <cellStyle name="Normal 12 3 3 5 2 2" xfId="21410"/>
    <cellStyle name="Normal 12 3 3 5 3" xfId="17726"/>
    <cellStyle name="Normal 12 3 3 6" xfId="2476"/>
    <cellStyle name="Normal 12 3 3 6 2" xfId="6166"/>
    <cellStyle name="Normal 12 3 3 6 2 2" xfId="22390"/>
    <cellStyle name="Normal 12 3 3 6 3" xfId="18706"/>
    <cellStyle name="Normal 12 3 3 7" xfId="3929"/>
    <cellStyle name="Normal 12 3 3 7 2" xfId="20156"/>
    <cellStyle name="Normal 12 3 3 8" xfId="16472"/>
    <cellStyle name="Normal 12 3 4" xfId="200"/>
    <cellStyle name="Normal 12 3 4 2" xfId="406"/>
    <cellStyle name="Normal 12 3 4 2 2" xfId="1021"/>
    <cellStyle name="Normal 12 3 4 2 2 2" xfId="2165"/>
    <cellStyle name="Normal 12 3 4 2 2 2 2" xfId="5858"/>
    <cellStyle name="Normal 12 3 4 2 2 2 2 2" xfId="22082"/>
    <cellStyle name="Normal 12 3 4 2 2 2 3" xfId="18398"/>
    <cellStyle name="Normal 12 3 4 2 2 3" xfId="4718"/>
    <cellStyle name="Normal 12 3 4 2 2 3 2" xfId="20944"/>
    <cellStyle name="Normal 12 3 4 2 2 4" xfId="17260"/>
    <cellStyle name="Normal 12 3 4 2 3" xfId="1677"/>
    <cellStyle name="Normal 12 3 4 2 3 2" xfId="5371"/>
    <cellStyle name="Normal 12 3 4 2 3 2 2" xfId="21596"/>
    <cellStyle name="Normal 12 3 4 2 3 3" xfId="17912"/>
    <cellStyle name="Normal 12 3 4 2 4" xfId="4143"/>
    <cellStyle name="Normal 12 3 4 2 4 2" xfId="20369"/>
    <cellStyle name="Normal 12 3 4 2 5" xfId="16685"/>
    <cellStyle name="Normal 12 3 4 3" xfId="630"/>
    <cellStyle name="Normal 12 3 4 3 2" xfId="1227"/>
    <cellStyle name="Normal 12 3 4 3 2 2" xfId="2327"/>
    <cellStyle name="Normal 12 3 4 3 2 2 2" xfId="6020"/>
    <cellStyle name="Normal 12 3 4 3 2 2 2 2" xfId="22244"/>
    <cellStyle name="Normal 12 3 4 3 2 2 3" xfId="18560"/>
    <cellStyle name="Normal 12 3 4 3 2 3" xfId="4924"/>
    <cellStyle name="Normal 12 3 4 3 2 3 2" xfId="21150"/>
    <cellStyle name="Normal 12 3 4 3 2 4" xfId="17466"/>
    <cellStyle name="Normal 12 3 4 3 3" xfId="1839"/>
    <cellStyle name="Normal 12 3 4 3 3 2" xfId="5533"/>
    <cellStyle name="Normal 12 3 4 3 3 2 2" xfId="21758"/>
    <cellStyle name="Normal 12 3 4 3 3 3" xfId="18074"/>
    <cellStyle name="Normal 12 3 4 3 4" xfId="4349"/>
    <cellStyle name="Normal 12 3 4 3 4 2" xfId="20575"/>
    <cellStyle name="Normal 12 3 4 3 5" xfId="16891"/>
    <cellStyle name="Normal 12 3 4 4" xfId="847"/>
    <cellStyle name="Normal 12 3 4 4 2" xfId="2003"/>
    <cellStyle name="Normal 12 3 4 4 2 2" xfId="5696"/>
    <cellStyle name="Normal 12 3 4 4 2 2 2" xfId="21920"/>
    <cellStyle name="Normal 12 3 4 4 2 3" xfId="18236"/>
    <cellStyle name="Normal 12 3 4 4 3" xfId="4544"/>
    <cellStyle name="Normal 12 3 4 4 3 2" xfId="20770"/>
    <cellStyle name="Normal 12 3 4 4 4" xfId="17086"/>
    <cellStyle name="Normal 12 3 4 5" xfId="1515"/>
    <cellStyle name="Normal 12 3 4 5 2" xfId="5209"/>
    <cellStyle name="Normal 12 3 4 5 2 2" xfId="21434"/>
    <cellStyle name="Normal 12 3 4 5 3" xfId="17750"/>
    <cellStyle name="Normal 12 3 4 6" xfId="2504"/>
    <cellStyle name="Normal 12 3 4 6 2" xfId="6194"/>
    <cellStyle name="Normal 12 3 4 6 2 2" xfId="22418"/>
    <cellStyle name="Normal 12 3 4 6 3" xfId="18734"/>
    <cellStyle name="Normal 12 3 4 7" xfId="3957"/>
    <cellStyle name="Normal 12 3 4 7 2" xfId="20184"/>
    <cellStyle name="Normal 12 3 4 8" xfId="16500"/>
    <cellStyle name="Normal 12 3 5" xfId="229"/>
    <cellStyle name="Normal 12 3 5 2" xfId="435"/>
    <cellStyle name="Normal 12 3 5 2 2" xfId="1050"/>
    <cellStyle name="Normal 12 3 5 2 2 2" xfId="2189"/>
    <cellStyle name="Normal 12 3 5 2 2 2 2" xfId="5882"/>
    <cellStyle name="Normal 12 3 5 2 2 2 2 2" xfId="22106"/>
    <cellStyle name="Normal 12 3 5 2 2 2 3" xfId="18422"/>
    <cellStyle name="Normal 12 3 5 2 2 3" xfId="4747"/>
    <cellStyle name="Normal 12 3 5 2 2 3 2" xfId="20973"/>
    <cellStyle name="Normal 12 3 5 2 2 4" xfId="17289"/>
    <cellStyle name="Normal 12 3 5 2 3" xfId="1701"/>
    <cellStyle name="Normal 12 3 5 2 3 2" xfId="5395"/>
    <cellStyle name="Normal 12 3 5 2 3 2 2" xfId="21620"/>
    <cellStyle name="Normal 12 3 5 2 3 3" xfId="17936"/>
    <cellStyle name="Normal 12 3 5 2 4" xfId="4172"/>
    <cellStyle name="Normal 12 3 5 2 4 2" xfId="20398"/>
    <cellStyle name="Normal 12 3 5 2 5" xfId="16714"/>
    <cellStyle name="Normal 12 3 5 3" xfId="659"/>
    <cellStyle name="Normal 12 3 5 3 2" xfId="1256"/>
    <cellStyle name="Normal 12 3 5 3 2 2" xfId="2351"/>
    <cellStyle name="Normal 12 3 5 3 2 2 2" xfId="6044"/>
    <cellStyle name="Normal 12 3 5 3 2 2 2 2" xfId="22268"/>
    <cellStyle name="Normal 12 3 5 3 2 2 3" xfId="18584"/>
    <cellStyle name="Normal 12 3 5 3 2 3" xfId="4953"/>
    <cellStyle name="Normal 12 3 5 3 2 3 2" xfId="21179"/>
    <cellStyle name="Normal 12 3 5 3 2 4" xfId="17495"/>
    <cellStyle name="Normal 12 3 5 3 3" xfId="1863"/>
    <cellStyle name="Normal 12 3 5 3 3 2" xfId="5557"/>
    <cellStyle name="Normal 12 3 5 3 3 2 2" xfId="21782"/>
    <cellStyle name="Normal 12 3 5 3 3 3" xfId="18098"/>
    <cellStyle name="Normal 12 3 5 3 4" xfId="4378"/>
    <cellStyle name="Normal 12 3 5 3 4 2" xfId="20604"/>
    <cellStyle name="Normal 12 3 5 3 5" xfId="16920"/>
    <cellStyle name="Normal 12 3 5 4" xfId="871"/>
    <cellStyle name="Normal 12 3 5 4 2" xfId="2027"/>
    <cellStyle name="Normal 12 3 5 4 2 2" xfId="5720"/>
    <cellStyle name="Normal 12 3 5 4 2 2 2" xfId="21944"/>
    <cellStyle name="Normal 12 3 5 4 2 3" xfId="18260"/>
    <cellStyle name="Normal 12 3 5 4 3" xfId="4568"/>
    <cellStyle name="Normal 12 3 5 4 3 2" xfId="20794"/>
    <cellStyle name="Normal 12 3 5 4 4" xfId="17110"/>
    <cellStyle name="Normal 12 3 5 5" xfId="1539"/>
    <cellStyle name="Normal 12 3 5 5 2" xfId="5233"/>
    <cellStyle name="Normal 12 3 5 5 2 2" xfId="21458"/>
    <cellStyle name="Normal 12 3 5 5 3" xfId="17774"/>
    <cellStyle name="Normal 12 3 5 6" xfId="2533"/>
    <cellStyle name="Normal 12 3 5 6 2" xfId="6223"/>
    <cellStyle name="Normal 12 3 5 6 2 2" xfId="22447"/>
    <cellStyle name="Normal 12 3 5 6 3" xfId="18763"/>
    <cellStyle name="Normal 12 3 5 7" xfId="3986"/>
    <cellStyle name="Normal 12 3 5 7 2" xfId="20213"/>
    <cellStyle name="Normal 12 3 5 8" xfId="16529"/>
    <cellStyle name="Normal 12 3 6" xfId="265"/>
    <cellStyle name="Normal 12 3 6 2" xfId="462"/>
    <cellStyle name="Normal 12 3 6 2 2" xfId="1077"/>
    <cellStyle name="Normal 12 3 6 2 2 2" xfId="2213"/>
    <cellStyle name="Normal 12 3 6 2 2 2 2" xfId="5906"/>
    <cellStyle name="Normal 12 3 6 2 2 2 2 2" xfId="22130"/>
    <cellStyle name="Normal 12 3 6 2 2 2 3" xfId="18446"/>
    <cellStyle name="Normal 12 3 6 2 2 3" xfId="4774"/>
    <cellStyle name="Normal 12 3 6 2 2 3 2" xfId="21000"/>
    <cellStyle name="Normal 12 3 6 2 2 4" xfId="17316"/>
    <cellStyle name="Normal 12 3 6 2 3" xfId="1725"/>
    <cellStyle name="Normal 12 3 6 2 3 2" xfId="5419"/>
    <cellStyle name="Normal 12 3 6 2 3 2 2" xfId="21644"/>
    <cellStyle name="Normal 12 3 6 2 3 3" xfId="17960"/>
    <cellStyle name="Normal 12 3 6 2 4" xfId="4199"/>
    <cellStyle name="Normal 12 3 6 2 4 2" xfId="20425"/>
    <cellStyle name="Normal 12 3 6 2 5" xfId="16741"/>
    <cellStyle name="Normal 12 3 6 3" xfId="695"/>
    <cellStyle name="Normal 12 3 6 3 2" xfId="1283"/>
    <cellStyle name="Normal 12 3 6 3 2 2" xfId="2375"/>
    <cellStyle name="Normal 12 3 6 3 2 2 2" xfId="6068"/>
    <cellStyle name="Normal 12 3 6 3 2 2 2 2" xfId="22292"/>
    <cellStyle name="Normal 12 3 6 3 2 2 3" xfId="18608"/>
    <cellStyle name="Normal 12 3 6 3 2 3" xfId="4980"/>
    <cellStyle name="Normal 12 3 6 3 2 3 2" xfId="21206"/>
    <cellStyle name="Normal 12 3 6 3 2 4" xfId="17522"/>
    <cellStyle name="Normal 12 3 6 3 3" xfId="1887"/>
    <cellStyle name="Normal 12 3 6 3 3 2" xfId="5581"/>
    <cellStyle name="Normal 12 3 6 3 3 2 2" xfId="21806"/>
    <cellStyle name="Normal 12 3 6 3 3 3" xfId="18122"/>
    <cellStyle name="Normal 12 3 6 3 4" xfId="4405"/>
    <cellStyle name="Normal 12 3 6 3 4 2" xfId="20631"/>
    <cellStyle name="Normal 12 3 6 3 5" xfId="16947"/>
    <cellStyle name="Normal 12 3 6 4" xfId="895"/>
    <cellStyle name="Normal 12 3 6 4 2" xfId="2051"/>
    <cellStyle name="Normal 12 3 6 4 2 2" xfId="5744"/>
    <cellStyle name="Normal 12 3 6 4 2 2 2" xfId="21968"/>
    <cellStyle name="Normal 12 3 6 4 2 3" xfId="18284"/>
    <cellStyle name="Normal 12 3 6 4 3" xfId="4592"/>
    <cellStyle name="Normal 12 3 6 4 3 2" xfId="20818"/>
    <cellStyle name="Normal 12 3 6 4 4" xfId="17134"/>
    <cellStyle name="Normal 12 3 6 5" xfId="1563"/>
    <cellStyle name="Normal 12 3 6 5 2" xfId="5257"/>
    <cellStyle name="Normal 12 3 6 5 2 2" xfId="21482"/>
    <cellStyle name="Normal 12 3 6 5 3" xfId="17798"/>
    <cellStyle name="Normal 12 3 6 6" xfId="2560"/>
    <cellStyle name="Normal 12 3 6 6 2" xfId="6250"/>
    <cellStyle name="Normal 12 3 6 6 2 2" xfId="22474"/>
    <cellStyle name="Normal 12 3 6 6 3" xfId="18790"/>
    <cellStyle name="Normal 12 3 6 7" xfId="4013"/>
    <cellStyle name="Normal 12 3 6 7 2" xfId="20240"/>
    <cellStyle name="Normal 12 3 6 8" xfId="16556"/>
    <cellStyle name="Normal 12 3 7" xfId="302"/>
    <cellStyle name="Normal 12 3 7 2" xfId="489"/>
    <cellStyle name="Normal 12 3 7 2 2" xfId="1104"/>
    <cellStyle name="Normal 12 3 7 2 2 2" xfId="2237"/>
    <cellStyle name="Normal 12 3 7 2 2 2 2" xfId="5930"/>
    <cellStyle name="Normal 12 3 7 2 2 2 2 2" xfId="22154"/>
    <cellStyle name="Normal 12 3 7 2 2 2 3" xfId="18470"/>
    <cellStyle name="Normal 12 3 7 2 2 3" xfId="4801"/>
    <cellStyle name="Normal 12 3 7 2 2 3 2" xfId="21027"/>
    <cellStyle name="Normal 12 3 7 2 2 4" xfId="17343"/>
    <cellStyle name="Normal 12 3 7 2 3" xfId="1749"/>
    <cellStyle name="Normal 12 3 7 2 3 2" xfId="5443"/>
    <cellStyle name="Normal 12 3 7 2 3 2 2" xfId="21668"/>
    <cellStyle name="Normal 12 3 7 2 3 3" xfId="17984"/>
    <cellStyle name="Normal 12 3 7 2 4" xfId="4226"/>
    <cellStyle name="Normal 12 3 7 2 4 2" xfId="20452"/>
    <cellStyle name="Normal 12 3 7 2 5" xfId="16768"/>
    <cellStyle name="Normal 12 3 7 3" xfId="731"/>
    <cellStyle name="Normal 12 3 7 3 2" xfId="1310"/>
    <cellStyle name="Normal 12 3 7 3 2 2" xfId="2399"/>
    <cellStyle name="Normal 12 3 7 3 2 2 2" xfId="6092"/>
    <cellStyle name="Normal 12 3 7 3 2 2 2 2" xfId="22316"/>
    <cellStyle name="Normal 12 3 7 3 2 2 3" xfId="18632"/>
    <cellStyle name="Normal 12 3 7 3 2 3" xfId="5007"/>
    <cellStyle name="Normal 12 3 7 3 2 3 2" xfId="21233"/>
    <cellStyle name="Normal 12 3 7 3 2 4" xfId="17549"/>
    <cellStyle name="Normal 12 3 7 3 3" xfId="1911"/>
    <cellStyle name="Normal 12 3 7 3 3 2" xfId="5605"/>
    <cellStyle name="Normal 12 3 7 3 3 2 2" xfId="21830"/>
    <cellStyle name="Normal 12 3 7 3 3 3" xfId="18146"/>
    <cellStyle name="Normal 12 3 7 3 4" xfId="4432"/>
    <cellStyle name="Normal 12 3 7 3 4 2" xfId="20658"/>
    <cellStyle name="Normal 12 3 7 3 5" xfId="16974"/>
    <cellStyle name="Normal 12 3 7 4" xfId="919"/>
    <cellStyle name="Normal 12 3 7 4 2" xfId="2075"/>
    <cellStyle name="Normal 12 3 7 4 2 2" xfId="5768"/>
    <cellStyle name="Normal 12 3 7 4 2 2 2" xfId="21992"/>
    <cellStyle name="Normal 12 3 7 4 2 3" xfId="18308"/>
    <cellStyle name="Normal 12 3 7 4 3" xfId="4616"/>
    <cellStyle name="Normal 12 3 7 4 3 2" xfId="20842"/>
    <cellStyle name="Normal 12 3 7 4 4" xfId="17158"/>
    <cellStyle name="Normal 12 3 7 5" xfId="1587"/>
    <cellStyle name="Normal 12 3 7 5 2" xfId="5281"/>
    <cellStyle name="Normal 12 3 7 5 2 2" xfId="21506"/>
    <cellStyle name="Normal 12 3 7 5 3" xfId="17822"/>
    <cellStyle name="Normal 12 3 7 6" xfId="2588"/>
    <cellStyle name="Normal 12 3 7 6 2" xfId="6277"/>
    <cellStyle name="Normal 12 3 7 6 2 2" xfId="22501"/>
    <cellStyle name="Normal 12 3 7 6 3" xfId="18817"/>
    <cellStyle name="Normal 12 3 7 7" xfId="4040"/>
    <cellStyle name="Normal 12 3 7 7 2" xfId="20267"/>
    <cellStyle name="Normal 12 3 7 8" xfId="16583"/>
    <cellStyle name="Normal 12 3 8" xfId="329"/>
    <cellStyle name="Normal 12 3 8 2" xfId="945"/>
    <cellStyle name="Normal 12 3 8 2 2" xfId="2099"/>
    <cellStyle name="Normal 12 3 8 2 2 2" xfId="5792"/>
    <cellStyle name="Normal 12 3 8 2 2 2 2" xfId="22016"/>
    <cellStyle name="Normal 12 3 8 2 2 3" xfId="18332"/>
    <cellStyle name="Normal 12 3 8 2 3" xfId="4642"/>
    <cellStyle name="Normal 12 3 8 2 3 2" xfId="20868"/>
    <cellStyle name="Normal 12 3 8 2 4" xfId="17184"/>
    <cellStyle name="Normal 12 3 8 3" xfId="1611"/>
    <cellStyle name="Normal 12 3 8 3 2" xfId="5305"/>
    <cellStyle name="Normal 12 3 8 3 2 2" xfId="21530"/>
    <cellStyle name="Normal 12 3 8 3 3" xfId="17846"/>
    <cellStyle name="Normal 12 3 8 4" xfId="4066"/>
    <cellStyle name="Normal 12 3 8 4 2" xfId="20293"/>
    <cellStyle name="Normal 12 3 8 5" xfId="16609"/>
    <cellStyle name="Normal 12 3 9" xfId="545"/>
    <cellStyle name="Normal 12 3 9 2" xfId="1151"/>
    <cellStyle name="Normal 12 3 9 2 2" xfId="2261"/>
    <cellStyle name="Normal 12 3 9 2 2 2" xfId="5954"/>
    <cellStyle name="Normal 12 3 9 2 2 2 2" xfId="22178"/>
    <cellStyle name="Normal 12 3 9 2 2 3" xfId="18494"/>
    <cellStyle name="Normal 12 3 9 2 3" xfId="4848"/>
    <cellStyle name="Normal 12 3 9 2 3 2" xfId="21074"/>
    <cellStyle name="Normal 12 3 9 2 4" xfId="17390"/>
    <cellStyle name="Normal 12 3 9 3" xfId="1773"/>
    <cellStyle name="Normal 12 3 9 3 2" xfId="5467"/>
    <cellStyle name="Normal 12 3 9 3 2 2" xfId="21692"/>
    <cellStyle name="Normal 12 3 9 3 3" xfId="18008"/>
    <cellStyle name="Normal 12 3 9 4" xfId="4273"/>
    <cellStyle name="Normal 12 3 9 4 2" xfId="20499"/>
    <cellStyle name="Normal 12 3 9 5" xfId="16815"/>
    <cellStyle name="Normal 12 4" xfId="149"/>
    <cellStyle name="Normal 12 4 10" xfId="1473"/>
    <cellStyle name="Normal 12 4 10 2" xfId="5167"/>
    <cellStyle name="Normal 12 4 10 2 2" xfId="21392"/>
    <cellStyle name="Normal 12 4 10 3" xfId="17708"/>
    <cellStyle name="Normal 12 4 11" xfId="2453"/>
    <cellStyle name="Normal 12 4 11 2" xfId="6144"/>
    <cellStyle name="Normal 12 4 11 2 2" xfId="22368"/>
    <cellStyle name="Normal 12 4 11 3" xfId="18684"/>
    <cellStyle name="Normal 12 4 12" xfId="3907"/>
    <cellStyle name="Normal 12 4 12 2" xfId="20134"/>
    <cellStyle name="Normal 12 4 13" xfId="16450"/>
    <cellStyle name="Normal 12 4 2" xfId="178"/>
    <cellStyle name="Normal 12 4 2 2" xfId="384"/>
    <cellStyle name="Normal 12 4 2 2 2" xfId="999"/>
    <cellStyle name="Normal 12 4 2 2 2 2" xfId="2147"/>
    <cellStyle name="Normal 12 4 2 2 2 2 2" xfId="5840"/>
    <cellStyle name="Normal 12 4 2 2 2 2 2 2" xfId="22064"/>
    <cellStyle name="Normal 12 4 2 2 2 2 3" xfId="18380"/>
    <cellStyle name="Normal 12 4 2 2 2 3" xfId="4696"/>
    <cellStyle name="Normal 12 4 2 2 2 3 2" xfId="20922"/>
    <cellStyle name="Normal 12 4 2 2 2 4" xfId="17238"/>
    <cellStyle name="Normal 12 4 2 2 3" xfId="1659"/>
    <cellStyle name="Normal 12 4 2 2 3 2" xfId="5353"/>
    <cellStyle name="Normal 12 4 2 2 3 2 2" xfId="21578"/>
    <cellStyle name="Normal 12 4 2 2 3 3" xfId="17894"/>
    <cellStyle name="Normal 12 4 2 2 4" xfId="4121"/>
    <cellStyle name="Normal 12 4 2 2 4 2" xfId="20347"/>
    <cellStyle name="Normal 12 4 2 2 5" xfId="16663"/>
    <cellStyle name="Normal 12 4 2 3" xfId="608"/>
    <cellStyle name="Normal 12 4 2 3 2" xfId="1205"/>
    <cellStyle name="Normal 12 4 2 3 2 2" xfId="2309"/>
    <cellStyle name="Normal 12 4 2 3 2 2 2" xfId="6002"/>
    <cellStyle name="Normal 12 4 2 3 2 2 2 2" xfId="22226"/>
    <cellStyle name="Normal 12 4 2 3 2 2 3" xfId="18542"/>
    <cellStyle name="Normal 12 4 2 3 2 3" xfId="4902"/>
    <cellStyle name="Normal 12 4 2 3 2 3 2" xfId="21128"/>
    <cellStyle name="Normal 12 4 2 3 2 4" xfId="17444"/>
    <cellStyle name="Normal 12 4 2 3 3" xfId="1821"/>
    <cellStyle name="Normal 12 4 2 3 3 2" xfId="5515"/>
    <cellStyle name="Normal 12 4 2 3 3 2 2" xfId="21740"/>
    <cellStyle name="Normal 12 4 2 3 3 3" xfId="18056"/>
    <cellStyle name="Normal 12 4 2 3 4" xfId="4327"/>
    <cellStyle name="Normal 12 4 2 3 4 2" xfId="20553"/>
    <cellStyle name="Normal 12 4 2 3 5" xfId="16869"/>
    <cellStyle name="Normal 12 4 2 4" xfId="829"/>
    <cellStyle name="Normal 12 4 2 4 2" xfId="1985"/>
    <cellStyle name="Normal 12 4 2 4 2 2" xfId="5678"/>
    <cellStyle name="Normal 12 4 2 4 2 2 2" xfId="21902"/>
    <cellStyle name="Normal 12 4 2 4 2 3" xfId="18218"/>
    <cellStyle name="Normal 12 4 2 4 3" xfId="4526"/>
    <cellStyle name="Normal 12 4 2 4 3 2" xfId="20752"/>
    <cellStyle name="Normal 12 4 2 4 4" xfId="17068"/>
    <cellStyle name="Normal 12 4 2 5" xfId="1497"/>
    <cellStyle name="Normal 12 4 2 5 2" xfId="5191"/>
    <cellStyle name="Normal 12 4 2 5 2 2" xfId="21416"/>
    <cellStyle name="Normal 12 4 2 5 3" xfId="17732"/>
    <cellStyle name="Normal 12 4 2 6" xfId="2482"/>
    <cellStyle name="Normal 12 4 2 6 2" xfId="6172"/>
    <cellStyle name="Normal 12 4 2 6 2 2" xfId="22396"/>
    <cellStyle name="Normal 12 4 2 6 3" xfId="18712"/>
    <cellStyle name="Normal 12 4 2 7" xfId="3935"/>
    <cellStyle name="Normal 12 4 2 7 2" xfId="20162"/>
    <cellStyle name="Normal 12 4 2 8" xfId="16478"/>
    <cellStyle name="Normal 12 4 3" xfId="206"/>
    <cellStyle name="Normal 12 4 3 2" xfId="412"/>
    <cellStyle name="Normal 12 4 3 2 2" xfId="1027"/>
    <cellStyle name="Normal 12 4 3 2 2 2" xfId="2171"/>
    <cellStyle name="Normal 12 4 3 2 2 2 2" xfId="5864"/>
    <cellStyle name="Normal 12 4 3 2 2 2 2 2" xfId="22088"/>
    <cellStyle name="Normal 12 4 3 2 2 2 3" xfId="18404"/>
    <cellStyle name="Normal 12 4 3 2 2 3" xfId="4724"/>
    <cellStyle name="Normal 12 4 3 2 2 3 2" xfId="20950"/>
    <cellStyle name="Normal 12 4 3 2 2 4" xfId="17266"/>
    <cellStyle name="Normal 12 4 3 2 3" xfId="1683"/>
    <cellStyle name="Normal 12 4 3 2 3 2" xfId="5377"/>
    <cellStyle name="Normal 12 4 3 2 3 2 2" xfId="21602"/>
    <cellStyle name="Normal 12 4 3 2 3 3" xfId="17918"/>
    <cellStyle name="Normal 12 4 3 2 4" xfId="4149"/>
    <cellStyle name="Normal 12 4 3 2 4 2" xfId="20375"/>
    <cellStyle name="Normal 12 4 3 2 5" xfId="16691"/>
    <cellStyle name="Normal 12 4 3 3" xfId="636"/>
    <cellStyle name="Normal 12 4 3 3 2" xfId="1233"/>
    <cellStyle name="Normal 12 4 3 3 2 2" xfId="2333"/>
    <cellStyle name="Normal 12 4 3 3 2 2 2" xfId="6026"/>
    <cellStyle name="Normal 12 4 3 3 2 2 2 2" xfId="22250"/>
    <cellStyle name="Normal 12 4 3 3 2 2 3" xfId="18566"/>
    <cellStyle name="Normal 12 4 3 3 2 3" xfId="4930"/>
    <cellStyle name="Normal 12 4 3 3 2 3 2" xfId="21156"/>
    <cellStyle name="Normal 12 4 3 3 2 4" xfId="17472"/>
    <cellStyle name="Normal 12 4 3 3 3" xfId="1845"/>
    <cellStyle name="Normal 12 4 3 3 3 2" xfId="5539"/>
    <cellStyle name="Normal 12 4 3 3 3 2 2" xfId="21764"/>
    <cellStyle name="Normal 12 4 3 3 3 3" xfId="18080"/>
    <cellStyle name="Normal 12 4 3 3 4" xfId="4355"/>
    <cellStyle name="Normal 12 4 3 3 4 2" xfId="20581"/>
    <cellStyle name="Normal 12 4 3 3 5" xfId="16897"/>
    <cellStyle name="Normal 12 4 3 4" xfId="853"/>
    <cellStyle name="Normal 12 4 3 4 2" xfId="2009"/>
    <cellStyle name="Normal 12 4 3 4 2 2" xfId="5702"/>
    <cellStyle name="Normal 12 4 3 4 2 2 2" xfId="21926"/>
    <cellStyle name="Normal 12 4 3 4 2 3" xfId="18242"/>
    <cellStyle name="Normal 12 4 3 4 3" xfId="4550"/>
    <cellStyle name="Normal 12 4 3 4 3 2" xfId="20776"/>
    <cellStyle name="Normal 12 4 3 4 4" xfId="17092"/>
    <cellStyle name="Normal 12 4 3 5" xfId="1521"/>
    <cellStyle name="Normal 12 4 3 5 2" xfId="5215"/>
    <cellStyle name="Normal 12 4 3 5 2 2" xfId="21440"/>
    <cellStyle name="Normal 12 4 3 5 3" xfId="17756"/>
    <cellStyle name="Normal 12 4 3 6" xfId="2510"/>
    <cellStyle name="Normal 12 4 3 6 2" xfId="6200"/>
    <cellStyle name="Normal 12 4 3 6 2 2" xfId="22424"/>
    <cellStyle name="Normal 12 4 3 6 3" xfId="18740"/>
    <cellStyle name="Normal 12 4 3 7" xfId="3963"/>
    <cellStyle name="Normal 12 4 3 7 2" xfId="20190"/>
    <cellStyle name="Normal 12 4 3 8" xfId="16506"/>
    <cellStyle name="Normal 12 4 4" xfId="235"/>
    <cellStyle name="Normal 12 4 4 2" xfId="441"/>
    <cellStyle name="Normal 12 4 4 2 2" xfId="1056"/>
    <cellStyle name="Normal 12 4 4 2 2 2" xfId="2195"/>
    <cellStyle name="Normal 12 4 4 2 2 2 2" xfId="5888"/>
    <cellStyle name="Normal 12 4 4 2 2 2 2 2" xfId="22112"/>
    <cellStyle name="Normal 12 4 4 2 2 2 3" xfId="18428"/>
    <cellStyle name="Normal 12 4 4 2 2 3" xfId="4753"/>
    <cellStyle name="Normal 12 4 4 2 2 3 2" xfId="20979"/>
    <cellStyle name="Normal 12 4 4 2 2 4" xfId="17295"/>
    <cellStyle name="Normal 12 4 4 2 3" xfId="1707"/>
    <cellStyle name="Normal 12 4 4 2 3 2" xfId="5401"/>
    <cellStyle name="Normal 12 4 4 2 3 2 2" xfId="21626"/>
    <cellStyle name="Normal 12 4 4 2 3 3" xfId="17942"/>
    <cellStyle name="Normal 12 4 4 2 4" xfId="4178"/>
    <cellStyle name="Normal 12 4 4 2 4 2" xfId="20404"/>
    <cellStyle name="Normal 12 4 4 2 5" xfId="16720"/>
    <cellStyle name="Normal 12 4 4 3" xfId="665"/>
    <cellStyle name="Normal 12 4 4 3 2" xfId="1262"/>
    <cellStyle name="Normal 12 4 4 3 2 2" xfId="2357"/>
    <cellStyle name="Normal 12 4 4 3 2 2 2" xfId="6050"/>
    <cellStyle name="Normal 12 4 4 3 2 2 2 2" xfId="22274"/>
    <cellStyle name="Normal 12 4 4 3 2 2 3" xfId="18590"/>
    <cellStyle name="Normal 12 4 4 3 2 3" xfId="4959"/>
    <cellStyle name="Normal 12 4 4 3 2 3 2" xfId="21185"/>
    <cellStyle name="Normal 12 4 4 3 2 4" xfId="17501"/>
    <cellStyle name="Normal 12 4 4 3 3" xfId="1869"/>
    <cellStyle name="Normal 12 4 4 3 3 2" xfId="5563"/>
    <cellStyle name="Normal 12 4 4 3 3 2 2" xfId="21788"/>
    <cellStyle name="Normal 12 4 4 3 3 3" xfId="18104"/>
    <cellStyle name="Normal 12 4 4 3 4" xfId="4384"/>
    <cellStyle name="Normal 12 4 4 3 4 2" xfId="20610"/>
    <cellStyle name="Normal 12 4 4 3 5" xfId="16926"/>
    <cellStyle name="Normal 12 4 4 4" xfId="877"/>
    <cellStyle name="Normal 12 4 4 4 2" xfId="2033"/>
    <cellStyle name="Normal 12 4 4 4 2 2" xfId="5726"/>
    <cellStyle name="Normal 12 4 4 4 2 2 2" xfId="21950"/>
    <cellStyle name="Normal 12 4 4 4 2 3" xfId="18266"/>
    <cellStyle name="Normal 12 4 4 4 3" xfId="4574"/>
    <cellStyle name="Normal 12 4 4 4 3 2" xfId="20800"/>
    <cellStyle name="Normal 12 4 4 4 4" xfId="17116"/>
    <cellStyle name="Normal 12 4 4 5" xfId="1545"/>
    <cellStyle name="Normal 12 4 4 5 2" xfId="5239"/>
    <cellStyle name="Normal 12 4 4 5 2 2" xfId="21464"/>
    <cellStyle name="Normal 12 4 4 5 3" xfId="17780"/>
    <cellStyle name="Normal 12 4 4 6" xfId="2539"/>
    <cellStyle name="Normal 12 4 4 6 2" xfId="6229"/>
    <cellStyle name="Normal 12 4 4 6 2 2" xfId="22453"/>
    <cellStyle name="Normal 12 4 4 6 3" xfId="18769"/>
    <cellStyle name="Normal 12 4 4 7" xfId="3992"/>
    <cellStyle name="Normal 12 4 4 7 2" xfId="20219"/>
    <cellStyle name="Normal 12 4 4 8" xfId="16535"/>
    <cellStyle name="Normal 12 4 5" xfId="280"/>
    <cellStyle name="Normal 12 4 5 2" xfId="468"/>
    <cellStyle name="Normal 12 4 5 2 2" xfId="1083"/>
    <cellStyle name="Normal 12 4 5 2 2 2" xfId="2219"/>
    <cellStyle name="Normal 12 4 5 2 2 2 2" xfId="5912"/>
    <cellStyle name="Normal 12 4 5 2 2 2 2 2" xfId="22136"/>
    <cellStyle name="Normal 12 4 5 2 2 2 3" xfId="18452"/>
    <cellStyle name="Normal 12 4 5 2 2 3" xfId="4780"/>
    <cellStyle name="Normal 12 4 5 2 2 3 2" xfId="21006"/>
    <cellStyle name="Normal 12 4 5 2 2 4" xfId="17322"/>
    <cellStyle name="Normal 12 4 5 2 3" xfId="1731"/>
    <cellStyle name="Normal 12 4 5 2 3 2" xfId="5425"/>
    <cellStyle name="Normal 12 4 5 2 3 2 2" xfId="21650"/>
    <cellStyle name="Normal 12 4 5 2 3 3" xfId="17966"/>
    <cellStyle name="Normal 12 4 5 2 4" xfId="4205"/>
    <cellStyle name="Normal 12 4 5 2 4 2" xfId="20431"/>
    <cellStyle name="Normal 12 4 5 2 5" xfId="16747"/>
    <cellStyle name="Normal 12 4 5 3" xfId="710"/>
    <cellStyle name="Normal 12 4 5 3 2" xfId="1289"/>
    <cellStyle name="Normal 12 4 5 3 2 2" xfId="2381"/>
    <cellStyle name="Normal 12 4 5 3 2 2 2" xfId="6074"/>
    <cellStyle name="Normal 12 4 5 3 2 2 2 2" xfId="22298"/>
    <cellStyle name="Normal 12 4 5 3 2 2 3" xfId="18614"/>
    <cellStyle name="Normal 12 4 5 3 2 3" xfId="4986"/>
    <cellStyle name="Normal 12 4 5 3 2 3 2" xfId="21212"/>
    <cellStyle name="Normal 12 4 5 3 2 4" xfId="17528"/>
    <cellStyle name="Normal 12 4 5 3 3" xfId="1893"/>
    <cellStyle name="Normal 12 4 5 3 3 2" xfId="5587"/>
    <cellStyle name="Normal 12 4 5 3 3 2 2" xfId="21812"/>
    <cellStyle name="Normal 12 4 5 3 3 3" xfId="18128"/>
    <cellStyle name="Normal 12 4 5 3 4" xfId="4411"/>
    <cellStyle name="Normal 12 4 5 3 4 2" xfId="20637"/>
    <cellStyle name="Normal 12 4 5 3 5" xfId="16953"/>
    <cellStyle name="Normal 12 4 5 4" xfId="901"/>
    <cellStyle name="Normal 12 4 5 4 2" xfId="2057"/>
    <cellStyle name="Normal 12 4 5 4 2 2" xfId="5750"/>
    <cellStyle name="Normal 12 4 5 4 2 2 2" xfId="21974"/>
    <cellStyle name="Normal 12 4 5 4 2 3" xfId="18290"/>
    <cellStyle name="Normal 12 4 5 4 3" xfId="4598"/>
    <cellStyle name="Normal 12 4 5 4 3 2" xfId="20824"/>
    <cellStyle name="Normal 12 4 5 4 4" xfId="17140"/>
    <cellStyle name="Normal 12 4 5 5" xfId="1569"/>
    <cellStyle name="Normal 12 4 5 5 2" xfId="5263"/>
    <cellStyle name="Normal 12 4 5 5 2 2" xfId="21488"/>
    <cellStyle name="Normal 12 4 5 5 3" xfId="17804"/>
    <cellStyle name="Normal 12 4 5 6" xfId="2566"/>
    <cellStyle name="Normal 12 4 5 6 2" xfId="6256"/>
    <cellStyle name="Normal 12 4 5 6 2 2" xfId="22480"/>
    <cellStyle name="Normal 12 4 5 6 3" xfId="18796"/>
    <cellStyle name="Normal 12 4 5 7" xfId="4019"/>
    <cellStyle name="Normal 12 4 5 7 2" xfId="20246"/>
    <cellStyle name="Normal 12 4 5 8" xfId="16562"/>
    <cellStyle name="Normal 12 4 6" xfId="308"/>
    <cellStyle name="Normal 12 4 6 2" xfId="495"/>
    <cellStyle name="Normal 12 4 6 2 2" xfId="1110"/>
    <cellStyle name="Normal 12 4 6 2 2 2" xfId="2243"/>
    <cellStyle name="Normal 12 4 6 2 2 2 2" xfId="5936"/>
    <cellStyle name="Normal 12 4 6 2 2 2 2 2" xfId="22160"/>
    <cellStyle name="Normal 12 4 6 2 2 2 3" xfId="18476"/>
    <cellStyle name="Normal 12 4 6 2 2 3" xfId="4807"/>
    <cellStyle name="Normal 12 4 6 2 2 3 2" xfId="21033"/>
    <cellStyle name="Normal 12 4 6 2 2 4" xfId="17349"/>
    <cellStyle name="Normal 12 4 6 2 3" xfId="1755"/>
    <cellStyle name="Normal 12 4 6 2 3 2" xfId="5449"/>
    <cellStyle name="Normal 12 4 6 2 3 2 2" xfId="21674"/>
    <cellStyle name="Normal 12 4 6 2 3 3" xfId="17990"/>
    <cellStyle name="Normal 12 4 6 2 4" xfId="4232"/>
    <cellStyle name="Normal 12 4 6 2 4 2" xfId="20458"/>
    <cellStyle name="Normal 12 4 6 2 5" xfId="16774"/>
    <cellStyle name="Normal 12 4 6 3" xfId="737"/>
    <cellStyle name="Normal 12 4 6 3 2" xfId="1316"/>
    <cellStyle name="Normal 12 4 6 3 2 2" xfId="2405"/>
    <cellStyle name="Normal 12 4 6 3 2 2 2" xfId="6098"/>
    <cellStyle name="Normal 12 4 6 3 2 2 2 2" xfId="22322"/>
    <cellStyle name="Normal 12 4 6 3 2 2 3" xfId="18638"/>
    <cellStyle name="Normal 12 4 6 3 2 3" xfId="5013"/>
    <cellStyle name="Normal 12 4 6 3 2 3 2" xfId="21239"/>
    <cellStyle name="Normal 12 4 6 3 2 4" xfId="17555"/>
    <cellStyle name="Normal 12 4 6 3 3" xfId="1917"/>
    <cellStyle name="Normal 12 4 6 3 3 2" xfId="5611"/>
    <cellStyle name="Normal 12 4 6 3 3 2 2" xfId="21836"/>
    <cellStyle name="Normal 12 4 6 3 3 3" xfId="18152"/>
    <cellStyle name="Normal 12 4 6 3 4" xfId="4438"/>
    <cellStyle name="Normal 12 4 6 3 4 2" xfId="20664"/>
    <cellStyle name="Normal 12 4 6 3 5" xfId="16980"/>
    <cellStyle name="Normal 12 4 6 4" xfId="925"/>
    <cellStyle name="Normal 12 4 6 4 2" xfId="2081"/>
    <cellStyle name="Normal 12 4 6 4 2 2" xfId="5774"/>
    <cellStyle name="Normal 12 4 6 4 2 2 2" xfId="21998"/>
    <cellStyle name="Normal 12 4 6 4 2 3" xfId="18314"/>
    <cellStyle name="Normal 12 4 6 4 3" xfId="4622"/>
    <cellStyle name="Normal 12 4 6 4 3 2" xfId="20848"/>
    <cellStyle name="Normal 12 4 6 4 4" xfId="17164"/>
    <cellStyle name="Normal 12 4 6 5" xfId="1593"/>
    <cellStyle name="Normal 12 4 6 5 2" xfId="5287"/>
    <cellStyle name="Normal 12 4 6 5 2 2" xfId="21512"/>
    <cellStyle name="Normal 12 4 6 5 3" xfId="17828"/>
    <cellStyle name="Normal 12 4 6 6" xfId="2594"/>
    <cellStyle name="Normal 12 4 6 6 2" xfId="6283"/>
    <cellStyle name="Normal 12 4 6 6 2 2" xfId="22507"/>
    <cellStyle name="Normal 12 4 6 6 3" xfId="18823"/>
    <cellStyle name="Normal 12 4 6 7" xfId="4046"/>
    <cellStyle name="Normal 12 4 6 7 2" xfId="20273"/>
    <cellStyle name="Normal 12 4 6 8" xfId="16589"/>
    <cellStyle name="Normal 12 4 7" xfId="356"/>
    <cellStyle name="Normal 12 4 7 2" xfId="971"/>
    <cellStyle name="Normal 12 4 7 2 2" xfId="2123"/>
    <cellStyle name="Normal 12 4 7 2 2 2" xfId="5816"/>
    <cellStyle name="Normal 12 4 7 2 2 2 2" xfId="22040"/>
    <cellStyle name="Normal 12 4 7 2 2 3" xfId="18356"/>
    <cellStyle name="Normal 12 4 7 2 3" xfId="4668"/>
    <cellStyle name="Normal 12 4 7 2 3 2" xfId="20894"/>
    <cellStyle name="Normal 12 4 7 2 4" xfId="17210"/>
    <cellStyle name="Normal 12 4 7 3" xfId="1635"/>
    <cellStyle name="Normal 12 4 7 3 2" xfId="5329"/>
    <cellStyle name="Normal 12 4 7 3 2 2" xfId="21554"/>
    <cellStyle name="Normal 12 4 7 3 3" xfId="17870"/>
    <cellStyle name="Normal 12 4 7 4" xfId="4093"/>
    <cellStyle name="Normal 12 4 7 4 2" xfId="20319"/>
    <cellStyle name="Normal 12 4 7 5" xfId="16635"/>
    <cellStyle name="Normal 12 4 8" xfId="580"/>
    <cellStyle name="Normal 12 4 8 2" xfId="1177"/>
    <cellStyle name="Normal 12 4 8 2 2" xfId="2285"/>
    <cellStyle name="Normal 12 4 8 2 2 2" xfId="5978"/>
    <cellStyle name="Normal 12 4 8 2 2 2 2" xfId="22202"/>
    <cellStyle name="Normal 12 4 8 2 2 3" xfId="18518"/>
    <cellStyle name="Normal 12 4 8 2 3" xfId="4874"/>
    <cellStyle name="Normal 12 4 8 2 3 2" xfId="21100"/>
    <cellStyle name="Normal 12 4 8 2 4" xfId="17416"/>
    <cellStyle name="Normal 12 4 8 3" xfId="1797"/>
    <cellStyle name="Normal 12 4 8 3 2" xfId="5491"/>
    <cellStyle name="Normal 12 4 8 3 2 2" xfId="21716"/>
    <cellStyle name="Normal 12 4 8 3 3" xfId="18032"/>
    <cellStyle name="Normal 12 4 8 4" xfId="4299"/>
    <cellStyle name="Normal 12 4 8 4 2" xfId="20525"/>
    <cellStyle name="Normal 12 4 8 5" xfId="16841"/>
    <cellStyle name="Normal 12 4 9" xfId="805"/>
    <cellStyle name="Normal 12 4 9 2" xfId="1961"/>
    <cellStyle name="Normal 12 4 9 2 2" xfId="5654"/>
    <cellStyle name="Normal 12 4 9 2 2 2" xfId="21878"/>
    <cellStyle name="Normal 12 4 9 2 3" xfId="18194"/>
    <cellStyle name="Normal 12 4 9 3" xfId="4502"/>
    <cellStyle name="Normal 12 4 9 3 2" xfId="20728"/>
    <cellStyle name="Normal 12 4 9 4" xfId="17044"/>
    <cellStyle name="Normal 12 5" xfId="128"/>
    <cellStyle name="Normal 12 5 2" xfId="335"/>
    <cellStyle name="Normal 12 5 2 2" xfId="951"/>
    <cellStyle name="Normal 12 5 2 2 2" xfId="2105"/>
    <cellStyle name="Normal 12 5 2 2 2 2" xfId="5798"/>
    <cellStyle name="Normal 12 5 2 2 2 2 2" xfId="22022"/>
    <cellStyle name="Normal 12 5 2 2 2 3" xfId="18338"/>
    <cellStyle name="Normal 12 5 2 2 3" xfId="4648"/>
    <cellStyle name="Normal 12 5 2 2 3 2" xfId="20874"/>
    <cellStyle name="Normal 12 5 2 2 4" xfId="17190"/>
    <cellStyle name="Normal 12 5 2 3" xfId="1617"/>
    <cellStyle name="Normal 12 5 2 3 2" xfId="5311"/>
    <cellStyle name="Normal 12 5 2 3 2 2" xfId="21536"/>
    <cellStyle name="Normal 12 5 2 3 3" xfId="17852"/>
    <cellStyle name="Normal 12 5 2 4" xfId="4072"/>
    <cellStyle name="Normal 12 5 2 4 2" xfId="20299"/>
    <cellStyle name="Normal 12 5 2 5" xfId="16615"/>
    <cellStyle name="Normal 12 5 3" xfId="560"/>
    <cellStyle name="Normal 12 5 3 2" xfId="1157"/>
    <cellStyle name="Normal 12 5 3 2 2" xfId="2267"/>
    <cellStyle name="Normal 12 5 3 2 2 2" xfId="5960"/>
    <cellStyle name="Normal 12 5 3 2 2 2 2" xfId="22184"/>
    <cellStyle name="Normal 12 5 3 2 2 3" xfId="18500"/>
    <cellStyle name="Normal 12 5 3 2 3" xfId="4854"/>
    <cellStyle name="Normal 12 5 3 2 3 2" xfId="21080"/>
    <cellStyle name="Normal 12 5 3 2 4" xfId="17396"/>
    <cellStyle name="Normal 12 5 3 3" xfId="1779"/>
    <cellStyle name="Normal 12 5 3 3 2" xfId="5473"/>
    <cellStyle name="Normal 12 5 3 3 2 2" xfId="21698"/>
    <cellStyle name="Normal 12 5 3 3 3" xfId="18014"/>
    <cellStyle name="Normal 12 5 3 4" xfId="4279"/>
    <cellStyle name="Normal 12 5 3 4 2" xfId="20505"/>
    <cellStyle name="Normal 12 5 3 5" xfId="16821"/>
    <cellStyle name="Normal 12 5 4" xfId="787"/>
    <cellStyle name="Normal 12 5 4 2" xfId="1943"/>
    <cellStyle name="Normal 12 5 4 2 2" xfId="5636"/>
    <cellStyle name="Normal 12 5 4 2 2 2" xfId="21860"/>
    <cellStyle name="Normal 12 5 4 2 3" xfId="18176"/>
    <cellStyle name="Normal 12 5 4 3" xfId="4484"/>
    <cellStyle name="Normal 12 5 4 3 2" xfId="20710"/>
    <cellStyle name="Normal 12 5 4 4" xfId="17026"/>
    <cellStyle name="Normal 12 5 5" xfId="1455"/>
    <cellStyle name="Normal 12 5 5 2" xfId="5149"/>
    <cellStyle name="Normal 12 5 5 2 2" xfId="21374"/>
    <cellStyle name="Normal 12 5 5 3" xfId="17690"/>
    <cellStyle name="Normal 12 5 6" xfId="2432"/>
    <cellStyle name="Normal 12 5 6 2" xfId="6124"/>
    <cellStyle name="Normal 12 5 6 2 2" xfId="22348"/>
    <cellStyle name="Normal 12 5 6 3" xfId="18664"/>
    <cellStyle name="Normal 12 5 7" xfId="3887"/>
    <cellStyle name="Normal 12 5 7 2" xfId="20114"/>
    <cellStyle name="Normal 12 5 8" xfId="16430"/>
    <cellStyle name="Normal 12 6" xfId="159"/>
    <cellStyle name="Normal 12 6 2" xfId="365"/>
    <cellStyle name="Normal 12 6 2 2" xfId="980"/>
    <cellStyle name="Normal 12 6 2 2 2" xfId="2129"/>
    <cellStyle name="Normal 12 6 2 2 2 2" xfId="5822"/>
    <cellStyle name="Normal 12 6 2 2 2 2 2" xfId="22046"/>
    <cellStyle name="Normal 12 6 2 2 2 3" xfId="18362"/>
    <cellStyle name="Normal 12 6 2 2 3" xfId="4677"/>
    <cellStyle name="Normal 12 6 2 2 3 2" xfId="20903"/>
    <cellStyle name="Normal 12 6 2 2 4" xfId="17219"/>
    <cellStyle name="Normal 12 6 2 3" xfId="1641"/>
    <cellStyle name="Normal 12 6 2 3 2" xfId="5335"/>
    <cellStyle name="Normal 12 6 2 3 2 2" xfId="21560"/>
    <cellStyle name="Normal 12 6 2 3 3" xfId="17876"/>
    <cellStyle name="Normal 12 6 2 4" xfId="4102"/>
    <cellStyle name="Normal 12 6 2 4 2" xfId="20328"/>
    <cellStyle name="Normal 12 6 2 5" xfId="16644"/>
    <cellStyle name="Normal 12 6 3" xfId="589"/>
    <cellStyle name="Normal 12 6 3 2" xfId="1186"/>
    <cellStyle name="Normal 12 6 3 2 2" xfId="2291"/>
    <cellStyle name="Normal 12 6 3 2 2 2" xfId="5984"/>
    <cellStyle name="Normal 12 6 3 2 2 2 2" xfId="22208"/>
    <cellStyle name="Normal 12 6 3 2 2 3" xfId="18524"/>
    <cellStyle name="Normal 12 6 3 2 3" xfId="4883"/>
    <cellStyle name="Normal 12 6 3 2 3 2" xfId="21109"/>
    <cellStyle name="Normal 12 6 3 2 4" xfId="17425"/>
    <cellStyle name="Normal 12 6 3 3" xfId="1803"/>
    <cellStyle name="Normal 12 6 3 3 2" xfId="5497"/>
    <cellStyle name="Normal 12 6 3 3 2 2" xfId="21722"/>
    <cellStyle name="Normal 12 6 3 3 3" xfId="18038"/>
    <cellStyle name="Normal 12 6 3 4" xfId="4308"/>
    <cellStyle name="Normal 12 6 3 4 2" xfId="20534"/>
    <cellStyle name="Normal 12 6 3 5" xfId="16850"/>
    <cellStyle name="Normal 12 6 4" xfId="811"/>
    <cellStyle name="Normal 12 6 4 2" xfId="1967"/>
    <cellStyle name="Normal 12 6 4 2 2" xfId="5660"/>
    <cellStyle name="Normal 12 6 4 2 2 2" xfId="21884"/>
    <cellStyle name="Normal 12 6 4 2 3" xfId="18200"/>
    <cellStyle name="Normal 12 6 4 3" xfId="4508"/>
    <cellStyle name="Normal 12 6 4 3 2" xfId="20734"/>
    <cellStyle name="Normal 12 6 4 4" xfId="17050"/>
    <cellStyle name="Normal 12 6 5" xfId="1479"/>
    <cellStyle name="Normal 12 6 5 2" xfId="5173"/>
    <cellStyle name="Normal 12 6 5 2 2" xfId="21398"/>
    <cellStyle name="Normal 12 6 5 3" xfId="17714"/>
    <cellStyle name="Normal 12 6 6" xfId="2463"/>
    <cellStyle name="Normal 12 6 6 2" xfId="6153"/>
    <cellStyle name="Normal 12 6 6 2 2" xfId="22377"/>
    <cellStyle name="Normal 12 6 6 3" xfId="18693"/>
    <cellStyle name="Normal 12 6 7" xfId="3916"/>
    <cellStyle name="Normal 12 6 7 2" xfId="20143"/>
    <cellStyle name="Normal 12 6 8" xfId="16459"/>
    <cellStyle name="Normal 12 7" xfId="187"/>
    <cellStyle name="Normal 12 7 2" xfId="393"/>
    <cellStyle name="Normal 12 7 2 2" xfId="1008"/>
    <cellStyle name="Normal 12 7 2 2 2" xfId="2153"/>
    <cellStyle name="Normal 12 7 2 2 2 2" xfId="5846"/>
    <cellStyle name="Normal 12 7 2 2 2 2 2" xfId="22070"/>
    <cellStyle name="Normal 12 7 2 2 2 3" xfId="18386"/>
    <cellStyle name="Normal 12 7 2 2 3" xfId="4705"/>
    <cellStyle name="Normal 12 7 2 2 3 2" xfId="20931"/>
    <cellStyle name="Normal 12 7 2 2 4" xfId="17247"/>
    <cellStyle name="Normal 12 7 2 3" xfId="1665"/>
    <cellStyle name="Normal 12 7 2 3 2" xfId="5359"/>
    <cellStyle name="Normal 12 7 2 3 2 2" xfId="21584"/>
    <cellStyle name="Normal 12 7 2 3 3" xfId="17900"/>
    <cellStyle name="Normal 12 7 2 4" xfId="4130"/>
    <cellStyle name="Normal 12 7 2 4 2" xfId="20356"/>
    <cellStyle name="Normal 12 7 2 5" xfId="16672"/>
    <cellStyle name="Normal 12 7 3" xfId="617"/>
    <cellStyle name="Normal 12 7 3 2" xfId="1214"/>
    <cellStyle name="Normal 12 7 3 2 2" xfId="2315"/>
    <cellStyle name="Normal 12 7 3 2 2 2" xfId="6008"/>
    <cellStyle name="Normal 12 7 3 2 2 2 2" xfId="22232"/>
    <cellStyle name="Normal 12 7 3 2 2 3" xfId="18548"/>
    <cellStyle name="Normal 12 7 3 2 3" xfId="4911"/>
    <cellStyle name="Normal 12 7 3 2 3 2" xfId="21137"/>
    <cellStyle name="Normal 12 7 3 2 4" xfId="17453"/>
    <cellStyle name="Normal 12 7 3 3" xfId="1827"/>
    <cellStyle name="Normal 12 7 3 3 2" xfId="5521"/>
    <cellStyle name="Normal 12 7 3 3 2 2" xfId="21746"/>
    <cellStyle name="Normal 12 7 3 3 3" xfId="18062"/>
    <cellStyle name="Normal 12 7 3 4" xfId="4336"/>
    <cellStyle name="Normal 12 7 3 4 2" xfId="20562"/>
    <cellStyle name="Normal 12 7 3 5" xfId="16878"/>
    <cellStyle name="Normal 12 7 4" xfId="835"/>
    <cellStyle name="Normal 12 7 4 2" xfId="1991"/>
    <cellStyle name="Normal 12 7 4 2 2" xfId="5684"/>
    <cellStyle name="Normal 12 7 4 2 2 2" xfId="21908"/>
    <cellStyle name="Normal 12 7 4 2 3" xfId="18224"/>
    <cellStyle name="Normal 12 7 4 3" xfId="4532"/>
    <cellStyle name="Normal 12 7 4 3 2" xfId="20758"/>
    <cellStyle name="Normal 12 7 4 4" xfId="17074"/>
    <cellStyle name="Normal 12 7 5" xfId="1503"/>
    <cellStyle name="Normal 12 7 5 2" xfId="5197"/>
    <cellStyle name="Normal 12 7 5 2 2" xfId="21422"/>
    <cellStyle name="Normal 12 7 5 3" xfId="17738"/>
    <cellStyle name="Normal 12 7 6" xfId="2491"/>
    <cellStyle name="Normal 12 7 6 2" xfId="6181"/>
    <cellStyle name="Normal 12 7 6 2 2" xfId="22405"/>
    <cellStyle name="Normal 12 7 6 3" xfId="18721"/>
    <cellStyle name="Normal 12 7 7" xfId="3944"/>
    <cellStyle name="Normal 12 7 7 2" xfId="20171"/>
    <cellStyle name="Normal 12 7 8" xfId="16487"/>
    <cellStyle name="Normal 12 8" xfId="215"/>
    <cellStyle name="Normal 12 8 2" xfId="421"/>
    <cellStyle name="Normal 12 8 2 2" xfId="1036"/>
    <cellStyle name="Normal 12 8 2 2 2" xfId="2177"/>
    <cellStyle name="Normal 12 8 2 2 2 2" xfId="5870"/>
    <cellStyle name="Normal 12 8 2 2 2 2 2" xfId="22094"/>
    <cellStyle name="Normal 12 8 2 2 2 3" xfId="18410"/>
    <cellStyle name="Normal 12 8 2 2 3" xfId="4733"/>
    <cellStyle name="Normal 12 8 2 2 3 2" xfId="20959"/>
    <cellStyle name="Normal 12 8 2 2 4" xfId="17275"/>
    <cellStyle name="Normal 12 8 2 3" xfId="1689"/>
    <cellStyle name="Normal 12 8 2 3 2" xfId="5383"/>
    <cellStyle name="Normal 12 8 2 3 2 2" xfId="21608"/>
    <cellStyle name="Normal 12 8 2 3 3" xfId="17924"/>
    <cellStyle name="Normal 12 8 2 4" xfId="4158"/>
    <cellStyle name="Normal 12 8 2 4 2" xfId="20384"/>
    <cellStyle name="Normal 12 8 2 5" xfId="16700"/>
    <cellStyle name="Normal 12 8 3" xfId="645"/>
    <cellStyle name="Normal 12 8 3 2" xfId="1242"/>
    <cellStyle name="Normal 12 8 3 2 2" xfId="2339"/>
    <cellStyle name="Normal 12 8 3 2 2 2" xfId="6032"/>
    <cellStyle name="Normal 12 8 3 2 2 2 2" xfId="22256"/>
    <cellStyle name="Normal 12 8 3 2 2 3" xfId="18572"/>
    <cellStyle name="Normal 12 8 3 2 3" xfId="4939"/>
    <cellStyle name="Normal 12 8 3 2 3 2" xfId="21165"/>
    <cellStyle name="Normal 12 8 3 2 4" xfId="17481"/>
    <cellStyle name="Normal 12 8 3 3" xfId="1851"/>
    <cellStyle name="Normal 12 8 3 3 2" xfId="5545"/>
    <cellStyle name="Normal 12 8 3 3 2 2" xfId="21770"/>
    <cellStyle name="Normal 12 8 3 3 3" xfId="18086"/>
    <cellStyle name="Normal 12 8 3 4" xfId="4364"/>
    <cellStyle name="Normal 12 8 3 4 2" xfId="20590"/>
    <cellStyle name="Normal 12 8 3 5" xfId="16906"/>
    <cellStyle name="Normal 12 8 4" xfId="859"/>
    <cellStyle name="Normal 12 8 4 2" xfId="2015"/>
    <cellStyle name="Normal 12 8 4 2 2" xfId="5708"/>
    <cellStyle name="Normal 12 8 4 2 2 2" xfId="21932"/>
    <cellStyle name="Normal 12 8 4 2 3" xfId="18248"/>
    <cellStyle name="Normal 12 8 4 3" xfId="4556"/>
    <cellStyle name="Normal 12 8 4 3 2" xfId="20782"/>
    <cellStyle name="Normal 12 8 4 4" xfId="17098"/>
    <cellStyle name="Normal 12 8 5" xfId="1527"/>
    <cellStyle name="Normal 12 8 5 2" xfId="5221"/>
    <cellStyle name="Normal 12 8 5 2 2" xfId="21446"/>
    <cellStyle name="Normal 12 8 5 3" xfId="17762"/>
    <cellStyle name="Normal 12 8 6" xfId="2519"/>
    <cellStyle name="Normal 12 8 6 2" xfId="6209"/>
    <cellStyle name="Normal 12 8 6 2 2" xfId="22433"/>
    <cellStyle name="Normal 12 8 6 3" xfId="18749"/>
    <cellStyle name="Normal 12 8 7" xfId="3972"/>
    <cellStyle name="Normal 12 8 7 2" xfId="20199"/>
    <cellStyle name="Normal 12 8 8" xfId="16515"/>
    <cellStyle name="Normal 12 9" xfId="243"/>
    <cellStyle name="Normal 12 9 2" xfId="449"/>
    <cellStyle name="Normal 12 9 2 2" xfId="1064"/>
    <cellStyle name="Normal 12 9 2 2 2" xfId="2201"/>
    <cellStyle name="Normal 12 9 2 2 2 2" xfId="5894"/>
    <cellStyle name="Normal 12 9 2 2 2 2 2" xfId="22118"/>
    <cellStyle name="Normal 12 9 2 2 2 3" xfId="18434"/>
    <cellStyle name="Normal 12 9 2 2 3" xfId="4761"/>
    <cellStyle name="Normal 12 9 2 2 3 2" xfId="20987"/>
    <cellStyle name="Normal 12 9 2 2 4" xfId="17303"/>
    <cellStyle name="Normal 12 9 2 3" xfId="1713"/>
    <cellStyle name="Normal 12 9 2 3 2" xfId="5407"/>
    <cellStyle name="Normal 12 9 2 3 2 2" xfId="21632"/>
    <cellStyle name="Normal 12 9 2 3 3" xfId="17948"/>
    <cellStyle name="Normal 12 9 2 4" xfId="4186"/>
    <cellStyle name="Normal 12 9 2 4 2" xfId="20412"/>
    <cellStyle name="Normal 12 9 2 5" xfId="16728"/>
    <cellStyle name="Normal 12 9 3" xfId="673"/>
    <cellStyle name="Normal 12 9 3 2" xfId="1270"/>
    <cellStyle name="Normal 12 9 3 2 2" xfId="2363"/>
    <cellStyle name="Normal 12 9 3 2 2 2" xfId="6056"/>
    <cellStyle name="Normal 12 9 3 2 2 2 2" xfId="22280"/>
    <cellStyle name="Normal 12 9 3 2 2 3" xfId="18596"/>
    <cellStyle name="Normal 12 9 3 2 3" xfId="4967"/>
    <cellStyle name="Normal 12 9 3 2 3 2" xfId="21193"/>
    <cellStyle name="Normal 12 9 3 2 4" xfId="17509"/>
    <cellStyle name="Normal 12 9 3 3" xfId="1875"/>
    <cellStyle name="Normal 12 9 3 3 2" xfId="5569"/>
    <cellStyle name="Normal 12 9 3 3 2 2" xfId="21794"/>
    <cellStyle name="Normal 12 9 3 3 3" xfId="18110"/>
    <cellStyle name="Normal 12 9 3 4" xfId="4392"/>
    <cellStyle name="Normal 12 9 3 4 2" xfId="20618"/>
    <cellStyle name="Normal 12 9 3 5" xfId="16934"/>
    <cellStyle name="Normal 12 9 4" xfId="883"/>
    <cellStyle name="Normal 12 9 4 2" xfId="2039"/>
    <cellStyle name="Normal 12 9 4 2 2" xfId="5732"/>
    <cellStyle name="Normal 12 9 4 2 2 2" xfId="21956"/>
    <cellStyle name="Normal 12 9 4 2 3" xfId="18272"/>
    <cellStyle name="Normal 12 9 4 3" xfId="4580"/>
    <cellStyle name="Normal 12 9 4 3 2" xfId="20806"/>
    <cellStyle name="Normal 12 9 4 4" xfId="17122"/>
    <cellStyle name="Normal 12 9 5" xfId="1551"/>
    <cellStyle name="Normal 12 9 5 2" xfId="5245"/>
    <cellStyle name="Normal 12 9 5 2 2" xfId="21470"/>
    <cellStyle name="Normal 12 9 5 3" xfId="17786"/>
    <cellStyle name="Normal 12 9 6" xfId="2547"/>
    <cellStyle name="Normal 12 9 6 2" xfId="6237"/>
    <cellStyle name="Normal 12 9 6 2 2" xfId="22461"/>
    <cellStyle name="Normal 12 9 6 3" xfId="18777"/>
    <cellStyle name="Normal 12 9 7" xfId="4000"/>
    <cellStyle name="Normal 12 9 7 2" xfId="20227"/>
    <cellStyle name="Normal 12 9 8" xfId="16543"/>
    <cellStyle name="Normal 13" xfId="8"/>
    <cellStyle name="Normal 14" xfId="9"/>
    <cellStyle name="Normal 14 10" xfId="290"/>
    <cellStyle name="Normal 14 10 2" xfId="478"/>
    <cellStyle name="Normal 14 10 2 2" xfId="1093"/>
    <cellStyle name="Normal 14 10 2 2 2" xfId="2226"/>
    <cellStyle name="Normal 14 10 2 2 2 2" xfId="5919"/>
    <cellStyle name="Normal 14 10 2 2 2 2 2" xfId="22143"/>
    <cellStyle name="Normal 14 10 2 2 2 3" xfId="18459"/>
    <cellStyle name="Normal 14 10 2 2 3" xfId="4790"/>
    <cellStyle name="Normal 14 10 2 2 3 2" xfId="21016"/>
    <cellStyle name="Normal 14 10 2 2 4" xfId="17332"/>
    <cellStyle name="Normal 14 10 2 3" xfId="1738"/>
    <cellStyle name="Normal 14 10 2 3 2" xfId="5432"/>
    <cellStyle name="Normal 14 10 2 3 2 2" xfId="21657"/>
    <cellStyle name="Normal 14 10 2 3 3" xfId="17973"/>
    <cellStyle name="Normal 14 10 2 4" xfId="4215"/>
    <cellStyle name="Normal 14 10 2 4 2" xfId="20441"/>
    <cellStyle name="Normal 14 10 2 5" xfId="16757"/>
    <cellStyle name="Normal 14 10 3" xfId="720"/>
    <cellStyle name="Normal 14 10 3 2" xfId="1299"/>
    <cellStyle name="Normal 14 10 3 2 2" xfId="2388"/>
    <cellStyle name="Normal 14 10 3 2 2 2" xfId="6081"/>
    <cellStyle name="Normal 14 10 3 2 2 2 2" xfId="22305"/>
    <cellStyle name="Normal 14 10 3 2 2 3" xfId="18621"/>
    <cellStyle name="Normal 14 10 3 2 3" xfId="4996"/>
    <cellStyle name="Normal 14 10 3 2 3 2" xfId="21222"/>
    <cellStyle name="Normal 14 10 3 2 4" xfId="17538"/>
    <cellStyle name="Normal 14 10 3 3" xfId="1900"/>
    <cellStyle name="Normal 14 10 3 3 2" xfId="5594"/>
    <cellStyle name="Normal 14 10 3 3 2 2" xfId="21819"/>
    <cellStyle name="Normal 14 10 3 3 3" xfId="18135"/>
    <cellStyle name="Normal 14 10 3 4" xfId="4421"/>
    <cellStyle name="Normal 14 10 3 4 2" xfId="20647"/>
    <cellStyle name="Normal 14 10 3 5" xfId="16963"/>
    <cellStyle name="Normal 14 10 4" xfId="908"/>
    <cellStyle name="Normal 14 10 4 2" xfId="2064"/>
    <cellStyle name="Normal 14 10 4 2 2" xfId="5757"/>
    <cellStyle name="Normal 14 10 4 2 2 2" xfId="21981"/>
    <cellStyle name="Normal 14 10 4 2 3" xfId="18297"/>
    <cellStyle name="Normal 14 10 4 3" xfId="4605"/>
    <cellStyle name="Normal 14 10 4 3 2" xfId="20831"/>
    <cellStyle name="Normal 14 10 4 4" xfId="17147"/>
    <cellStyle name="Normal 14 10 5" xfId="1576"/>
    <cellStyle name="Normal 14 10 5 2" xfId="5270"/>
    <cellStyle name="Normal 14 10 5 2 2" xfId="21495"/>
    <cellStyle name="Normal 14 10 5 3" xfId="17811"/>
    <cellStyle name="Normal 14 10 6" xfId="2576"/>
    <cellStyle name="Normal 14 10 6 2" xfId="6266"/>
    <cellStyle name="Normal 14 10 6 2 2" xfId="22490"/>
    <cellStyle name="Normal 14 10 6 3" xfId="18806"/>
    <cellStyle name="Normal 14 10 7" xfId="4029"/>
    <cellStyle name="Normal 14 10 7 2" xfId="20256"/>
    <cellStyle name="Normal 14 10 8" xfId="16572"/>
    <cellStyle name="Normal 14 11" xfId="316"/>
    <cellStyle name="Normal 14 11 2" xfId="932"/>
    <cellStyle name="Normal 14 11 2 2" xfId="2088"/>
    <cellStyle name="Normal 14 11 2 2 2" xfId="5781"/>
    <cellStyle name="Normal 14 11 2 2 2 2" xfId="22005"/>
    <cellStyle name="Normal 14 11 2 2 3" xfId="18321"/>
    <cellStyle name="Normal 14 11 2 3" xfId="4629"/>
    <cellStyle name="Normal 14 11 2 3 2" xfId="20855"/>
    <cellStyle name="Normal 14 11 2 4" xfId="17171"/>
    <cellStyle name="Normal 14 11 3" xfId="1600"/>
    <cellStyle name="Normal 14 11 3 2" xfId="5294"/>
    <cellStyle name="Normal 14 11 3 2 2" xfId="21519"/>
    <cellStyle name="Normal 14 11 3 3" xfId="17835"/>
    <cellStyle name="Normal 14 11 4" xfId="4053"/>
    <cellStyle name="Normal 14 11 4 2" xfId="20280"/>
    <cellStyle name="Normal 14 11 5" xfId="16596"/>
    <cellStyle name="Normal 14 12" xfId="523"/>
    <cellStyle name="Normal 14 12 2" xfId="1138"/>
    <cellStyle name="Normal 14 12 2 2" xfId="2250"/>
    <cellStyle name="Normal 14 12 2 2 2" xfId="5943"/>
    <cellStyle name="Normal 14 12 2 2 2 2" xfId="22167"/>
    <cellStyle name="Normal 14 12 2 2 3" xfId="18483"/>
    <cellStyle name="Normal 14 12 2 3" xfId="4835"/>
    <cellStyle name="Normal 14 12 2 3 2" xfId="21061"/>
    <cellStyle name="Normal 14 12 2 4" xfId="17377"/>
    <cellStyle name="Normal 14 12 3" xfId="1762"/>
    <cellStyle name="Normal 14 12 3 2" xfId="5456"/>
    <cellStyle name="Normal 14 12 3 2 2" xfId="21681"/>
    <cellStyle name="Normal 14 12 3 3" xfId="17997"/>
    <cellStyle name="Normal 14 12 4" xfId="4260"/>
    <cellStyle name="Normal 14 12 4 2" xfId="20486"/>
    <cellStyle name="Normal 14 12 5" xfId="16802"/>
    <cellStyle name="Normal 14 13" xfId="770"/>
    <cellStyle name="Normal 14 13 2" xfId="1926"/>
    <cellStyle name="Normal 14 13 2 2" xfId="5619"/>
    <cellStyle name="Normal 14 13 2 2 2" xfId="21843"/>
    <cellStyle name="Normal 14 13 2 3" xfId="18159"/>
    <cellStyle name="Normal 14 13 3" xfId="4467"/>
    <cellStyle name="Normal 14 13 3 2" xfId="20693"/>
    <cellStyle name="Normal 14 13 4" xfId="17009"/>
    <cellStyle name="Normal 14 14" xfId="1438"/>
    <cellStyle name="Normal 14 14 2" xfId="5132"/>
    <cellStyle name="Normal 14 14 2 2" xfId="21357"/>
    <cellStyle name="Normal 14 14 3" xfId="17673"/>
    <cellStyle name="Normal 14 15" xfId="2412"/>
    <cellStyle name="Normal 14 15 2" xfId="6105"/>
    <cellStyle name="Normal 14 15 2 2" xfId="22329"/>
    <cellStyle name="Normal 14 15 3" xfId="18645"/>
    <cellStyle name="Normal 14 16" xfId="3867"/>
    <cellStyle name="Normal 14 16 2" xfId="20095"/>
    <cellStyle name="Normal 14 17" xfId="16411"/>
    <cellStyle name="Normal 14 2" xfId="107"/>
    <cellStyle name="Normal 14 2 10" xfId="776"/>
    <cellStyle name="Normal 14 2 10 2" xfId="1932"/>
    <cellStyle name="Normal 14 2 10 2 2" xfId="5625"/>
    <cellStyle name="Normal 14 2 10 2 2 2" xfId="21849"/>
    <cellStyle name="Normal 14 2 10 2 3" xfId="18165"/>
    <cellStyle name="Normal 14 2 10 3" xfId="4473"/>
    <cellStyle name="Normal 14 2 10 3 2" xfId="20699"/>
    <cellStyle name="Normal 14 2 10 4" xfId="17015"/>
    <cellStyle name="Normal 14 2 11" xfId="1444"/>
    <cellStyle name="Normal 14 2 11 2" xfId="5138"/>
    <cellStyle name="Normal 14 2 11 2 2" xfId="21363"/>
    <cellStyle name="Normal 14 2 11 3" xfId="17679"/>
    <cellStyle name="Normal 14 2 12" xfId="2420"/>
    <cellStyle name="Normal 14 2 12 2" xfId="6112"/>
    <cellStyle name="Normal 14 2 12 2 2" xfId="22336"/>
    <cellStyle name="Normal 14 2 12 3" xfId="18652"/>
    <cellStyle name="Normal 14 2 13" xfId="3875"/>
    <cellStyle name="Normal 14 2 13 2" xfId="20102"/>
    <cellStyle name="Normal 14 2 14" xfId="16418"/>
    <cellStyle name="Normal 14 2 2" xfId="137"/>
    <cellStyle name="Normal 14 2 2 2" xfId="344"/>
    <cellStyle name="Normal 14 2 2 2 2" xfId="959"/>
    <cellStyle name="Normal 14 2 2 2 2 2" xfId="2112"/>
    <cellStyle name="Normal 14 2 2 2 2 2 2" xfId="5805"/>
    <cellStyle name="Normal 14 2 2 2 2 2 2 2" xfId="22029"/>
    <cellStyle name="Normal 14 2 2 2 2 2 3" xfId="18345"/>
    <cellStyle name="Normal 14 2 2 2 2 3" xfId="4656"/>
    <cellStyle name="Normal 14 2 2 2 2 3 2" xfId="20882"/>
    <cellStyle name="Normal 14 2 2 2 2 4" xfId="17198"/>
    <cellStyle name="Normal 14 2 2 2 3" xfId="1624"/>
    <cellStyle name="Normal 14 2 2 2 3 2" xfId="5318"/>
    <cellStyle name="Normal 14 2 2 2 3 2 2" xfId="21543"/>
    <cellStyle name="Normal 14 2 2 2 3 3" xfId="17859"/>
    <cellStyle name="Normal 14 2 2 2 4" xfId="4081"/>
    <cellStyle name="Normal 14 2 2 2 4 2" xfId="20307"/>
    <cellStyle name="Normal 14 2 2 2 5" xfId="16623"/>
    <cellStyle name="Normal 14 2 2 3" xfId="568"/>
    <cellStyle name="Normal 14 2 2 3 2" xfId="1165"/>
    <cellStyle name="Normal 14 2 2 3 2 2" xfId="2274"/>
    <cellStyle name="Normal 14 2 2 3 2 2 2" xfId="5967"/>
    <cellStyle name="Normal 14 2 2 3 2 2 2 2" xfId="22191"/>
    <cellStyle name="Normal 14 2 2 3 2 2 3" xfId="18507"/>
    <cellStyle name="Normal 14 2 2 3 2 3" xfId="4862"/>
    <cellStyle name="Normal 14 2 2 3 2 3 2" xfId="21088"/>
    <cellStyle name="Normal 14 2 2 3 2 4" xfId="17404"/>
    <cellStyle name="Normal 14 2 2 3 3" xfId="1786"/>
    <cellStyle name="Normal 14 2 2 3 3 2" xfId="5480"/>
    <cellStyle name="Normal 14 2 2 3 3 2 2" xfId="21705"/>
    <cellStyle name="Normal 14 2 2 3 3 3" xfId="18021"/>
    <cellStyle name="Normal 14 2 2 3 4" xfId="4287"/>
    <cellStyle name="Normal 14 2 2 3 4 2" xfId="20513"/>
    <cellStyle name="Normal 14 2 2 3 5" xfId="16829"/>
    <cellStyle name="Normal 14 2 2 4" xfId="794"/>
    <cellStyle name="Normal 14 2 2 4 2" xfId="1950"/>
    <cellStyle name="Normal 14 2 2 4 2 2" xfId="5643"/>
    <cellStyle name="Normal 14 2 2 4 2 2 2" xfId="21867"/>
    <cellStyle name="Normal 14 2 2 4 2 3" xfId="18183"/>
    <cellStyle name="Normal 14 2 2 4 3" xfId="4491"/>
    <cellStyle name="Normal 14 2 2 4 3 2" xfId="20717"/>
    <cellStyle name="Normal 14 2 2 4 4" xfId="17033"/>
    <cellStyle name="Normal 14 2 2 5" xfId="1462"/>
    <cellStyle name="Normal 14 2 2 5 2" xfId="5156"/>
    <cellStyle name="Normal 14 2 2 5 2 2" xfId="21381"/>
    <cellStyle name="Normal 14 2 2 5 3" xfId="17697"/>
    <cellStyle name="Normal 14 2 2 6" xfId="2441"/>
    <cellStyle name="Normal 14 2 2 6 2" xfId="6132"/>
    <cellStyle name="Normal 14 2 2 6 2 2" xfId="22356"/>
    <cellStyle name="Normal 14 2 2 6 3" xfId="18672"/>
    <cellStyle name="Normal 14 2 2 7" xfId="3895"/>
    <cellStyle name="Normal 14 2 2 7 2" xfId="20122"/>
    <cellStyle name="Normal 14 2 2 8" xfId="16438"/>
    <cellStyle name="Normal 14 2 3" xfId="166"/>
    <cellStyle name="Normal 14 2 3 2" xfId="372"/>
    <cellStyle name="Normal 14 2 3 2 2" xfId="987"/>
    <cellStyle name="Normal 14 2 3 2 2 2" xfId="2136"/>
    <cellStyle name="Normal 14 2 3 2 2 2 2" xfId="5829"/>
    <cellStyle name="Normal 14 2 3 2 2 2 2 2" xfId="22053"/>
    <cellStyle name="Normal 14 2 3 2 2 2 3" xfId="18369"/>
    <cellStyle name="Normal 14 2 3 2 2 3" xfId="4684"/>
    <cellStyle name="Normal 14 2 3 2 2 3 2" xfId="20910"/>
    <cellStyle name="Normal 14 2 3 2 2 4" xfId="17226"/>
    <cellStyle name="Normal 14 2 3 2 3" xfId="1648"/>
    <cellStyle name="Normal 14 2 3 2 3 2" xfId="5342"/>
    <cellStyle name="Normal 14 2 3 2 3 2 2" xfId="21567"/>
    <cellStyle name="Normal 14 2 3 2 3 3" xfId="17883"/>
    <cellStyle name="Normal 14 2 3 2 4" xfId="4109"/>
    <cellStyle name="Normal 14 2 3 2 4 2" xfId="20335"/>
    <cellStyle name="Normal 14 2 3 2 5" xfId="16651"/>
    <cellStyle name="Normal 14 2 3 3" xfId="596"/>
    <cellStyle name="Normal 14 2 3 3 2" xfId="1193"/>
    <cellStyle name="Normal 14 2 3 3 2 2" xfId="2298"/>
    <cellStyle name="Normal 14 2 3 3 2 2 2" xfId="5991"/>
    <cellStyle name="Normal 14 2 3 3 2 2 2 2" xfId="22215"/>
    <cellStyle name="Normal 14 2 3 3 2 2 3" xfId="18531"/>
    <cellStyle name="Normal 14 2 3 3 2 3" xfId="4890"/>
    <cellStyle name="Normal 14 2 3 3 2 3 2" xfId="21116"/>
    <cellStyle name="Normal 14 2 3 3 2 4" xfId="17432"/>
    <cellStyle name="Normal 14 2 3 3 3" xfId="1810"/>
    <cellStyle name="Normal 14 2 3 3 3 2" xfId="5504"/>
    <cellStyle name="Normal 14 2 3 3 3 2 2" xfId="21729"/>
    <cellStyle name="Normal 14 2 3 3 3 3" xfId="18045"/>
    <cellStyle name="Normal 14 2 3 3 4" xfId="4315"/>
    <cellStyle name="Normal 14 2 3 3 4 2" xfId="20541"/>
    <cellStyle name="Normal 14 2 3 3 5" xfId="16857"/>
    <cellStyle name="Normal 14 2 3 4" xfId="818"/>
    <cellStyle name="Normal 14 2 3 4 2" xfId="1974"/>
    <cellStyle name="Normal 14 2 3 4 2 2" xfId="5667"/>
    <cellStyle name="Normal 14 2 3 4 2 2 2" xfId="21891"/>
    <cellStyle name="Normal 14 2 3 4 2 3" xfId="18207"/>
    <cellStyle name="Normal 14 2 3 4 3" xfId="4515"/>
    <cellStyle name="Normal 14 2 3 4 3 2" xfId="20741"/>
    <cellStyle name="Normal 14 2 3 4 4" xfId="17057"/>
    <cellStyle name="Normal 14 2 3 5" xfId="1486"/>
    <cellStyle name="Normal 14 2 3 5 2" xfId="5180"/>
    <cellStyle name="Normal 14 2 3 5 2 2" xfId="21405"/>
    <cellStyle name="Normal 14 2 3 5 3" xfId="17721"/>
    <cellStyle name="Normal 14 2 3 6" xfId="2470"/>
    <cellStyle name="Normal 14 2 3 6 2" xfId="6160"/>
    <cellStyle name="Normal 14 2 3 6 2 2" xfId="22384"/>
    <cellStyle name="Normal 14 2 3 6 3" xfId="18700"/>
    <cellStyle name="Normal 14 2 3 7" xfId="3923"/>
    <cellStyle name="Normal 14 2 3 7 2" xfId="20150"/>
    <cellStyle name="Normal 14 2 3 8" xfId="16466"/>
    <cellStyle name="Normal 14 2 4" xfId="194"/>
    <cellStyle name="Normal 14 2 4 2" xfId="400"/>
    <cellStyle name="Normal 14 2 4 2 2" xfId="1015"/>
    <cellStyle name="Normal 14 2 4 2 2 2" xfId="2160"/>
    <cellStyle name="Normal 14 2 4 2 2 2 2" xfId="5853"/>
    <cellStyle name="Normal 14 2 4 2 2 2 2 2" xfId="22077"/>
    <cellStyle name="Normal 14 2 4 2 2 2 3" xfId="18393"/>
    <cellStyle name="Normal 14 2 4 2 2 3" xfId="4712"/>
    <cellStyle name="Normal 14 2 4 2 2 3 2" xfId="20938"/>
    <cellStyle name="Normal 14 2 4 2 2 4" xfId="17254"/>
    <cellStyle name="Normal 14 2 4 2 3" xfId="1672"/>
    <cellStyle name="Normal 14 2 4 2 3 2" xfId="5366"/>
    <cellStyle name="Normal 14 2 4 2 3 2 2" xfId="21591"/>
    <cellStyle name="Normal 14 2 4 2 3 3" xfId="17907"/>
    <cellStyle name="Normal 14 2 4 2 4" xfId="4137"/>
    <cellStyle name="Normal 14 2 4 2 4 2" xfId="20363"/>
    <cellStyle name="Normal 14 2 4 2 5" xfId="16679"/>
    <cellStyle name="Normal 14 2 4 3" xfId="624"/>
    <cellStyle name="Normal 14 2 4 3 2" xfId="1221"/>
    <cellStyle name="Normal 14 2 4 3 2 2" xfId="2322"/>
    <cellStyle name="Normal 14 2 4 3 2 2 2" xfId="6015"/>
    <cellStyle name="Normal 14 2 4 3 2 2 2 2" xfId="22239"/>
    <cellStyle name="Normal 14 2 4 3 2 2 3" xfId="18555"/>
    <cellStyle name="Normal 14 2 4 3 2 3" xfId="4918"/>
    <cellStyle name="Normal 14 2 4 3 2 3 2" xfId="21144"/>
    <cellStyle name="Normal 14 2 4 3 2 4" xfId="17460"/>
    <cellStyle name="Normal 14 2 4 3 3" xfId="1834"/>
    <cellStyle name="Normal 14 2 4 3 3 2" xfId="5528"/>
    <cellStyle name="Normal 14 2 4 3 3 2 2" xfId="21753"/>
    <cellStyle name="Normal 14 2 4 3 3 3" xfId="18069"/>
    <cellStyle name="Normal 14 2 4 3 4" xfId="4343"/>
    <cellStyle name="Normal 14 2 4 3 4 2" xfId="20569"/>
    <cellStyle name="Normal 14 2 4 3 5" xfId="16885"/>
    <cellStyle name="Normal 14 2 4 4" xfId="842"/>
    <cellStyle name="Normal 14 2 4 4 2" xfId="1998"/>
    <cellStyle name="Normal 14 2 4 4 2 2" xfId="5691"/>
    <cellStyle name="Normal 14 2 4 4 2 2 2" xfId="21915"/>
    <cellStyle name="Normal 14 2 4 4 2 3" xfId="18231"/>
    <cellStyle name="Normal 14 2 4 4 3" xfId="4539"/>
    <cellStyle name="Normal 14 2 4 4 3 2" xfId="20765"/>
    <cellStyle name="Normal 14 2 4 4 4" xfId="17081"/>
    <cellStyle name="Normal 14 2 4 5" xfId="1510"/>
    <cellStyle name="Normal 14 2 4 5 2" xfId="5204"/>
    <cellStyle name="Normal 14 2 4 5 2 2" xfId="21429"/>
    <cellStyle name="Normal 14 2 4 5 3" xfId="17745"/>
    <cellStyle name="Normal 14 2 4 6" xfId="2498"/>
    <cellStyle name="Normal 14 2 4 6 2" xfId="6188"/>
    <cellStyle name="Normal 14 2 4 6 2 2" xfId="22412"/>
    <cellStyle name="Normal 14 2 4 6 3" xfId="18728"/>
    <cellStyle name="Normal 14 2 4 7" xfId="3951"/>
    <cellStyle name="Normal 14 2 4 7 2" xfId="20178"/>
    <cellStyle name="Normal 14 2 4 8" xfId="16494"/>
    <cellStyle name="Normal 14 2 5" xfId="224"/>
    <cellStyle name="Normal 14 2 5 2" xfId="430"/>
    <cellStyle name="Normal 14 2 5 2 2" xfId="1045"/>
    <cellStyle name="Normal 14 2 5 2 2 2" xfId="2184"/>
    <cellStyle name="Normal 14 2 5 2 2 2 2" xfId="5877"/>
    <cellStyle name="Normal 14 2 5 2 2 2 2 2" xfId="22101"/>
    <cellStyle name="Normal 14 2 5 2 2 2 3" xfId="18417"/>
    <cellStyle name="Normal 14 2 5 2 2 3" xfId="4742"/>
    <cellStyle name="Normal 14 2 5 2 2 3 2" xfId="20968"/>
    <cellStyle name="Normal 14 2 5 2 2 4" xfId="17284"/>
    <cellStyle name="Normal 14 2 5 2 3" xfId="1696"/>
    <cellStyle name="Normal 14 2 5 2 3 2" xfId="5390"/>
    <cellStyle name="Normal 14 2 5 2 3 2 2" xfId="21615"/>
    <cellStyle name="Normal 14 2 5 2 3 3" xfId="17931"/>
    <cellStyle name="Normal 14 2 5 2 4" xfId="4167"/>
    <cellStyle name="Normal 14 2 5 2 4 2" xfId="20393"/>
    <cellStyle name="Normal 14 2 5 2 5" xfId="16709"/>
    <cellStyle name="Normal 14 2 5 3" xfId="654"/>
    <cellStyle name="Normal 14 2 5 3 2" xfId="1251"/>
    <cellStyle name="Normal 14 2 5 3 2 2" xfId="2346"/>
    <cellStyle name="Normal 14 2 5 3 2 2 2" xfId="6039"/>
    <cellStyle name="Normal 14 2 5 3 2 2 2 2" xfId="22263"/>
    <cellStyle name="Normal 14 2 5 3 2 2 3" xfId="18579"/>
    <cellStyle name="Normal 14 2 5 3 2 3" xfId="4948"/>
    <cellStyle name="Normal 14 2 5 3 2 3 2" xfId="21174"/>
    <cellStyle name="Normal 14 2 5 3 2 4" xfId="17490"/>
    <cellStyle name="Normal 14 2 5 3 3" xfId="1858"/>
    <cellStyle name="Normal 14 2 5 3 3 2" xfId="5552"/>
    <cellStyle name="Normal 14 2 5 3 3 2 2" xfId="21777"/>
    <cellStyle name="Normal 14 2 5 3 3 3" xfId="18093"/>
    <cellStyle name="Normal 14 2 5 3 4" xfId="4373"/>
    <cellStyle name="Normal 14 2 5 3 4 2" xfId="20599"/>
    <cellStyle name="Normal 14 2 5 3 5" xfId="16915"/>
    <cellStyle name="Normal 14 2 5 4" xfId="866"/>
    <cellStyle name="Normal 14 2 5 4 2" xfId="2022"/>
    <cellStyle name="Normal 14 2 5 4 2 2" xfId="5715"/>
    <cellStyle name="Normal 14 2 5 4 2 2 2" xfId="21939"/>
    <cellStyle name="Normal 14 2 5 4 2 3" xfId="18255"/>
    <cellStyle name="Normal 14 2 5 4 3" xfId="4563"/>
    <cellStyle name="Normal 14 2 5 4 3 2" xfId="20789"/>
    <cellStyle name="Normal 14 2 5 4 4" xfId="17105"/>
    <cellStyle name="Normal 14 2 5 5" xfId="1534"/>
    <cellStyle name="Normal 14 2 5 5 2" xfId="5228"/>
    <cellStyle name="Normal 14 2 5 5 2 2" xfId="21453"/>
    <cellStyle name="Normal 14 2 5 5 3" xfId="17769"/>
    <cellStyle name="Normal 14 2 5 6" xfId="2528"/>
    <cellStyle name="Normal 14 2 5 6 2" xfId="6218"/>
    <cellStyle name="Normal 14 2 5 6 2 2" xfId="22442"/>
    <cellStyle name="Normal 14 2 5 6 3" xfId="18758"/>
    <cellStyle name="Normal 14 2 5 7" xfId="3981"/>
    <cellStyle name="Normal 14 2 5 7 2" xfId="20208"/>
    <cellStyle name="Normal 14 2 5 8" xfId="16524"/>
    <cellStyle name="Normal 14 2 6" xfId="259"/>
    <cellStyle name="Normal 14 2 6 2" xfId="456"/>
    <cellStyle name="Normal 14 2 6 2 2" xfId="1071"/>
    <cellStyle name="Normal 14 2 6 2 2 2" xfId="2208"/>
    <cellStyle name="Normal 14 2 6 2 2 2 2" xfId="5901"/>
    <cellStyle name="Normal 14 2 6 2 2 2 2 2" xfId="22125"/>
    <cellStyle name="Normal 14 2 6 2 2 2 3" xfId="18441"/>
    <cellStyle name="Normal 14 2 6 2 2 3" xfId="4768"/>
    <cellStyle name="Normal 14 2 6 2 2 3 2" xfId="20994"/>
    <cellStyle name="Normal 14 2 6 2 2 4" xfId="17310"/>
    <cellStyle name="Normal 14 2 6 2 3" xfId="1720"/>
    <cellStyle name="Normal 14 2 6 2 3 2" xfId="5414"/>
    <cellStyle name="Normal 14 2 6 2 3 2 2" xfId="21639"/>
    <cellStyle name="Normal 14 2 6 2 3 3" xfId="17955"/>
    <cellStyle name="Normal 14 2 6 2 4" xfId="4193"/>
    <cellStyle name="Normal 14 2 6 2 4 2" xfId="20419"/>
    <cellStyle name="Normal 14 2 6 2 5" xfId="16735"/>
    <cellStyle name="Normal 14 2 6 3" xfId="689"/>
    <cellStyle name="Normal 14 2 6 3 2" xfId="1277"/>
    <cellStyle name="Normal 14 2 6 3 2 2" xfId="2370"/>
    <cellStyle name="Normal 14 2 6 3 2 2 2" xfId="6063"/>
    <cellStyle name="Normal 14 2 6 3 2 2 2 2" xfId="22287"/>
    <cellStyle name="Normal 14 2 6 3 2 2 3" xfId="18603"/>
    <cellStyle name="Normal 14 2 6 3 2 3" xfId="4974"/>
    <cellStyle name="Normal 14 2 6 3 2 3 2" xfId="21200"/>
    <cellStyle name="Normal 14 2 6 3 2 4" xfId="17516"/>
    <cellStyle name="Normal 14 2 6 3 3" xfId="1882"/>
    <cellStyle name="Normal 14 2 6 3 3 2" xfId="5576"/>
    <cellStyle name="Normal 14 2 6 3 3 2 2" xfId="21801"/>
    <cellStyle name="Normal 14 2 6 3 3 3" xfId="18117"/>
    <cellStyle name="Normal 14 2 6 3 4" xfId="4399"/>
    <cellStyle name="Normal 14 2 6 3 4 2" xfId="20625"/>
    <cellStyle name="Normal 14 2 6 3 5" xfId="16941"/>
    <cellStyle name="Normal 14 2 6 4" xfId="890"/>
    <cellStyle name="Normal 14 2 6 4 2" xfId="2046"/>
    <cellStyle name="Normal 14 2 6 4 2 2" xfId="5739"/>
    <cellStyle name="Normal 14 2 6 4 2 2 2" xfId="21963"/>
    <cellStyle name="Normal 14 2 6 4 2 3" xfId="18279"/>
    <cellStyle name="Normal 14 2 6 4 3" xfId="4587"/>
    <cellStyle name="Normal 14 2 6 4 3 2" xfId="20813"/>
    <cellStyle name="Normal 14 2 6 4 4" xfId="17129"/>
    <cellStyle name="Normal 14 2 6 5" xfId="1558"/>
    <cellStyle name="Normal 14 2 6 5 2" xfId="5252"/>
    <cellStyle name="Normal 14 2 6 5 2 2" xfId="21477"/>
    <cellStyle name="Normal 14 2 6 5 3" xfId="17793"/>
    <cellStyle name="Normal 14 2 6 6" xfId="2554"/>
    <cellStyle name="Normal 14 2 6 6 2" xfId="6244"/>
    <cellStyle name="Normal 14 2 6 6 2 2" xfId="22468"/>
    <cellStyle name="Normal 14 2 6 6 3" xfId="18784"/>
    <cellStyle name="Normal 14 2 6 7" xfId="4007"/>
    <cellStyle name="Normal 14 2 6 7 2" xfId="20234"/>
    <cellStyle name="Normal 14 2 6 8" xfId="16550"/>
    <cellStyle name="Normal 14 2 7" xfId="297"/>
    <cellStyle name="Normal 14 2 7 2" xfId="484"/>
    <cellStyle name="Normal 14 2 7 2 2" xfId="1099"/>
    <cellStyle name="Normal 14 2 7 2 2 2" xfId="2232"/>
    <cellStyle name="Normal 14 2 7 2 2 2 2" xfId="5925"/>
    <cellStyle name="Normal 14 2 7 2 2 2 2 2" xfId="22149"/>
    <cellStyle name="Normal 14 2 7 2 2 2 3" xfId="18465"/>
    <cellStyle name="Normal 14 2 7 2 2 3" xfId="4796"/>
    <cellStyle name="Normal 14 2 7 2 2 3 2" xfId="21022"/>
    <cellStyle name="Normal 14 2 7 2 2 4" xfId="17338"/>
    <cellStyle name="Normal 14 2 7 2 3" xfId="1744"/>
    <cellStyle name="Normal 14 2 7 2 3 2" xfId="5438"/>
    <cellStyle name="Normal 14 2 7 2 3 2 2" xfId="21663"/>
    <cellStyle name="Normal 14 2 7 2 3 3" xfId="17979"/>
    <cellStyle name="Normal 14 2 7 2 4" xfId="4221"/>
    <cellStyle name="Normal 14 2 7 2 4 2" xfId="20447"/>
    <cellStyle name="Normal 14 2 7 2 5" xfId="16763"/>
    <cellStyle name="Normal 14 2 7 3" xfId="726"/>
    <cellStyle name="Normal 14 2 7 3 2" xfId="1305"/>
    <cellStyle name="Normal 14 2 7 3 2 2" xfId="2394"/>
    <cellStyle name="Normal 14 2 7 3 2 2 2" xfId="6087"/>
    <cellStyle name="Normal 14 2 7 3 2 2 2 2" xfId="22311"/>
    <cellStyle name="Normal 14 2 7 3 2 2 3" xfId="18627"/>
    <cellStyle name="Normal 14 2 7 3 2 3" xfId="5002"/>
    <cellStyle name="Normal 14 2 7 3 2 3 2" xfId="21228"/>
    <cellStyle name="Normal 14 2 7 3 2 4" xfId="17544"/>
    <cellStyle name="Normal 14 2 7 3 3" xfId="1906"/>
    <cellStyle name="Normal 14 2 7 3 3 2" xfId="5600"/>
    <cellStyle name="Normal 14 2 7 3 3 2 2" xfId="21825"/>
    <cellStyle name="Normal 14 2 7 3 3 3" xfId="18141"/>
    <cellStyle name="Normal 14 2 7 3 4" xfId="4427"/>
    <cellStyle name="Normal 14 2 7 3 4 2" xfId="20653"/>
    <cellStyle name="Normal 14 2 7 3 5" xfId="16969"/>
    <cellStyle name="Normal 14 2 7 4" xfId="914"/>
    <cellStyle name="Normal 14 2 7 4 2" xfId="2070"/>
    <cellStyle name="Normal 14 2 7 4 2 2" xfId="5763"/>
    <cellStyle name="Normal 14 2 7 4 2 2 2" xfId="21987"/>
    <cellStyle name="Normal 14 2 7 4 2 3" xfId="18303"/>
    <cellStyle name="Normal 14 2 7 4 3" xfId="4611"/>
    <cellStyle name="Normal 14 2 7 4 3 2" xfId="20837"/>
    <cellStyle name="Normal 14 2 7 4 4" xfId="17153"/>
    <cellStyle name="Normal 14 2 7 5" xfId="1582"/>
    <cellStyle name="Normal 14 2 7 5 2" xfId="5276"/>
    <cellStyle name="Normal 14 2 7 5 2 2" xfId="21501"/>
    <cellStyle name="Normal 14 2 7 5 3" xfId="17817"/>
    <cellStyle name="Normal 14 2 7 6" xfId="2583"/>
    <cellStyle name="Normal 14 2 7 6 2" xfId="6272"/>
    <cellStyle name="Normal 14 2 7 6 2 2" xfId="22496"/>
    <cellStyle name="Normal 14 2 7 6 3" xfId="18812"/>
    <cellStyle name="Normal 14 2 7 7" xfId="4035"/>
    <cellStyle name="Normal 14 2 7 7 2" xfId="20262"/>
    <cellStyle name="Normal 14 2 7 8" xfId="16578"/>
    <cellStyle name="Normal 14 2 8" xfId="323"/>
    <cellStyle name="Normal 14 2 8 2" xfId="939"/>
    <cellStyle name="Normal 14 2 8 2 2" xfId="2094"/>
    <cellStyle name="Normal 14 2 8 2 2 2" xfId="5787"/>
    <cellStyle name="Normal 14 2 8 2 2 2 2" xfId="22011"/>
    <cellStyle name="Normal 14 2 8 2 2 3" xfId="18327"/>
    <cellStyle name="Normal 14 2 8 2 3" xfId="4636"/>
    <cellStyle name="Normal 14 2 8 2 3 2" xfId="20862"/>
    <cellStyle name="Normal 14 2 8 2 4" xfId="17178"/>
    <cellStyle name="Normal 14 2 8 3" xfId="1606"/>
    <cellStyle name="Normal 14 2 8 3 2" xfId="5300"/>
    <cellStyle name="Normal 14 2 8 3 2 2" xfId="21525"/>
    <cellStyle name="Normal 14 2 8 3 3" xfId="17841"/>
    <cellStyle name="Normal 14 2 8 4" xfId="4060"/>
    <cellStyle name="Normal 14 2 8 4 2" xfId="20287"/>
    <cellStyle name="Normal 14 2 8 5" xfId="16603"/>
    <cellStyle name="Normal 14 2 9" xfId="539"/>
    <cellStyle name="Normal 14 2 9 2" xfId="1145"/>
    <cellStyle name="Normal 14 2 9 2 2" xfId="2256"/>
    <cellStyle name="Normal 14 2 9 2 2 2" xfId="5949"/>
    <cellStyle name="Normal 14 2 9 2 2 2 2" xfId="22173"/>
    <cellStyle name="Normal 14 2 9 2 2 3" xfId="18489"/>
    <cellStyle name="Normal 14 2 9 2 3" xfId="4842"/>
    <cellStyle name="Normal 14 2 9 2 3 2" xfId="21068"/>
    <cellStyle name="Normal 14 2 9 2 4" xfId="17384"/>
    <cellStyle name="Normal 14 2 9 3" xfId="1768"/>
    <cellStyle name="Normal 14 2 9 3 2" xfId="5462"/>
    <cellStyle name="Normal 14 2 9 3 2 2" xfId="21687"/>
    <cellStyle name="Normal 14 2 9 3 3" xfId="18003"/>
    <cellStyle name="Normal 14 2 9 4" xfId="4267"/>
    <cellStyle name="Normal 14 2 9 4 2" xfId="20493"/>
    <cellStyle name="Normal 14 2 9 5" xfId="16809"/>
    <cellStyle name="Normal 14 3" xfId="114"/>
    <cellStyle name="Normal 14 3 10" xfId="782"/>
    <cellStyle name="Normal 14 3 10 2" xfId="1938"/>
    <cellStyle name="Normal 14 3 10 2 2" xfId="5631"/>
    <cellStyle name="Normal 14 3 10 2 2 2" xfId="21855"/>
    <cellStyle name="Normal 14 3 10 2 3" xfId="18171"/>
    <cellStyle name="Normal 14 3 10 3" xfId="4479"/>
    <cellStyle name="Normal 14 3 10 3 2" xfId="20705"/>
    <cellStyle name="Normal 14 3 10 4" xfId="17021"/>
    <cellStyle name="Normal 14 3 11" xfId="1450"/>
    <cellStyle name="Normal 14 3 11 2" xfId="5144"/>
    <cellStyle name="Normal 14 3 11 2 2" xfId="21369"/>
    <cellStyle name="Normal 14 3 11 3" xfId="17685"/>
    <cellStyle name="Normal 14 3 12" xfId="2427"/>
    <cellStyle name="Normal 14 3 12 2" xfId="6119"/>
    <cellStyle name="Normal 14 3 12 2 2" xfId="22343"/>
    <cellStyle name="Normal 14 3 12 3" xfId="18659"/>
    <cellStyle name="Normal 14 3 13" xfId="3882"/>
    <cellStyle name="Normal 14 3 13 2" xfId="20109"/>
    <cellStyle name="Normal 14 3 14" xfId="16425"/>
    <cellStyle name="Normal 14 3 2" xfId="144"/>
    <cellStyle name="Normal 14 3 2 2" xfId="351"/>
    <cellStyle name="Normal 14 3 2 2 2" xfId="966"/>
    <cellStyle name="Normal 14 3 2 2 2 2" xfId="2118"/>
    <cellStyle name="Normal 14 3 2 2 2 2 2" xfId="5811"/>
    <cellStyle name="Normal 14 3 2 2 2 2 2 2" xfId="22035"/>
    <cellStyle name="Normal 14 3 2 2 2 2 3" xfId="18351"/>
    <cellStyle name="Normal 14 3 2 2 2 3" xfId="4663"/>
    <cellStyle name="Normal 14 3 2 2 2 3 2" xfId="20889"/>
    <cellStyle name="Normal 14 3 2 2 2 4" xfId="17205"/>
    <cellStyle name="Normal 14 3 2 2 3" xfId="1630"/>
    <cellStyle name="Normal 14 3 2 2 3 2" xfId="5324"/>
    <cellStyle name="Normal 14 3 2 2 3 2 2" xfId="21549"/>
    <cellStyle name="Normal 14 3 2 2 3 3" xfId="17865"/>
    <cellStyle name="Normal 14 3 2 2 4" xfId="4088"/>
    <cellStyle name="Normal 14 3 2 2 4 2" xfId="20314"/>
    <cellStyle name="Normal 14 3 2 2 5" xfId="16630"/>
    <cellStyle name="Normal 14 3 2 3" xfId="575"/>
    <cellStyle name="Normal 14 3 2 3 2" xfId="1172"/>
    <cellStyle name="Normal 14 3 2 3 2 2" xfId="2280"/>
    <cellStyle name="Normal 14 3 2 3 2 2 2" xfId="5973"/>
    <cellStyle name="Normal 14 3 2 3 2 2 2 2" xfId="22197"/>
    <cellStyle name="Normal 14 3 2 3 2 2 3" xfId="18513"/>
    <cellStyle name="Normal 14 3 2 3 2 3" xfId="4869"/>
    <cellStyle name="Normal 14 3 2 3 2 3 2" xfId="21095"/>
    <cellStyle name="Normal 14 3 2 3 2 4" xfId="17411"/>
    <cellStyle name="Normal 14 3 2 3 3" xfId="1792"/>
    <cellStyle name="Normal 14 3 2 3 3 2" xfId="5486"/>
    <cellStyle name="Normal 14 3 2 3 3 2 2" xfId="21711"/>
    <cellStyle name="Normal 14 3 2 3 3 3" xfId="18027"/>
    <cellStyle name="Normal 14 3 2 3 4" xfId="4294"/>
    <cellStyle name="Normal 14 3 2 3 4 2" xfId="20520"/>
    <cellStyle name="Normal 14 3 2 3 5" xfId="16836"/>
    <cellStyle name="Normal 14 3 2 4" xfId="800"/>
    <cellStyle name="Normal 14 3 2 4 2" xfId="1956"/>
    <cellStyle name="Normal 14 3 2 4 2 2" xfId="5649"/>
    <cellStyle name="Normal 14 3 2 4 2 2 2" xfId="21873"/>
    <cellStyle name="Normal 14 3 2 4 2 3" xfId="18189"/>
    <cellStyle name="Normal 14 3 2 4 3" xfId="4497"/>
    <cellStyle name="Normal 14 3 2 4 3 2" xfId="20723"/>
    <cellStyle name="Normal 14 3 2 4 4" xfId="17039"/>
    <cellStyle name="Normal 14 3 2 5" xfId="1468"/>
    <cellStyle name="Normal 14 3 2 5 2" xfId="5162"/>
    <cellStyle name="Normal 14 3 2 5 2 2" xfId="21387"/>
    <cellStyle name="Normal 14 3 2 5 3" xfId="17703"/>
    <cellStyle name="Normal 14 3 2 6" xfId="2448"/>
    <cellStyle name="Normal 14 3 2 6 2" xfId="6139"/>
    <cellStyle name="Normal 14 3 2 6 2 2" xfId="22363"/>
    <cellStyle name="Normal 14 3 2 6 3" xfId="18679"/>
    <cellStyle name="Normal 14 3 2 7" xfId="3902"/>
    <cellStyle name="Normal 14 3 2 7 2" xfId="20129"/>
    <cellStyle name="Normal 14 3 2 8" xfId="16445"/>
    <cellStyle name="Normal 14 3 3" xfId="173"/>
    <cellStyle name="Normal 14 3 3 2" xfId="379"/>
    <cellStyle name="Normal 14 3 3 2 2" xfId="994"/>
    <cellStyle name="Normal 14 3 3 2 2 2" xfId="2142"/>
    <cellStyle name="Normal 14 3 3 2 2 2 2" xfId="5835"/>
    <cellStyle name="Normal 14 3 3 2 2 2 2 2" xfId="22059"/>
    <cellStyle name="Normal 14 3 3 2 2 2 3" xfId="18375"/>
    <cellStyle name="Normal 14 3 3 2 2 3" xfId="4691"/>
    <cellStyle name="Normal 14 3 3 2 2 3 2" xfId="20917"/>
    <cellStyle name="Normal 14 3 3 2 2 4" xfId="17233"/>
    <cellStyle name="Normal 14 3 3 2 3" xfId="1654"/>
    <cellStyle name="Normal 14 3 3 2 3 2" xfId="5348"/>
    <cellStyle name="Normal 14 3 3 2 3 2 2" xfId="21573"/>
    <cellStyle name="Normal 14 3 3 2 3 3" xfId="17889"/>
    <cellStyle name="Normal 14 3 3 2 4" xfId="4116"/>
    <cellStyle name="Normal 14 3 3 2 4 2" xfId="20342"/>
    <cellStyle name="Normal 14 3 3 2 5" xfId="16658"/>
    <cellStyle name="Normal 14 3 3 3" xfId="603"/>
    <cellStyle name="Normal 14 3 3 3 2" xfId="1200"/>
    <cellStyle name="Normal 14 3 3 3 2 2" xfId="2304"/>
    <cellStyle name="Normal 14 3 3 3 2 2 2" xfId="5997"/>
    <cellStyle name="Normal 14 3 3 3 2 2 2 2" xfId="22221"/>
    <cellStyle name="Normal 14 3 3 3 2 2 3" xfId="18537"/>
    <cellStyle name="Normal 14 3 3 3 2 3" xfId="4897"/>
    <cellStyle name="Normal 14 3 3 3 2 3 2" xfId="21123"/>
    <cellStyle name="Normal 14 3 3 3 2 4" xfId="17439"/>
    <cellStyle name="Normal 14 3 3 3 3" xfId="1816"/>
    <cellStyle name="Normal 14 3 3 3 3 2" xfId="5510"/>
    <cellStyle name="Normal 14 3 3 3 3 2 2" xfId="21735"/>
    <cellStyle name="Normal 14 3 3 3 3 3" xfId="18051"/>
    <cellStyle name="Normal 14 3 3 3 4" xfId="4322"/>
    <cellStyle name="Normal 14 3 3 3 4 2" xfId="20548"/>
    <cellStyle name="Normal 14 3 3 3 5" xfId="16864"/>
    <cellStyle name="Normal 14 3 3 4" xfId="824"/>
    <cellStyle name="Normal 14 3 3 4 2" xfId="1980"/>
    <cellStyle name="Normal 14 3 3 4 2 2" xfId="5673"/>
    <cellStyle name="Normal 14 3 3 4 2 2 2" xfId="21897"/>
    <cellStyle name="Normal 14 3 3 4 2 3" xfId="18213"/>
    <cellStyle name="Normal 14 3 3 4 3" xfId="4521"/>
    <cellStyle name="Normal 14 3 3 4 3 2" xfId="20747"/>
    <cellStyle name="Normal 14 3 3 4 4" xfId="17063"/>
    <cellStyle name="Normal 14 3 3 5" xfId="1492"/>
    <cellStyle name="Normal 14 3 3 5 2" xfId="5186"/>
    <cellStyle name="Normal 14 3 3 5 2 2" xfId="21411"/>
    <cellStyle name="Normal 14 3 3 5 3" xfId="17727"/>
    <cellStyle name="Normal 14 3 3 6" xfId="2477"/>
    <cellStyle name="Normal 14 3 3 6 2" xfId="6167"/>
    <cellStyle name="Normal 14 3 3 6 2 2" xfId="22391"/>
    <cellStyle name="Normal 14 3 3 6 3" xfId="18707"/>
    <cellStyle name="Normal 14 3 3 7" xfId="3930"/>
    <cellStyle name="Normal 14 3 3 7 2" xfId="20157"/>
    <cellStyle name="Normal 14 3 3 8" xfId="16473"/>
    <cellStyle name="Normal 14 3 4" xfId="201"/>
    <cellStyle name="Normal 14 3 4 2" xfId="407"/>
    <cellStyle name="Normal 14 3 4 2 2" xfId="1022"/>
    <cellStyle name="Normal 14 3 4 2 2 2" xfId="2166"/>
    <cellStyle name="Normal 14 3 4 2 2 2 2" xfId="5859"/>
    <cellStyle name="Normal 14 3 4 2 2 2 2 2" xfId="22083"/>
    <cellStyle name="Normal 14 3 4 2 2 2 3" xfId="18399"/>
    <cellStyle name="Normal 14 3 4 2 2 3" xfId="4719"/>
    <cellStyle name="Normal 14 3 4 2 2 3 2" xfId="20945"/>
    <cellStyle name="Normal 14 3 4 2 2 4" xfId="17261"/>
    <cellStyle name="Normal 14 3 4 2 3" xfId="1678"/>
    <cellStyle name="Normal 14 3 4 2 3 2" xfId="5372"/>
    <cellStyle name="Normal 14 3 4 2 3 2 2" xfId="21597"/>
    <cellStyle name="Normal 14 3 4 2 3 3" xfId="17913"/>
    <cellStyle name="Normal 14 3 4 2 4" xfId="4144"/>
    <cellStyle name="Normal 14 3 4 2 4 2" xfId="20370"/>
    <cellStyle name="Normal 14 3 4 2 5" xfId="16686"/>
    <cellStyle name="Normal 14 3 4 3" xfId="631"/>
    <cellStyle name="Normal 14 3 4 3 2" xfId="1228"/>
    <cellStyle name="Normal 14 3 4 3 2 2" xfId="2328"/>
    <cellStyle name="Normal 14 3 4 3 2 2 2" xfId="6021"/>
    <cellStyle name="Normal 14 3 4 3 2 2 2 2" xfId="22245"/>
    <cellStyle name="Normal 14 3 4 3 2 2 3" xfId="18561"/>
    <cellStyle name="Normal 14 3 4 3 2 3" xfId="4925"/>
    <cellStyle name="Normal 14 3 4 3 2 3 2" xfId="21151"/>
    <cellStyle name="Normal 14 3 4 3 2 4" xfId="17467"/>
    <cellStyle name="Normal 14 3 4 3 3" xfId="1840"/>
    <cellStyle name="Normal 14 3 4 3 3 2" xfId="5534"/>
    <cellStyle name="Normal 14 3 4 3 3 2 2" xfId="21759"/>
    <cellStyle name="Normal 14 3 4 3 3 3" xfId="18075"/>
    <cellStyle name="Normal 14 3 4 3 4" xfId="4350"/>
    <cellStyle name="Normal 14 3 4 3 4 2" xfId="20576"/>
    <cellStyle name="Normal 14 3 4 3 5" xfId="16892"/>
    <cellStyle name="Normal 14 3 4 4" xfId="848"/>
    <cellStyle name="Normal 14 3 4 4 2" xfId="2004"/>
    <cellStyle name="Normal 14 3 4 4 2 2" xfId="5697"/>
    <cellStyle name="Normal 14 3 4 4 2 2 2" xfId="21921"/>
    <cellStyle name="Normal 14 3 4 4 2 3" xfId="18237"/>
    <cellStyle name="Normal 14 3 4 4 3" xfId="4545"/>
    <cellStyle name="Normal 14 3 4 4 3 2" xfId="20771"/>
    <cellStyle name="Normal 14 3 4 4 4" xfId="17087"/>
    <cellStyle name="Normal 14 3 4 5" xfId="1516"/>
    <cellStyle name="Normal 14 3 4 5 2" xfId="5210"/>
    <cellStyle name="Normal 14 3 4 5 2 2" xfId="21435"/>
    <cellStyle name="Normal 14 3 4 5 3" xfId="17751"/>
    <cellStyle name="Normal 14 3 4 6" xfId="2505"/>
    <cellStyle name="Normal 14 3 4 6 2" xfId="6195"/>
    <cellStyle name="Normal 14 3 4 6 2 2" xfId="22419"/>
    <cellStyle name="Normal 14 3 4 6 3" xfId="18735"/>
    <cellStyle name="Normal 14 3 4 7" xfId="3958"/>
    <cellStyle name="Normal 14 3 4 7 2" xfId="20185"/>
    <cellStyle name="Normal 14 3 4 8" xfId="16501"/>
    <cellStyle name="Normal 14 3 5" xfId="230"/>
    <cellStyle name="Normal 14 3 5 2" xfId="436"/>
    <cellStyle name="Normal 14 3 5 2 2" xfId="1051"/>
    <cellStyle name="Normal 14 3 5 2 2 2" xfId="2190"/>
    <cellStyle name="Normal 14 3 5 2 2 2 2" xfId="5883"/>
    <cellStyle name="Normal 14 3 5 2 2 2 2 2" xfId="22107"/>
    <cellStyle name="Normal 14 3 5 2 2 2 3" xfId="18423"/>
    <cellStyle name="Normal 14 3 5 2 2 3" xfId="4748"/>
    <cellStyle name="Normal 14 3 5 2 2 3 2" xfId="20974"/>
    <cellStyle name="Normal 14 3 5 2 2 4" xfId="17290"/>
    <cellStyle name="Normal 14 3 5 2 3" xfId="1702"/>
    <cellStyle name="Normal 14 3 5 2 3 2" xfId="5396"/>
    <cellStyle name="Normal 14 3 5 2 3 2 2" xfId="21621"/>
    <cellStyle name="Normal 14 3 5 2 3 3" xfId="17937"/>
    <cellStyle name="Normal 14 3 5 2 4" xfId="4173"/>
    <cellStyle name="Normal 14 3 5 2 4 2" xfId="20399"/>
    <cellStyle name="Normal 14 3 5 2 5" xfId="16715"/>
    <cellStyle name="Normal 14 3 5 3" xfId="660"/>
    <cellStyle name="Normal 14 3 5 3 2" xfId="1257"/>
    <cellStyle name="Normal 14 3 5 3 2 2" xfId="2352"/>
    <cellStyle name="Normal 14 3 5 3 2 2 2" xfId="6045"/>
    <cellStyle name="Normal 14 3 5 3 2 2 2 2" xfId="22269"/>
    <cellStyle name="Normal 14 3 5 3 2 2 3" xfId="18585"/>
    <cellStyle name="Normal 14 3 5 3 2 3" xfId="4954"/>
    <cellStyle name="Normal 14 3 5 3 2 3 2" xfId="21180"/>
    <cellStyle name="Normal 14 3 5 3 2 4" xfId="17496"/>
    <cellStyle name="Normal 14 3 5 3 3" xfId="1864"/>
    <cellStyle name="Normal 14 3 5 3 3 2" xfId="5558"/>
    <cellStyle name="Normal 14 3 5 3 3 2 2" xfId="21783"/>
    <cellStyle name="Normal 14 3 5 3 3 3" xfId="18099"/>
    <cellStyle name="Normal 14 3 5 3 4" xfId="4379"/>
    <cellStyle name="Normal 14 3 5 3 4 2" xfId="20605"/>
    <cellStyle name="Normal 14 3 5 3 5" xfId="16921"/>
    <cellStyle name="Normal 14 3 5 4" xfId="872"/>
    <cellStyle name="Normal 14 3 5 4 2" xfId="2028"/>
    <cellStyle name="Normal 14 3 5 4 2 2" xfId="5721"/>
    <cellStyle name="Normal 14 3 5 4 2 2 2" xfId="21945"/>
    <cellStyle name="Normal 14 3 5 4 2 3" xfId="18261"/>
    <cellStyle name="Normal 14 3 5 4 3" xfId="4569"/>
    <cellStyle name="Normal 14 3 5 4 3 2" xfId="20795"/>
    <cellStyle name="Normal 14 3 5 4 4" xfId="17111"/>
    <cellStyle name="Normal 14 3 5 5" xfId="1540"/>
    <cellStyle name="Normal 14 3 5 5 2" xfId="5234"/>
    <cellStyle name="Normal 14 3 5 5 2 2" xfId="21459"/>
    <cellStyle name="Normal 14 3 5 5 3" xfId="17775"/>
    <cellStyle name="Normal 14 3 5 6" xfId="2534"/>
    <cellStyle name="Normal 14 3 5 6 2" xfId="6224"/>
    <cellStyle name="Normal 14 3 5 6 2 2" xfId="22448"/>
    <cellStyle name="Normal 14 3 5 6 3" xfId="18764"/>
    <cellStyle name="Normal 14 3 5 7" xfId="3987"/>
    <cellStyle name="Normal 14 3 5 7 2" xfId="20214"/>
    <cellStyle name="Normal 14 3 5 8" xfId="16530"/>
    <cellStyle name="Normal 14 3 6" xfId="266"/>
    <cellStyle name="Normal 14 3 6 2" xfId="463"/>
    <cellStyle name="Normal 14 3 6 2 2" xfId="1078"/>
    <cellStyle name="Normal 14 3 6 2 2 2" xfId="2214"/>
    <cellStyle name="Normal 14 3 6 2 2 2 2" xfId="5907"/>
    <cellStyle name="Normal 14 3 6 2 2 2 2 2" xfId="22131"/>
    <cellStyle name="Normal 14 3 6 2 2 2 3" xfId="18447"/>
    <cellStyle name="Normal 14 3 6 2 2 3" xfId="4775"/>
    <cellStyle name="Normal 14 3 6 2 2 3 2" xfId="21001"/>
    <cellStyle name="Normal 14 3 6 2 2 4" xfId="17317"/>
    <cellStyle name="Normal 14 3 6 2 3" xfId="1726"/>
    <cellStyle name="Normal 14 3 6 2 3 2" xfId="5420"/>
    <cellStyle name="Normal 14 3 6 2 3 2 2" xfId="21645"/>
    <cellStyle name="Normal 14 3 6 2 3 3" xfId="17961"/>
    <cellStyle name="Normal 14 3 6 2 4" xfId="4200"/>
    <cellStyle name="Normal 14 3 6 2 4 2" xfId="20426"/>
    <cellStyle name="Normal 14 3 6 2 5" xfId="16742"/>
    <cellStyle name="Normal 14 3 6 3" xfId="696"/>
    <cellStyle name="Normal 14 3 6 3 2" xfId="1284"/>
    <cellStyle name="Normal 14 3 6 3 2 2" xfId="2376"/>
    <cellStyle name="Normal 14 3 6 3 2 2 2" xfId="6069"/>
    <cellStyle name="Normal 14 3 6 3 2 2 2 2" xfId="22293"/>
    <cellStyle name="Normal 14 3 6 3 2 2 3" xfId="18609"/>
    <cellStyle name="Normal 14 3 6 3 2 3" xfId="4981"/>
    <cellStyle name="Normal 14 3 6 3 2 3 2" xfId="21207"/>
    <cellStyle name="Normal 14 3 6 3 2 4" xfId="17523"/>
    <cellStyle name="Normal 14 3 6 3 3" xfId="1888"/>
    <cellStyle name="Normal 14 3 6 3 3 2" xfId="5582"/>
    <cellStyle name="Normal 14 3 6 3 3 2 2" xfId="21807"/>
    <cellStyle name="Normal 14 3 6 3 3 3" xfId="18123"/>
    <cellStyle name="Normal 14 3 6 3 4" xfId="4406"/>
    <cellStyle name="Normal 14 3 6 3 4 2" xfId="20632"/>
    <cellStyle name="Normal 14 3 6 3 5" xfId="16948"/>
    <cellStyle name="Normal 14 3 6 4" xfId="896"/>
    <cellStyle name="Normal 14 3 6 4 2" xfId="2052"/>
    <cellStyle name="Normal 14 3 6 4 2 2" xfId="5745"/>
    <cellStyle name="Normal 14 3 6 4 2 2 2" xfId="21969"/>
    <cellStyle name="Normal 14 3 6 4 2 3" xfId="18285"/>
    <cellStyle name="Normal 14 3 6 4 3" xfId="4593"/>
    <cellStyle name="Normal 14 3 6 4 3 2" xfId="20819"/>
    <cellStyle name="Normal 14 3 6 4 4" xfId="17135"/>
    <cellStyle name="Normal 14 3 6 5" xfId="1564"/>
    <cellStyle name="Normal 14 3 6 5 2" xfId="5258"/>
    <cellStyle name="Normal 14 3 6 5 2 2" xfId="21483"/>
    <cellStyle name="Normal 14 3 6 5 3" xfId="17799"/>
    <cellStyle name="Normal 14 3 6 6" xfId="2561"/>
    <cellStyle name="Normal 14 3 6 6 2" xfId="6251"/>
    <cellStyle name="Normal 14 3 6 6 2 2" xfId="22475"/>
    <cellStyle name="Normal 14 3 6 6 3" xfId="18791"/>
    <cellStyle name="Normal 14 3 6 7" xfId="4014"/>
    <cellStyle name="Normal 14 3 6 7 2" xfId="20241"/>
    <cellStyle name="Normal 14 3 6 8" xfId="16557"/>
    <cellStyle name="Normal 14 3 7" xfId="303"/>
    <cellStyle name="Normal 14 3 7 2" xfId="490"/>
    <cellStyle name="Normal 14 3 7 2 2" xfId="1105"/>
    <cellStyle name="Normal 14 3 7 2 2 2" xfId="2238"/>
    <cellStyle name="Normal 14 3 7 2 2 2 2" xfId="5931"/>
    <cellStyle name="Normal 14 3 7 2 2 2 2 2" xfId="22155"/>
    <cellStyle name="Normal 14 3 7 2 2 2 3" xfId="18471"/>
    <cellStyle name="Normal 14 3 7 2 2 3" xfId="4802"/>
    <cellStyle name="Normal 14 3 7 2 2 3 2" xfId="21028"/>
    <cellStyle name="Normal 14 3 7 2 2 4" xfId="17344"/>
    <cellStyle name="Normal 14 3 7 2 3" xfId="1750"/>
    <cellStyle name="Normal 14 3 7 2 3 2" xfId="5444"/>
    <cellStyle name="Normal 14 3 7 2 3 2 2" xfId="21669"/>
    <cellStyle name="Normal 14 3 7 2 3 3" xfId="17985"/>
    <cellStyle name="Normal 14 3 7 2 4" xfId="4227"/>
    <cellStyle name="Normal 14 3 7 2 4 2" xfId="20453"/>
    <cellStyle name="Normal 14 3 7 2 5" xfId="16769"/>
    <cellStyle name="Normal 14 3 7 3" xfId="732"/>
    <cellStyle name="Normal 14 3 7 3 2" xfId="1311"/>
    <cellStyle name="Normal 14 3 7 3 2 2" xfId="2400"/>
    <cellStyle name="Normal 14 3 7 3 2 2 2" xfId="6093"/>
    <cellStyle name="Normal 14 3 7 3 2 2 2 2" xfId="22317"/>
    <cellStyle name="Normal 14 3 7 3 2 2 3" xfId="18633"/>
    <cellStyle name="Normal 14 3 7 3 2 3" xfId="5008"/>
    <cellStyle name="Normal 14 3 7 3 2 3 2" xfId="21234"/>
    <cellStyle name="Normal 14 3 7 3 2 4" xfId="17550"/>
    <cellStyle name="Normal 14 3 7 3 3" xfId="1912"/>
    <cellStyle name="Normal 14 3 7 3 3 2" xfId="5606"/>
    <cellStyle name="Normal 14 3 7 3 3 2 2" xfId="21831"/>
    <cellStyle name="Normal 14 3 7 3 3 3" xfId="18147"/>
    <cellStyle name="Normal 14 3 7 3 4" xfId="4433"/>
    <cellStyle name="Normal 14 3 7 3 4 2" xfId="20659"/>
    <cellStyle name="Normal 14 3 7 3 5" xfId="16975"/>
    <cellStyle name="Normal 14 3 7 4" xfId="920"/>
    <cellStyle name="Normal 14 3 7 4 2" xfId="2076"/>
    <cellStyle name="Normal 14 3 7 4 2 2" xfId="5769"/>
    <cellStyle name="Normal 14 3 7 4 2 2 2" xfId="21993"/>
    <cellStyle name="Normal 14 3 7 4 2 3" xfId="18309"/>
    <cellStyle name="Normal 14 3 7 4 3" xfId="4617"/>
    <cellStyle name="Normal 14 3 7 4 3 2" xfId="20843"/>
    <cellStyle name="Normal 14 3 7 4 4" xfId="17159"/>
    <cellStyle name="Normal 14 3 7 5" xfId="1588"/>
    <cellStyle name="Normal 14 3 7 5 2" xfId="5282"/>
    <cellStyle name="Normal 14 3 7 5 2 2" xfId="21507"/>
    <cellStyle name="Normal 14 3 7 5 3" xfId="17823"/>
    <cellStyle name="Normal 14 3 7 6" xfId="2589"/>
    <cellStyle name="Normal 14 3 7 6 2" xfId="6278"/>
    <cellStyle name="Normal 14 3 7 6 2 2" xfId="22502"/>
    <cellStyle name="Normal 14 3 7 6 3" xfId="18818"/>
    <cellStyle name="Normal 14 3 7 7" xfId="4041"/>
    <cellStyle name="Normal 14 3 7 7 2" xfId="20268"/>
    <cellStyle name="Normal 14 3 7 8" xfId="16584"/>
    <cellStyle name="Normal 14 3 8" xfId="330"/>
    <cellStyle name="Normal 14 3 8 2" xfId="946"/>
    <cellStyle name="Normal 14 3 8 2 2" xfId="2100"/>
    <cellStyle name="Normal 14 3 8 2 2 2" xfId="5793"/>
    <cellStyle name="Normal 14 3 8 2 2 2 2" xfId="22017"/>
    <cellStyle name="Normal 14 3 8 2 2 3" xfId="18333"/>
    <cellStyle name="Normal 14 3 8 2 3" xfId="4643"/>
    <cellStyle name="Normal 14 3 8 2 3 2" xfId="20869"/>
    <cellStyle name="Normal 14 3 8 2 4" xfId="17185"/>
    <cellStyle name="Normal 14 3 8 3" xfId="1612"/>
    <cellStyle name="Normal 14 3 8 3 2" xfId="5306"/>
    <cellStyle name="Normal 14 3 8 3 2 2" xfId="21531"/>
    <cellStyle name="Normal 14 3 8 3 3" xfId="17847"/>
    <cellStyle name="Normal 14 3 8 4" xfId="4067"/>
    <cellStyle name="Normal 14 3 8 4 2" xfId="20294"/>
    <cellStyle name="Normal 14 3 8 5" xfId="16610"/>
    <cellStyle name="Normal 14 3 9" xfId="546"/>
    <cellStyle name="Normal 14 3 9 2" xfId="1152"/>
    <cellStyle name="Normal 14 3 9 2 2" xfId="2262"/>
    <cellStyle name="Normal 14 3 9 2 2 2" xfId="5955"/>
    <cellStyle name="Normal 14 3 9 2 2 2 2" xfId="22179"/>
    <cellStyle name="Normal 14 3 9 2 2 3" xfId="18495"/>
    <cellStyle name="Normal 14 3 9 2 3" xfId="4849"/>
    <cellStyle name="Normal 14 3 9 2 3 2" xfId="21075"/>
    <cellStyle name="Normal 14 3 9 2 4" xfId="17391"/>
    <cellStyle name="Normal 14 3 9 3" xfId="1774"/>
    <cellStyle name="Normal 14 3 9 3 2" xfId="5468"/>
    <cellStyle name="Normal 14 3 9 3 2 2" xfId="21693"/>
    <cellStyle name="Normal 14 3 9 3 3" xfId="18009"/>
    <cellStyle name="Normal 14 3 9 4" xfId="4274"/>
    <cellStyle name="Normal 14 3 9 4 2" xfId="20500"/>
    <cellStyle name="Normal 14 3 9 5" xfId="16816"/>
    <cellStyle name="Normal 14 4" xfId="150"/>
    <cellStyle name="Normal 14 4 10" xfId="1474"/>
    <cellStyle name="Normal 14 4 10 2" xfId="5168"/>
    <cellStyle name="Normal 14 4 10 2 2" xfId="21393"/>
    <cellStyle name="Normal 14 4 10 3" xfId="17709"/>
    <cellStyle name="Normal 14 4 11" xfId="2454"/>
    <cellStyle name="Normal 14 4 11 2" xfId="6145"/>
    <cellStyle name="Normal 14 4 11 2 2" xfId="22369"/>
    <cellStyle name="Normal 14 4 11 3" xfId="18685"/>
    <cellStyle name="Normal 14 4 12" xfId="3908"/>
    <cellStyle name="Normal 14 4 12 2" xfId="20135"/>
    <cellStyle name="Normal 14 4 13" xfId="16451"/>
    <cellStyle name="Normal 14 4 2" xfId="179"/>
    <cellStyle name="Normal 14 4 2 2" xfId="385"/>
    <cellStyle name="Normal 14 4 2 2 2" xfId="1000"/>
    <cellStyle name="Normal 14 4 2 2 2 2" xfId="2148"/>
    <cellStyle name="Normal 14 4 2 2 2 2 2" xfId="5841"/>
    <cellStyle name="Normal 14 4 2 2 2 2 2 2" xfId="22065"/>
    <cellStyle name="Normal 14 4 2 2 2 2 3" xfId="18381"/>
    <cellStyle name="Normal 14 4 2 2 2 3" xfId="4697"/>
    <cellStyle name="Normal 14 4 2 2 2 3 2" xfId="20923"/>
    <cellStyle name="Normal 14 4 2 2 2 4" xfId="17239"/>
    <cellStyle name="Normal 14 4 2 2 3" xfId="1660"/>
    <cellStyle name="Normal 14 4 2 2 3 2" xfId="5354"/>
    <cellStyle name="Normal 14 4 2 2 3 2 2" xfId="21579"/>
    <cellStyle name="Normal 14 4 2 2 3 3" xfId="17895"/>
    <cellStyle name="Normal 14 4 2 2 4" xfId="4122"/>
    <cellStyle name="Normal 14 4 2 2 4 2" xfId="20348"/>
    <cellStyle name="Normal 14 4 2 2 5" xfId="16664"/>
    <cellStyle name="Normal 14 4 2 3" xfId="609"/>
    <cellStyle name="Normal 14 4 2 3 2" xfId="1206"/>
    <cellStyle name="Normal 14 4 2 3 2 2" xfId="2310"/>
    <cellStyle name="Normal 14 4 2 3 2 2 2" xfId="6003"/>
    <cellStyle name="Normal 14 4 2 3 2 2 2 2" xfId="22227"/>
    <cellStyle name="Normal 14 4 2 3 2 2 3" xfId="18543"/>
    <cellStyle name="Normal 14 4 2 3 2 3" xfId="4903"/>
    <cellStyle name="Normal 14 4 2 3 2 3 2" xfId="21129"/>
    <cellStyle name="Normal 14 4 2 3 2 4" xfId="17445"/>
    <cellStyle name="Normal 14 4 2 3 3" xfId="1822"/>
    <cellStyle name="Normal 14 4 2 3 3 2" xfId="5516"/>
    <cellStyle name="Normal 14 4 2 3 3 2 2" xfId="21741"/>
    <cellStyle name="Normal 14 4 2 3 3 3" xfId="18057"/>
    <cellStyle name="Normal 14 4 2 3 4" xfId="4328"/>
    <cellStyle name="Normal 14 4 2 3 4 2" xfId="20554"/>
    <cellStyle name="Normal 14 4 2 3 5" xfId="16870"/>
    <cellStyle name="Normal 14 4 2 4" xfId="830"/>
    <cellStyle name="Normal 14 4 2 4 2" xfId="1986"/>
    <cellStyle name="Normal 14 4 2 4 2 2" xfId="5679"/>
    <cellStyle name="Normal 14 4 2 4 2 2 2" xfId="21903"/>
    <cellStyle name="Normal 14 4 2 4 2 3" xfId="18219"/>
    <cellStyle name="Normal 14 4 2 4 3" xfId="4527"/>
    <cellStyle name="Normal 14 4 2 4 3 2" xfId="20753"/>
    <cellStyle name="Normal 14 4 2 4 4" xfId="17069"/>
    <cellStyle name="Normal 14 4 2 5" xfId="1498"/>
    <cellStyle name="Normal 14 4 2 5 2" xfId="5192"/>
    <cellStyle name="Normal 14 4 2 5 2 2" xfId="21417"/>
    <cellStyle name="Normal 14 4 2 5 3" xfId="17733"/>
    <cellStyle name="Normal 14 4 2 6" xfId="2483"/>
    <cellStyle name="Normal 14 4 2 6 2" xfId="6173"/>
    <cellStyle name="Normal 14 4 2 6 2 2" xfId="22397"/>
    <cellStyle name="Normal 14 4 2 6 3" xfId="18713"/>
    <cellStyle name="Normal 14 4 2 7" xfId="3936"/>
    <cellStyle name="Normal 14 4 2 7 2" xfId="20163"/>
    <cellStyle name="Normal 14 4 2 8" xfId="16479"/>
    <cellStyle name="Normal 14 4 3" xfId="207"/>
    <cellStyle name="Normal 14 4 3 2" xfId="413"/>
    <cellStyle name="Normal 14 4 3 2 2" xfId="1028"/>
    <cellStyle name="Normal 14 4 3 2 2 2" xfId="2172"/>
    <cellStyle name="Normal 14 4 3 2 2 2 2" xfId="5865"/>
    <cellStyle name="Normal 14 4 3 2 2 2 2 2" xfId="22089"/>
    <cellStyle name="Normal 14 4 3 2 2 2 3" xfId="18405"/>
    <cellStyle name="Normal 14 4 3 2 2 3" xfId="4725"/>
    <cellStyle name="Normal 14 4 3 2 2 3 2" xfId="20951"/>
    <cellStyle name="Normal 14 4 3 2 2 4" xfId="17267"/>
    <cellStyle name="Normal 14 4 3 2 3" xfId="1684"/>
    <cellStyle name="Normal 14 4 3 2 3 2" xfId="5378"/>
    <cellStyle name="Normal 14 4 3 2 3 2 2" xfId="21603"/>
    <cellStyle name="Normal 14 4 3 2 3 3" xfId="17919"/>
    <cellStyle name="Normal 14 4 3 2 4" xfId="4150"/>
    <cellStyle name="Normal 14 4 3 2 4 2" xfId="20376"/>
    <cellStyle name="Normal 14 4 3 2 5" xfId="16692"/>
    <cellStyle name="Normal 14 4 3 3" xfId="637"/>
    <cellStyle name="Normal 14 4 3 3 2" xfId="1234"/>
    <cellStyle name="Normal 14 4 3 3 2 2" xfId="2334"/>
    <cellStyle name="Normal 14 4 3 3 2 2 2" xfId="6027"/>
    <cellStyle name="Normal 14 4 3 3 2 2 2 2" xfId="22251"/>
    <cellStyle name="Normal 14 4 3 3 2 2 3" xfId="18567"/>
    <cellStyle name="Normal 14 4 3 3 2 3" xfId="4931"/>
    <cellStyle name="Normal 14 4 3 3 2 3 2" xfId="21157"/>
    <cellStyle name="Normal 14 4 3 3 2 4" xfId="17473"/>
    <cellStyle name="Normal 14 4 3 3 3" xfId="1846"/>
    <cellStyle name="Normal 14 4 3 3 3 2" xfId="5540"/>
    <cellStyle name="Normal 14 4 3 3 3 2 2" xfId="21765"/>
    <cellStyle name="Normal 14 4 3 3 3 3" xfId="18081"/>
    <cellStyle name="Normal 14 4 3 3 4" xfId="4356"/>
    <cellStyle name="Normal 14 4 3 3 4 2" xfId="20582"/>
    <cellStyle name="Normal 14 4 3 3 5" xfId="16898"/>
    <cellStyle name="Normal 14 4 3 4" xfId="854"/>
    <cellStyle name="Normal 14 4 3 4 2" xfId="2010"/>
    <cellStyle name="Normal 14 4 3 4 2 2" xfId="5703"/>
    <cellStyle name="Normal 14 4 3 4 2 2 2" xfId="21927"/>
    <cellStyle name="Normal 14 4 3 4 2 3" xfId="18243"/>
    <cellStyle name="Normal 14 4 3 4 3" xfId="4551"/>
    <cellStyle name="Normal 14 4 3 4 3 2" xfId="20777"/>
    <cellStyle name="Normal 14 4 3 4 4" xfId="17093"/>
    <cellStyle name="Normal 14 4 3 5" xfId="1522"/>
    <cellStyle name="Normal 14 4 3 5 2" xfId="5216"/>
    <cellStyle name="Normal 14 4 3 5 2 2" xfId="21441"/>
    <cellStyle name="Normal 14 4 3 5 3" xfId="17757"/>
    <cellStyle name="Normal 14 4 3 6" xfId="2511"/>
    <cellStyle name="Normal 14 4 3 6 2" xfId="6201"/>
    <cellStyle name="Normal 14 4 3 6 2 2" xfId="22425"/>
    <cellStyle name="Normal 14 4 3 6 3" xfId="18741"/>
    <cellStyle name="Normal 14 4 3 7" xfId="3964"/>
    <cellStyle name="Normal 14 4 3 7 2" xfId="20191"/>
    <cellStyle name="Normal 14 4 3 8" xfId="16507"/>
    <cellStyle name="Normal 14 4 4" xfId="236"/>
    <cellStyle name="Normal 14 4 4 2" xfId="442"/>
    <cellStyle name="Normal 14 4 4 2 2" xfId="1057"/>
    <cellStyle name="Normal 14 4 4 2 2 2" xfId="2196"/>
    <cellStyle name="Normal 14 4 4 2 2 2 2" xfId="5889"/>
    <cellStyle name="Normal 14 4 4 2 2 2 2 2" xfId="22113"/>
    <cellStyle name="Normal 14 4 4 2 2 2 3" xfId="18429"/>
    <cellStyle name="Normal 14 4 4 2 2 3" xfId="4754"/>
    <cellStyle name="Normal 14 4 4 2 2 3 2" xfId="20980"/>
    <cellStyle name="Normal 14 4 4 2 2 4" xfId="17296"/>
    <cellStyle name="Normal 14 4 4 2 3" xfId="1708"/>
    <cellStyle name="Normal 14 4 4 2 3 2" xfId="5402"/>
    <cellStyle name="Normal 14 4 4 2 3 2 2" xfId="21627"/>
    <cellStyle name="Normal 14 4 4 2 3 3" xfId="17943"/>
    <cellStyle name="Normal 14 4 4 2 4" xfId="4179"/>
    <cellStyle name="Normal 14 4 4 2 4 2" xfId="20405"/>
    <cellStyle name="Normal 14 4 4 2 5" xfId="16721"/>
    <cellStyle name="Normal 14 4 4 3" xfId="666"/>
    <cellStyle name="Normal 14 4 4 3 2" xfId="1263"/>
    <cellStyle name="Normal 14 4 4 3 2 2" xfId="2358"/>
    <cellStyle name="Normal 14 4 4 3 2 2 2" xfId="6051"/>
    <cellStyle name="Normal 14 4 4 3 2 2 2 2" xfId="22275"/>
    <cellStyle name="Normal 14 4 4 3 2 2 3" xfId="18591"/>
    <cellStyle name="Normal 14 4 4 3 2 3" xfId="4960"/>
    <cellStyle name="Normal 14 4 4 3 2 3 2" xfId="21186"/>
    <cellStyle name="Normal 14 4 4 3 2 4" xfId="17502"/>
    <cellStyle name="Normal 14 4 4 3 3" xfId="1870"/>
    <cellStyle name="Normal 14 4 4 3 3 2" xfId="5564"/>
    <cellStyle name="Normal 14 4 4 3 3 2 2" xfId="21789"/>
    <cellStyle name="Normal 14 4 4 3 3 3" xfId="18105"/>
    <cellStyle name="Normal 14 4 4 3 4" xfId="4385"/>
    <cellStyle name="Normal 14 4 4 3 4 2" xfId="20611"/>
    <cellStyle name="Normal 14 4 4 3 5" xfId="16927"/>
    <cellStyle name="Normal 14 4 4 4" xfId="878"/>
    <cellStyle name="Normal 14 4 4 4 2" xfId="2034"/>
    <cellStyle name="Normal 14 4 4 4 2 2" xfId="5727"/>
    <cellStyle name="Normal 14 4 4 4 2 2 2" xfId="21951"/>
    <cellStyle name="Normal 14 4 4 4 2 3" xfId="18267"/>
    <cellStyle name="Normal 14 4 4 4 3" xfId="4575"/>
    <cellStyle name="Normal 14 4 4 4 3 2" xfId="20801"/>
    <cellStyle name="Normal 14 4 4 4 4" xfId="17117"/>
    <cellStyle name="Normal 14 4 4 5" xfId="1546"/>
    <cellStyle name="Normal 14 4 4 5 2" xfId="5240"/>
    <cellStyle name="Normal 14 4 4 5 2 2" xfId="21465"/>
    <cellStyle name="Normal 14 4 4 5 3" xfId="17781"/>
    <cellStyle name="Normal 14 4 4 6" xfId="2540"/>
    <cellStyle name="Normal 14 4 4 6 2" xfId="6230"/>
    <cellStyle name="Normal 14 4 4 6 2 2" xfId="22454"/>
    <cellStyle name="Normal 14 4 4 6 3" xfId="18770"/>
    <cellStyle name="Normal 14 4 4 7" xfId="3993"/>
    <cellStyle name="Normal 14 4 4 7 2" xfId="20220"/>
    <cellStyle name="Normal 14 4 4 8" xfId="16536"/>
    <cellStyle name="Normal 14 4 5" xfId="281"/>
    <cellStyle name="Normal 14 4 5 2" xfId="469"/>
    <cellStyle name="Normal 14 4 5 2 2" xfId="1084"/>
    <cellStyle name="Normal 14 4 5 2 2 2" xfId="2220"/>
    <cellStyle name="Normal 14 4 5 2 2 2 2" xfId="5913"/>
    <cellStyle name="Normal 14 4 5 2 2 2 2 2" xfId="22137"/>
    <cellStyle name="Normal 14 4 5 2 2 2 3" xfId="18453"/>
    <cellStyle name="Normal 14 4 5 2 2 3" xfId="4781"/>
    <cellStyle name="Normal 14 4 5 2 2 3 2" xfId="21007"/>
    <cellStyle name="Normal 14 4 5 2 2 4" xfId="17323"/>
    <cellStyle name="Normal 14 4 5 2 3" xfId="1732"/>
    <cellStyle name="Normal 14 4 5 2 3 2" xfId="5426"/>
    <cellStyle name="Normal 14 4 5 2 3 2 2" xfId="21651"/>
    <cellStyle name="Normal 14 4 5 2 3 3" xfId="17967"/>
    <cellStyle name="Normal 14 4 5 2 4" xfId="4206"/>
    <cellStyle name="Normal 14 4 5 2 4 2" xfId="20432"/>
    <cellStyle name="Normal 14 4 5 2 5" xfId="16748"/>
    <cellStyle name="Normal 14 4 5 3" xfId="711"/>
    <cellStyle name="Normal 14 4 5 3 2" xfId="1290"/>
    <cellStyle name="Normal 14 4 5 3 2 2" xfId="2382"/>
    <cellStyle name="Normal 14 4 5 3 2 2 2" xfId="6075"/>
    <cellStyle name="Normal 14 4 5 3 2 2 2 2" xfId="22299"/>
    <cellStyle name="Normal 14 4 5 3 2 2 3" xfId="18615"/>
    <cellStyle name="Normal 14 4 5 3 2 3" xfId="4987"/>
    <cellStyle name="Normal 14 4 5 3 2 3 2" xfId="21213"/>
    <cellStyle name="Normal 14 4 5 3 2 4" xfId="17529"/>
    <cellStyle name="Normal 14 4 5 3 3" xfId="1894"/>
    <cellStyle name="Normal 14 4 5 3 3 2" xfId="5588"/>
    <cellStyle name="Normal 14 4 5 3 3 2 2" xfId="21813"/>
    <cellStyle name="Normal 14 4 5 3 3 3" xfId="18129"/>
    <cellStyle name="Normal 14 4 5 3 4" xfId="4412"/>
    <cellStyle name="Normal 14 4 5 3 4 2" xfId="20638"/>
    <cellStyle name="Normal 14 4 5 3 5" xfId="16954"/>
    <cellStyle name="Normal 14 4 5 4" xfId="902"/>
    <cellStyle name="Normal 14 4 5 4 2" xfId="2058"/>
    <cellStyle name="Normal 14 4 5 4 2 2" xfId="5751"/>
    <cellStyle name="Normal 14 4 5 4 2 2 2" xfId="21975"/>
    <cellStyle name="Normal 14 4 5 4 2 3" xfId="18291"/>
    <cellStyle name="Normal 14 4 5 4 3" xfId="4599"/>
    <cellStyle name="Normal 14 4 5 4 3 2" xfId="20825"/>
    <cellStyle name="Normal 14 4 5 4 4" xfId="17141"/>
    <cellStyle name="Normal 14 4 5 5" xfId="1570"/>
    <cellStyle name="Normal 14 4 5 5 2" xfId="5264"/>
    <cellStyle name="Normal 14 4 5 5 2 2" xfId="21489"/>
    <cellStyle name="Normal 14 4 5 5 3" xfId="17805"/>
    <cellStyle name="Normal 14 4 5 6" xfId="2567"/>
    <cellStyle name="Normal 14 4 5 6 2" xfId="6257"/>
    <cellStyle name="Normal 14 4 5 6 2 2" xfId="22481"/>
    <cellStyle name="Normal 14 4 5 6 3" xfId="18797"/>
    <cellStyle name="Normal 14 4 5 7" xfId="4020"/>
    <cellStyle name="Normal 14 4 5 7 2" xfId="20247"/>
    <cellStyle name="Normal 14 4 5 8" xfId="16563"/>
    <cellStyle name="Normal 14 4 6" xfId="309"/>
    <cellStyle name="Normal 14 4 6 2" xfId="496"/>
    <cellStyle name="Normal 14 4 6 2 2" xfId="1111"/>
    <cellStyle name="Normal 14 4 6 2 2 2" xfId="2244"/>
    <cellStyle name="Normal 14 4 6 2 2 2 2" xfId="5937"/>
    <cellStyle name="Normal 14 4 6 2 2 2 2 2" xfId="22161"/>
    <cellStyle name="Normal 14 4 6 2 2 2 3" xfId="18477"/>
    <cellStyle name="Normal 14 4 6 2 2 3" xfId="4808"/>
    <cellStyle name="Normal 14 4 6 2 2 3 2" xfId="21034"/>
    <cellStyle name="Normal 14 4 6 2 2 4" xfId="17350"/>
    <cellStyle name="Normal 14 4 6 2 3" xfId="1756"/>
    <cellStyle name="Normal 14 4 6 2 3 2" xfId="5450"/>
    <cellStyle name="Normal 14 4 6 2 3 2 2" xfId="21675"/>
    <cellStyle name="Normal 14 4 6 2 3 3" xfId="17991"/>
    <cellStyle name="Normal 14 4 6 2 4" xfId="4233"/>
    <cellStyle name="Normal 14 4 6 2 4 2" xfId="20459"/>
    <cellStyle name="Normal 14 4 6 2 5" xfId="16775"/>
    <cellStyle name="Normal 14 4 6 3" xfId="738"/>
    <cellStyle name="Normal 14 4 6 3 2" xfId="1317"/>
    <cellStyle name="Normal 14 4 6 3 2 2" xfId="2406"/>
    <cellStyle name="Normal 14 4 6 3 2 2 2" xfId="6099"/>
    <cellStyle name="Normal 14 4 6 3 2 2 2 2" xfId="22323"/>
    <cellStyle name="Normal 14 4 6 3 2 2 3" xfId="18639"/>
    <cellStyle name="Normal 14 4 6 3 2 3" xfId="5014"/>
    <cellStyle name="Normal 14 4 6 3 2 3 2" xfId="21240"/>
    <cellStyle name="Normal 14 4 6 3 2 4" xfId="17556"/>
    <cellStyle name="Normal 14 4 6 3 3" xfId="1918"/>
    <cellStyle name="Normal 14 4 6 3 3 2" xfId="5612"/>
    <cellStyle name="Normal 14 4 6 3 3 2 2" xfId="21837"/>
    <cellStyle name="Normal 14 4 6 3 3 3" xfId="18153"/>
    <cellStyle name="Normal 14 4 6 3 4" xfId="4439"/>
    <cellStyle name="Normal 14 4 6 3 4 2" xfId="20665"/>
    <cellStyle name="Normal 14 4 6 3 5" xfId="16981"/>
    <cellStyle name="Normal 14 4 6 4" xfId="926"/>
    <cellStyle name="Normal 14 4 6 4 2" xfId="2082"/>
    <cellStyle name="Normal 14 4 6 4 2 2" xfId="5775"/>
    <cellStyle name="Normal 14 4 6 4 2 2 2" xfId="21999"/>
    <cellStyle name="Normal 14 4 6 4 2 3" xfId="18315"/>
    <cellStyle name="Normal 14 4 6 4 3" xfId="4623"/>
    <cellStyle name="Normal 14 4 6 4 3 2" xfId="20849"/>
    <cellStyle name="Normal 14 4 6 4 4" xfId="17165"/>
    <cellStyle name="Normal 14 4 6 5" xfId="1594"/>
    <cellStyle name="Normal 14 4 6 5 2" xfId="5288"/>
    <cellStyle name="Normal 14 4 6 5 2 2" xfId="21513"/>
    <cellStyle name="Normal 14 4 6 5 3" xfId="17829"/>
    <cellStyle name="Normal 14 4 6 6" xfId="2595"/>
    <cellStyle name="Normal 14 4 6 6 2" xfId="6284"/>
    <cellStyle name="Normal 14 4 6 6 2 2" xfId="22508"/>
    <cellStyle name="Normal 14 4 6 6 3" xfId="18824"/>
    <cellStyle name="Normal 14 4 6 7" xfId="4047"/>
    <cellStyle name="Normal 14 4 6 7 2" xfId="20274"/>
    <cellStyle name="Normal 14 4 6 8" xfId="16590"/>
    <cellStyle name="Normal 14 4 7" xfId="357"/>
    <cellStyle name="Normal 14 4 7 2" xfId="972"/>
    <cellStyle name="Normal 14 4 7 2 2" xfId="2124"/>
    <cellStyle name="Normal 14 4 7 2 2 2" xfId="5817"/>
    <cellStyle name="Normal 14 4 7 2 2 2 2" xfId="22041"/>
    <cellStyle name="Normal 14 4 7 2 2 3" xfId="18357"/>
    <cellStyle name="Normal 14 4 7 2 3" xfId="4669"/>
    <cellStyle name="Normal 14 4 7 2 3 2" xfId="20895"/>
    <cellStyle name="Normal 14 4 7 2 4" xfId="17211"/>
    <cellStyle name="Normal 14 4 7 3" xfId="1636"/>
    <cellStyle name="Normal 14 4 7 3 2" xfId="5330"/>
    <cellStyle name="Normal 14 4 7 3 2 2" xfId="21555"/>
    <cellStyle name="Normal 14 4 7 3 3" xfId="17871"/>
    <cellStyle name="Normal 14 4 7 4" xfId="4094"/>
    <cellStyle name="Normal 14 4 7 4 2" xfId="20320"/>
    <cellStyle name="Normal 14 4 7 5" xfId="16636"/>
    <cellStyle name="Normal 14 4 8" xfId="581"/>
    <cellStyle name="Normal 14 4 8 2" xfId="1178"/>
    <cellStyle name="Normal 14 4 8 2 2" xfId="2286"/>
    <cellStyle name="Normal 14 4 8 2 2 2" xfId="5979"/>
    <cellStyle name="Normal 14 4 8 2 2 2 2" xfId="22203"/>
    <cellStyle name="Normal 14 4 8 2 2 3" xfId="18519"/>
    <cellStyle name="Normal 14 4 8 2 3" xfId="4875"/>
    <cellStyle name="Normal 14 4 8 2 3 2" xfId="21101"/>
    <cellStyle name="Normal 14 4 8 2 4" xfId="17417"/>
    <cellStyle name="Normal 14 4 8 3" xfId="1798"/>
    <cellStyle name="Normal 14 4 8 3 2" xfId="5492"/>
    <cellStyle name="Normal 14 4 8 3 2 2" xfId="21717"/>
    <cellStyle name="Normal 14 4 8 3 3" xfId="18033"/>
    <cellStyle name="Normal 14 4 8 4" xfId="4300"/>
    <cellStyle name="Normal 14 4 8 4 2" xfId="20526"/>
    <cellStyle name="Normal 14 4 8 5" xfId="16842"/>
    <cellStyle name="Normal 14 4 9" xfId="806"/>
    <cellStyle name="Normal 14 4 9 2" xfId="1962"/>
    <cellStyle name="Normal 14 4 9 2 2" xfId="5655"/>
    <cellStyle name="Normal 14 4 9 2 2 2" xfId="21879"/>
    <cellStyle name="Normal 14 4 9 2 3" xfId="18195"/>
    <cellStyle name="Normal 14 4 9 3" xfId="4503"/>
    <cellStyle name="Normal 14 4 9 3 2" xfId="20729"/>
    <cellStyle name="Normal 14 4 9 4" xfId="17045"/>
    <cellStyle name="Normal 14 5" xfId="129"/>
    <cellStyle name="Normal 14 5 2" xfId="336"/>
    <cellStyle name="Normal 14 5 2 2" xfId="952"/>
    <cellStyle name="Normal 14 5 2 2 2" xfId="2106"/>
    <cellStyle name="Normal 14 5 2 2 2 2" xfId="5799"/>
    <cellStyle name="Normal 14 5 2 2 2 2 2" xfId="22023"/>
    <cellStyle name="Normal 14 5 2 2 2 3" xfId="18339"/>
    <cellStyle name="Normal 14 5 2 2 3" xfId="4649"/>
    <cellStyle name="Normal 14 5 2 2 3 2" xfId="20875"/>
    <cellStyle name="Normal 14 5 2 2 4" xfId="17191"/>
    <cellStyle name="Normal 14 5 2 3" xfId="1618"/>
    <cellStyle name="Normal 14 5 2 3 2" xfId="5312"/>
    <cellStyle name="Normal 14 5 2 3 2 2" xfId="21537"/>
    <cellStyle name="Normal 14 5 2 3 3" xfId="17853"/>
    <cellStyle name="Normal 14 5 2 4" xfId="4073"/>
    <cellStyle name="Normal 14 5 2 4 2" xfId="20300"/>
    <cellStyle name="Normal 14 5 2 5" xfId="16616"/>
    <cellStyle name="Normal 14 5 3" xfId="561"/>
    <cellStyle name="Normal 14 5 3 2" xfId="1158"/>
    <cellStyle name="Normal 14 5 3 2 2" xfId="2268"/>
    <cellStyle name="Normal 14 5 3 2 2 2" xfId="5961"/>
    <cellStyle name="Normal 14 5 3 2 2 2 2" xfId="22185"/>
    <cellStyle name="Normal 14 5 3 2 2 3" xfId="18501"/>
    <cellStyle name="Normal 14 5 3 2 3" xfId="4855"/>
    <cellStyle name="Normal 14 5 3 2 3 2" xfId="21081"/>
    <cellStyle name="Normal 14 5 3 2 4" xfId="17397"/>
    <cellStyle name="Normal 14 5 3 3" xfId="1780"/>
    <cellStyle name="Normal 14 5 3 3 2" xfId="5474"/>
    <cellStyle name="Normal 14 5 3 3 2 2" xfId="21699"/>
    <cellStyle name="Normal 14 5 3 3 3" xfId="18015"/>
    <cellStyle name="Normal 14 5 3 4" xfId="4280"/>
    <cellStyle name="Normal 14 5 3 4 2" xfId="20506"/>
    <cellStyle name="Normal 14 5 3 5" xfId="16822"/>
    <cellStyle name="Normal 14 5 4" xfId="788"/>
    <cellStyle name="Normal 14 5 4 2" xfId="1944"/>
    <cellStyle name="Normal 14 5 4 2 2" xfId="5637"/>
    <cellStyle name="Normal 14 5 4 2 2 2" xfId="21861"/>
    <cellStyle name="Normal 14 5 4 2 3" xfId="18177"/>
    <cellStyle name="Normal 14 5 4 3" xfId="4485"/>
    <cellStyle name="Normal 14 5 4 3 2" xfId="20711"/>
    <cellStyle name="Normal 14 5 4 4" xfId="17027"/>
    <cellStyle name="Normal 14 5 5" xfId="1456"/>
    <cellStyle name="Normal 14 5 5 2" xfId="5150"/>
    <cellStyle name="Normal 14 5 5 2 2" xfId="21375"/>
    <cellStyle name="Normal 14 5 5 3" xfId="17691"/>
    <cellStyle name="Normal 14 5 6" xfId="2433"/>
    <cellStyle name="Normal 14 5 6 2" xfId="6125"/>
    <cellStyle name="Normal 14 5 6 2 2" xfId="22349"/>
    <cellStyle name="Normal 14 5 6 3" xfId="18665"/>
    <cellStyle name="Normal 14 5 7" xfId="3888"/>
    <cellStyle name="Normal 14 5 7 2" xfId="20115"/>
    <cellStyle name="Normal 14 5 8" xfId="16431"/>
    <cellStyle name="Normal 14 6" xfId="160"/>
    <cellStyle name="Normal 14 6 2" xfId="366"/>
    <cellStyle name="Normal 14 6 2 2" xfId="981"/>
    <cellStyle name="Normal 14 6 2 2 2" xfId="2130"/>
    <cellStyle name="Normal 14 6 2 2 2 2" xfId="5823"/>
    <cellStyle name="Normal 14 6 2 2 2 2 2" xfId="22047"/>
    <cellStyle name="Normal 14 6 2 2 2 3" xfId="18363"/>
    <cellStyle name="Normal 14 6 2 2 3" xfId="4678"/>
    <cellStyle name="Normal 14 6 2 2 3 2" xfId="20904"/>
    <cellStyle name="Normal 14 6 2 2 4" xfId="17220"/>
    <cellStyle name="Normal 14 6 2 3" xfId="1642"/>
    <cellStyle name="Normal 14 6 2 3 2" xfId="5336"/>
    <cellStyle name="Normal 14 6 2 3 2 2" xfId="21561"/>
    <cellStyle name="Normal 14 6 2 3 3" xfId="17877"/>
    <cellStyle name="Normal 14 6 2 4" xfId="4103"/>
    <cellStyle name="Normal 14 6 2 4 2" xfId="20329"/>
    <cellStyle name="Normal 14 6 2 5" xfId="16645"/>
    <cellStyle name="Normal 14 6 3" xfId="590"/>
    <cellStyle name="Normal 14 6 3 2" xfId="1187"/>
    <cellStyle name="Normal 14 6 3 2 2" xfId="2292"/>
    <cellStyle name="Normal 14 6 3 2 2 2" xfId="5985"/>
    <cellStyle name="Normal 14 6 3 2 2 2 2" xfId="22209"/>
    <cellStyle name="Normal 14 6 3 2 2 3" xfId="18525"/>
    <cellStyle name="Normal 14 6 3 2 3" xfId="4884"/>
    <cellStyle name="Normal 14 6 3 2 3 2" xfId="21110"/>
    <cellStyle name="Normal 14 6 3 2 4" xfId="17426"/>
    <cellStyle name="Normal 14 6 3 3" xfId="1804"/>
    <cellStyle name="Normal 14 6 3 3 2" xfId="5498"/>
    <cellStyle name="Normal 14 6 3 3 2 2" xfId="21723"/>
    <cellStyle name="Normal 14 6 3 3 3" xfId="18039"/>
    <cellStyle name="Normal 14 6 3 4" xfId="4309"/>
    <cellStyle name="Normal 14 6 3 4 2" xfId="20535"/>
    <cellStyle name="Normal 14 6 3 5" xfId="16851"/>
    <cellStyle name="Normal 14 6 4" xfId="812"/>
    <cellStyle name="Normal 14 6 4 2" xfId="1968"/>
    <cellStyle name="Normal 14 6 4 2 2" xfId="5661"/>
    <cellStyle name="Normal 14 6 4 2 2 2" xfId="21885"/>
    <cellStyle name="Normal 14 6 4 2 3" xfId="18201"/>
    <cellStyle name="Normal 14 6 4 3" xfId="4509"/>
    <cellStyle name="Normal 14 6 4 3 2" xfId="20735"/>
    <cellStyle name="Normal 14 6 4 4" xfId="17051"/>
    <cellStyle name="Normal 14 6 5" xfId="1480"/>
    <cellStyle name="Normal 14 6 5 2" xfId="5174"/>
    <cellStyle name="Normal 14 6 5 2 2" xfId="21399"/>
    <cellStyle name="Normal 14 6 5 3" xfId="17715"/>
    <cellStyle name="Normal 14 6 6" xfId="2464"/>
    <cellStyle name="Normal 14 6 6 2" xfId="6154"/>
    <cellStyle name="Normal 14 6 6 2 2" xfId="22378"/>
    <cellStyle name="Normal 14 6 6 3" xfId="18694"/>
    <cellStyle name="Normal 14 6 7" xfId="3917"/>
    <cellStyle name="Normal 14 6 7 2" xfId="20144"/>
    <cellStyle name="Normal 14 6 8" xfId="16460"/>
    <cellStyle name="Normal 14 7" xfId="188"/>
    <cellStyle name="Normal 14 7 2" xfId="394"/>
    <cellStyle name="Normal 14 7 2 2" xfId="1009"/>
    <cellStyle name="Normal 14 7 2 2 2" xfId="2154"/>
    <cellStyle name="Normal 14 7 2 2 2 2" xfId="5847"/>
    <cellStyle name="Normal 14 7 2 2 2 2 2" xfId="22071"/>
    <cellStyle name="Normal 14 7 2 2 2 3" xfId="18387"/>
    <cellStyle name="Normal 14 7 2 2 3" xfId="4706"/>
    <cellStyle name="Normal 14 7 2 2 3 2" xfId="20932"/>
    <cellStyle name="Normal 14 7 2 2 4" xfId="17248"/>
    <cellStyle name="Normal 14 7 2 3" xfId="1666"/>
    <cellStyle name="Normal 14 7 2 3 2" xfId="5360"/>
    <cellStyle name="Normal 14 7 2 3 2 2" xfId="21585"/>
    <cellStyle name="Normal 14 7 2 3 3" xfId="17901"/>
    <cellStyle name="Normal 14 7 2 4" xfId="4131"/>
    <cellStyle name="Normal 14 7 2 4 2" xfId="20357"/>
    <cellStyle name="Normal 14 7 2 5" xfId="16673"/>
    <cellStyle name="Normal 14 7 3" xfId="618"/>
    <cellStyle name="Normal 14 7 3 2" xfId="1215"/>
    <cellStyle name="Normal 14 7 3 2 2" xfId="2316"/>
    <cellStyle name="Normal 14 7 3 2 2 2" xfId="6009"/>
    <cellStyle name="Normal 14 7 3 2 2 2 2" xfId="22233"/>
    <cellStyle name="Normal 14 7 3 2 2 3" xfId="18549"/>
    <cellStyle name="Normal 14 7 3 2 3" xfId="4912"/>
    <cellStyle name="Normal 14 7 3 2 3 2" xfId="21138"/>
    <cellStyle name="Normal 14 7 3 2 4" xfId="17454"/>
    <cellStyle name="Normal 14 7 3 3" xfId="1828"/>
    <cellStyle name="Normal 14 7 3 3 2" xfId="5522"/>
    <cellStyle name="Normal 14 7 3 3 2 2" xfId="21747"/>
    <cellStyle name="Normal 14 7 3 3 3" xfId="18063"/>
    <cellStyle name="Normal 14 7 3 4" xfId="4337"/>
    <cellStyle name="Normal 14 7 3 4 2" xfId="20563"/>
    <cellStyle name="Normal 14 7 3 5" xfId="16879"/>
    <cellStyle name="Normal 14 7 4" xfId="836"/>
    <cellStyle name="Normal 14 7 4 2" xfId="1992"/>
    <cellStyle name="Normal 14 7 4 2 2" xfId="5685"/>
    <cellStyle name="Normal 14 7 4 2 2 2" xfId="21909"/>
    <cellStyle name="Normal 14 7 4 2 3" xfId="18225"/>
    <cellStyle name="Normal 14 7 4 3" xfId="4533"/>
    <cellStyle name="Normal 14 7 4 3 2" xfId="20759"/>
    <cellStyle name="Normal 14 7 4 4" xfId="17075"/>
    <cellStyle name="Normal 14 7 5" xfId="1504"/>
    <cellStyle name="Normal 14 7 5 2" xfId="5198"/>
    <cellStyle name="Normal 14 7 5 2 2" xfId="21423"/>
    <cellStyle name="Normal 14 7 5 3" xfId="17739"/>
    <cellStyle name="Normal 14 7 6" xfId="2492"/>
    <cellStyle name="Normal 14 7 6 2" xfId="6182"/>
    <cellStyle name="Normal 14 7 6 2 2" xfId="22406"/>
    <cellStyle name="Normal 14 7 6 3" xfId="18722"/>
    <cellStyle name="Normal 14 7 7" xfId="3945"/>
    <cellStyle name="Normal 14 7 7 2" xfId="20172"/>
    <cellStyle name="Normal 14 7 8" xfId="16488"/>
    <cellStyle name="Normal 14 8" xfId="216"/>
    <cellStyle name="Normal 14 8 2" xfId="422"/>
    <cellStyle name="Normal 14 8 2 2" xfId="1037"/>
    <cellStyle name="Normal 14 8 2 2 2" xfId="2178"/>
    <cellStyle name="Normal 14 8 2 2 2 2" xfId="5871"/>
    <cellStyle name="Normal 14 8 2 2 2 2 2" xfId="22095"/>
    <cellStyle name="Normal 14 8 2 2 2 3" xfId="18411"/>
    <cellStyle name="Normal 14 8 2 2 3" xfId="4734"/>
    <cellStyle name="Normal 14 8 2 2 3 2" xfId="20960"/>
    <cellStyle name="Normal 14 8 2 2 4" xfId="17276"/>
    <cellStyle name="Normal 14 8 2 3" xfId="1690"/>
    <cellStyle name="Normal 14 8 2 3 2" xfId="5384"/>
    <cellStyle name="Normal 14 8 2 3 2 2" xfId="21609"/>
    <cellStyle name="Normal 14 8 2 3 3" xfId="17925"/>
    <cellStyle name="Normal 14 8 2 4" xfId="4159"/>
    <cellStyle name="Normal 14 8 2 4 2" xfId="20385"/>
    <cellStyle name="Normal 14 8 2 5" xfId="16701"/>
    <cellStyle name="Normal 14 8 3" xfId="646"/>
    <cellStyle name="Normal 14 8 3 2" xfId="1243"/>
    <cellStyle name="Normal 14 8 3 2 2" xfId="2340"/>
    <cellStyle name="Normal 14 8 3 2 2 2" xfId="6033"/>
    <cellStyle name="Normal 14 8 3 2 2 2 2" xfId="22257"/>
    <cellStyle name="Normal 14 8 3 2 2 3" xfId="18573"/>
    <cellStyle name="Normal 14 8 3 2 3" xfId="4940"/>
    <cellStyle name="Normal 14 8 3 2 3 2" xfId="21166"/>
    <cellStyle name="Normal 14 8 3 2 4" xfId="17482"/>
    <cellStyle name="Normal 14 8 3 3" xfId="1852"/>
    <cellStyle name="Normal 14 8 3 3 2" xfId="5546"/>
    <cellStyle name="Normal 14 8 3 3 2 2" xfId="21771"/>
    <cellStyle name="Normal 14 8 3 3 3" xfId="18087"/>
    <cellStyle name="Normal 14 8 3 4" xfId="4365"/>
    <cellStyle name="Normal 14 8 3 4 2" xfId="20591"/>
    <cellStyle name="Normal 14 8 3 5" xfId="16907"/>
    <cellStyle name="Normal 14 8 4" xfId="860"/>
    <cellStyle name="Normal 14 8 4 2" xfId="2016"/>
    <cellStyle name="Normal 14 8 4 2 2" xfId="5709"/>
    <cellStyle name="Normal 14 8 4 2 2 2" xfId="21933"/>
    <cellStyle name="Normal 14 8 4 2 3" xfId="18249"/>
    <cellStyle name="Normal 14 8 4 3" xfId="4557"/>
    <cellStyle name="Normal 14 8 4 3 2" xfId="20783"/>
    <cellStyle name="Normal 14 8 4 4" xfId="17099"/>
    <cellStyle name="Normal 14 8 5" xfId="1528"/>
    <cellStyle name="Normal 14 8 5 2" xfId="5222"/>
    <cellStyle name="Normal 14 8 5 2 2" xfId="21447"/>
    <cellStyle name="Normal 14 8 5 3" xfId="17763"/>
    <cellStyle name="Normal 14 8 6" xfId="2520"/>
    <cellStyle name="Normal 14 8 6 2" xfId="6210"/>
    <cellStyle name="Normal 14 8 6 2 2" xfId="22434"/>
    <cellStyle name="Normal 14 8 6 3" xfId="18750"/>
    <cellStyle name="Normal 14 8 7" xfId="3973"/>
    <cellStyle name="Normal 14 8 7 2" xfId="20200"/>
    <cellStyle name="Normal 14 8 8" xfId="16516"/>
    <cellStyle name="Normal 14 9" xfId="244"/>
    <cellStyle name="Normal 14 9 2" xfId="450"/>
    <cellStyle name="Normal 14 9 2 2" xfId="1065"/>
    <cellStyle name="Normal 14 9 2 2 2" xfId="2202"/>
    <cellStyle name="Normal 14 9 2 2 2 2" xfId="5895"/>
    <cellStyle name="Normal 14 9 2 2 2 2 2" xfId="22119"/>
    <cellStyle name="Normal 14 9 2 2 2 3" xfId="18435"/>
    <cellStyle name="Normal 14 9 2 2 3" xfId="4762"/>
    <cellStyle name="Normal 14 9 2 2 3 2" xfId="20988"/>
    <cellStyle name="Normal 14 9 2 2 4" xfId="17304"/>
    <cellStyle name="Normal 14 9 2 3" xfId="1714"/>
    <cellStyle name="Normal 14 9 2 3 2" xfId="5408"/>
    <cellStyle name="Normal 14 9 2 3 2 2" xfId="21633"/>
    <cellStyle name="Normal 14 9 2 3 3" xfId="17949"/>
    <cellStyle name="Normal 14 9 2 4" xfId="4187"/>
    <cellStyle name="Normal 14 9 2 4 2" xfId="20413"/>
    <cellStyle name="Normal 14 9 2 5" xfId="16729"/>
    <cellStyle name="Normal 14 9 3" xfId="674"/>
    <cellStyle name="Normal 14 9 3 2" xfId="1271"/>
    <cellStyle name="Normal 14 9 3 2 2" xfId="2364"/>
    <cellStyle name="Normal 14 9 3 2 2 2" xfId="6057"/>
    <cellStyle name="Normal 14 9 3 2 2 2 2" xfId="22281"/>
    <cellStyle name="Normal 14 9 3 2 2 3" xfId="18597"/>
    <cellStyle name="Normal 14 9 3 2 3" xfId="4968"/>
    <cellStyle name="Normal 14 9 3 2 3 2" xfId="21194"/>
    <cellStyle name="Normal 14 9 3 2 4" xfId="17510"/>
    <cellStyle name="Normal 14 9 3 3" xfId="1876"/>
    <cellStyle name="Normal 14 9 3 3 2" xfId="5570"/>
    <cellStyle name="Normal 14 9 3 3 2 2" xfId="21795"/>
    <cellStyle name="Normal 14 9 3 3 3" xfId="18111"/>
    <cellStyle name="Normal 14 9 3 4" xfId="4393"/>
    <cellStyle name="Normal 14 9 3 4 2" xfId="20619"/>
    <cellStyle name="Normal 14 9 3 5" xfId="16935"/>
    <cellStyle name="Normal 14 9 4" xfId="884"/>
    <cellStyle name="Normal 14 9 4 2" xfId="2040"/>
    <cellStyle name="Normal 14 9 4 2 2" xfId="5733"/>
    <cellStyle name="Normal 14 9 4 2 2 2" xfId="21957"/>
    <cellStyle name="Normal 14 9 4 2 3" xfId="18273"/>
    <cellStyle name="Normal 14 9 4 3" xfId="4581"/>
    <cellStyle name="Normal 14 9 4 3 2" xfId="20807"/>
    <cellStyle name="Normal 14 9 4 4" xfId="17123"/>
    <cellStyle name="Normal 14 9 5" xfId="1552"/>
    <cellStyle name="Normal 14 9 5 2" xfId="5246"/>
    <cellStyle name="Normal 14 9 5 2 2" xfId="21471"/>
    <cellStyle name="Normal 14 9 5 3" xfId="17787"/>
    <cellStyle name="Normal 14 9 6" xfId="2548"/>
    <cellStyle name="Normal 14 9 6 2" xfId="6238"/>
    <cellStyle name="Normal 14 9 6 2 2" xfId="22462"/>
    <cellStyle name="Normal 14 9 6 3" xfId="18778"/>
    <cellStyle name="Normal 14 9 7" xfId="4001"/>
    <cellStyle name="Normal 14 9 7 2" xfId="20228"/>
    <cellStyle name="Normal 14 9 8" xfId="16544"/>
    <cellStyle name="Normal 15" xfId="10"/>
    <cellStyle name="Normal 15 10" xfId="291"/>
    <cellStyle name="Normal 15 10 2" xfId="479"/>
    <cellStyle name="Normal 15 10 2 2" xfId="1094"/>
    <cellStyle name="Normal 15 10 2 2 2" xfId="2227"/>
    <cellStyle name="Normal 15 10 2 2 2 2" xfId="5920"/>
    <cellStyle name="Normal 15 10 2 2 2 2 2" xfId="22144"/>
    <cellStyle name="Normal 15 10 2 2 2 3" xfId="18460"/>
    <cellStyle name="Normal 15 10 2 2 3" xfId="4791"/>
    <cellStyle name="Normal 15 10 2 2 3 2" xfId="21017"/>
    <cellStyle name="Normal 15 10 2 2 4" xfId="17333"/>
    <cellStyle name="Normal 15 10 2 3" xfId="1739"/>
    <cellStyle name="Normal 15 10 2 3 2" xfId="5433"/>
    <cellStyle name="Normal 15 10 2 3 2 2" xfId="21658"/>
    <cellStyle name="Normal 15 10 2 3 3" xfId="17974"/>
    <cellStyle name="Normal 15 10 2 4" xfId="4216"/>
    <cellStyle name="Normal 15 10 2 4 2" xfId="20442"/>
    <cellStyle name="Normal 15 10 2 5" xfId="16758"/>
    <cellStyle name="Normal 15 10 3" xfId="721"/>
    <cellStyle name="Normal 15 10 3 2" xfId="1300"/>
    <cellStyle name="Normal 15 10 3 2 2" xfId="2389"/>
    <cellStyle name="Normal 15 10 3 2 2 2" xfId="6082"/>
    <cellStyle name="Normal 15 10 3 2 2 2 2" xfId="22306"/>
    <cellStyle name="Normal 15 10 3 2 2 3" xfId="18622"/>
    <cellStyle name="Normal 15 10 3 2 3" xfId="4997"/>
    <cellStyle name="Normal 15 10 3 2 3 2" xfId="21223"/>
    <cellStyle name="Normal 15 10 3 2 4" xfId="17539"/>
    <cellStyle name="Normal 15 10 3 3" xfId="1901"/>
    <cellStyle name="Normal 15 10 3 3 2" xfId="5595"/>
    <cellStyle name="Normal 15 10 3 3 2 2" xfId="21820"/>
    <cellStyle name="Normal 15 10 3 3 3" xfId="18136"/>
    <cellStyle name="Normal 15 10 3 4" xfId="4422"/>
    <cellStyle name="Normal 15 10 3 4 2" xfId="20648"/>
    <cellStyle name="Normal 15 10 3 5" xfId="16964"/>
    <cellStyle name="Normal 15 10 4" xfId="909"/>
    <cellStyle name="Normal 15 10 4 2" xfId="2065"/>
    <cellStyle name="Normal 15 10 4 2 2" xfId="5758"/>
    <cellStyle name="Normal 15 10 4 2 2 2" xfId="21982"/>
    <cellStyle name="Normal 15 10 4 2 3" xfId="18298"/>
    <cellStyle name="Normal 15 10 4 3" xfId="4606"/>
    <cellStyle name="Normal 15 10 4 3 2" xfId="20832"/>
    <cellStyle name="Normal 15 10 4 4" xfId="17148"/>
    <cellStyle name="Normal 15 10 5" xfId="1577"/>
    <cellStyle name="Normal 15 10 5 2" xfId="5271"/>
    <cellStyle name="Normal 15 10 5 2 2" xfId="21496"/>
    <cellStyle name="Normal 15 10 5 3" xfId="17812"/>
    <cellStyle name="Normal 15 10 6" xfId="2577"/>
    <cellStyle name="Normal 15 10 6 2" xfId="6267"/>
    <cellStyle name="Normal 15 10 6 2 2" xfId="22491"/>
    <cellStyle name="Normal 15 10 6 3" xfId="18807"/>
    <cellStyle name="Normal 15 10 7" xfId="4030"/>
    <cellStyle name="Normal 15 10 7 2" xfId="20257"/>
    <cellStyle name="Normal 15 10 8" xfId="16573"/>
    <cellStyle name="Normal 15 11" xfId="317"/>
    <cellStyle name="Normal 15 11 2" xfId="933"/>
    <cellStyle name="Normal 15 11 2 2" xfId="2089"/>
    <cellStyle name="Normal 15 11 2 2 2" xfId="5782"/>
    <cellStyle name="Normal 15 11 2 2 2 2" xfId="22006"/>
    <cellStyle name="Normal 15 11 2 2 3" xfId="18322"/>
    <cellStyle name="Normal 15 11 2 3" xfId="4630"/>
    <cellStyle name="Normal 15 11 2 3 2" xfId="20856"/>
    <cellStyle name="Normal 15 11 2 4" xfId="17172"/>
    <cellStyle name="Normal 15 11 3" xfId="1601"/>
    <cellStyle name="Normal 15 11 3 2" xfId="5295"/>
    <cellStyle name="Normal 15 11 3 2 2" xfId="21520"/>
    <cellStyle name="Normal 15 11 3 3" xfId="17836"/>
    <cellStyle name="Normal 15 11 4" xfId="4054"/>
    <cellStyle name="Normal 15 11 4 2" xfId="20281"/>
    <cellStyle name="Normal 15 11 5" xfId="16597"/>
    <cellStyle name="Normal 15 12" xfId="524"/>
    <cellStyle name="Normal 15 12 2" xfId="1139"/>
    <cellStyle name="Normal 15 12 2 2" xfId="2251"/>
    <cellStyle name="Normal 15 12 2 2 2" xfId="5944"/>
    <cellStyle name="Normal 15 12 2 2 2 2" xfId="22168"/>
    <cellStyle name="Normal 15 12 2 2 3" xfId="18484"/>
    <cellStyle name="Normal 15 12 2 3" xfId="4836"/>
    <cellStyle name="Normal 15 12 2 3 2" xfId="21062"/>
    <cellStyle name="Normal 15 12 2 4" xfId="17378"/>
    <cellStyle name="Normal 15 12 3" xfId="1763"/>
    <cellStyle name="Normal 15 12 3 2" xfId="5457"/>
    <cellStyle name="Normal 15 12 3 2 2" xfId="21682"/>
    <cellStyle name="Normal 15 12 3 3" xfId="17998"/>
    <cellStyle name="Normal 15 12 4" xfId="4261"/>
    <cellStyle name="Normal 15 12 4 2" xfId="20487"/>
    <cellStyle name="Normal 15 12 5" xfId="16803"/>
    <cellStyle name="Normal 15 13" xfId="771"/>
    <cellStyle name="Normal 15 13 2" xfId="1927"/>
    <cellStyle name="Normal 15 13 2 2" xfId="5620"/>
    <cellStyle name="Normal 15 13 2 2 2" xfId="21844"/>
    <cellStyle name="Normal 15 13 2 3" xfId="18160"/>
    <cellStyle name="Normal 15 13 3" xfId="4468"/>
    <cellStyle name="Normal 15 13 3 2" xfId="20694"/>
    <cellStyle name="Normal 15 13 4" xfId="17010"/>
    <cellStyle name="Normal 15 14" xfId="1439"/>
    <cellStyle name="Normal 15 14 2" xfId="5133"/>
    <cellStyle name="Normal 15 14 2 2" xfId="21358"/>
    <cellStyle name="Normal 15 14 3" xfId="17674"/>
    <cellStyle name="Normal 15 15" xfId="2413"/>
    <cellStyle name="Normal 15 15 2" xfId="6106"/>
    <cellStyle name="Normal 15 15 2 2" xfId="22330"/>
    <cellStyle name="Normal 15 15 3" xfId="18646"/>
    <cellStyle name="Normal 15 16" xfId="3868"/>
    <cellStyle name="Normal 15 16 2" xfId="20096"/>
    <cellStyle name="Normal 15 17" xfId="16412"/>
    <cellStyle name="Normal 15 2" xfId="108"/>
    <cellStyle name="Normal 15 2 10" xfId="777"/>
    <cellStyle name="Normal 15 2 10 2" xfId="1933"/>
    <cellStyle name="Normal 15 2 10 2 2" xfId="5626"/>
    <cellStyle name="Normal 15 2 10 2 2 2" xfId="21850"/>
    <cellStyle name="Normal 15 2 10 2 3" xfId="18166"/>
    <cellStyle name="Normal 15 2 10 3" xfId="4474"/>
    <cellStyle name="Normal 15 2 10 3 2" xfId="20700"/>
    <cellStyle name="Normal 15 2 10 4" xfId="17016"/>
    <cellStyle name="Normal 15 2 11" xfId="1445"/>
    <cellStyle name="Normal 15 2 11 2" xfId="5139"/>
    <cellStyle name="Normal 15 2 11 2 2" xfId="21364"/>
    <cellStyle name="Normal 15 2 11 3" xfId="17680"/>
    <cellStyle name="Normal 15 2 12" xfId="2421"/>
    <cellStyle name="Normal 15 2 12 2" xfId="6113"/>
    <cellStyle name="Normal 15 2 12 2 2" xfId="22337"/>
    <cellStyle name="Normal 15 2 12 3" xfId="18653"/>
    <cellStyle name="Normal 15 2 13" xfId="3876"/>
    <cellStyle name="Normal 15 2 13 2" xfId="20103"/>
    <cellStyle name="Normal 15 2 14" xfId="16419"/>
    <cellStyle name="Normal 15 2 2" xfId="138"/>
    <cellStyle name="Normal 15 2 2 2" xfId="345"/>
    <cellStyle name="Normal 15 2 2 2 2" xfId="960"/>
    <cellStyle name="Normal 15 2 2 2 2 2" xfId="2113"/>
    <cellStyle name="Normal 15 2 2 2 2 2 2" xfId="5806"/>
    <cellStyle name="Normal 15 2 2 2 2 2 2 2" xfId="22030"/>
    <cellStyle name="Normal 15 2 2 2 2 2 3" xfId="18346"/>
    <cellStyle name="Normal 15 2 2 2 2 3" xfId="4657"/>
    <cellStyle name="Normal 15 2 2 2 2 3 2" xfId="20883"/>
    <cellStyle name="Normal 15 2 2 2 2 4" xfId="17199"/>
    <cellStyle name="Normal 15 2 2 2 3" xfId="1625"/>
    <cellStyle name="Normal 15 2 2 2 3 2" xfId="5319"/>
    <cellStyle name="Normal 15 2 2 2 3 2 2" xfId="21544"/>
    <cellStyle name="Normal 15 2 2 2 3 3" xfId="17860"/>
    <cellStyle name="Normal 15 2 2 2 4" xfId="4082"/>
    <cellStyle name="Normal 15 2 2 2 4 2" xfId="20308"/>
    <cellStyle name="Normal 15 2 2 2 5" xfId="16624"/>
    <cellStyle name="Normal 15 2 2 3" xfId="569"/>
    <cellStyle name="Normal 15 2 2 3 2" xfId="1166"/>
    <cellStyle name="Normal 15 2 2 3 2 2" xfId="2275"/>
    <cellStyle name="Normal 15 2 2 3 2 2 2" xfId="5968"/>
    <cellStyle name="Normal 15 2 2 3 2 2 2 2" xfId="22192"/>
    <cellStyle name="Normal 15 2 2 3 2 2 3" xfId="18508"/>
    <cellStyle name="Normal 15 2 2 3 2 3" xfId="4863"/>
    <cellStyle name="Normal 15 2 2 3 2 3 2" xfId="21089"/>
    <cellStyle name="Normal 15 2 2 3 2 4" xfId="17405"/>
    <cellStyle name="Normal 15 2 2 3 3" xfId="1787"/>
    <cellStyle name="Normal 15 2 2 3 3 2" xfId="5481"/>
    <cellStyle name="Normal 15 2 2 3 3 2 2" xfId="21706"/>
    <cellStyle name="Normal 15 2 2 3 3 3" xfId="18022"/>
    <cellStyle name="Normal 15 2 2 3 4" xfId="4288"/>
    <cellStyle name="Normal 15 2 2 3 4 2" xfId="20514"/>
    <cellStyle name="Normal 15 2 2 3 5" xfId="16830"/>
    <cellStyle name="Normal 15 2 2 4" xfId="795"/>
    <cellStyle name="Normal 15 2 2 4 2" xfId="1951"/>
    <cellStyle name="Normal 15 2 2 4 2 2" xfId="5644"/>
    <cellStyle name="Normal 15 2 2 4 2 2 2" xfId="21868"/>
    <cellStyle name="Normal 15 2 2 4 2 3" xfId="18184"/>
    <cellStyle name="Normal 15 2 2 4 3" xfId="4492"/>
    <cellStyle name="Normal 15 2 2 4 3 2" xfId="20718"/>
    <cellStyle name="Normal 15 2 2 4 4" xfId="17034"/>
    <cellStyle name="Normal 15 2 2 5" xfId="1463"/>
    <cellStyle name="Normal 15 2 2 5 2" xfId="5157"/>
    <cellStyle name="Normal 15 2 2 5 2 2" xfId="21382"/>
    <cellStyle name="Normal 15 2 2 5 3" xfId="17698"/>
    <cellStyle name="Normal 15 2 2 6" xfId="2442"/>
    <cellStyle name="Normal 15 2 2 6 2" xfId="6133"/>
    <cellStyle name="Normal 15 2 2 6 2 2" xfId="22357"/>
    <cellStyle name="Normal 15 2 2 6 3" xfId="18673"/>
    <cellStyle name="Normal 15 2 2 7" xfId="3896"/>
    <cellStyle name="Normal 15 2 2 7 2" xfId="20123"/>
    <cellStyle name="Normal 15 2 2 8" xfId="16439"/>
    <cellStyle name="Normal 15 2 3" xfId="167"/>
    <cellStyle name="Normal 15 2 3 2" xfId="373"/>
    <cellStyle name="Normal 15 2 3 2 2" xfId="988"/>
    <cellStyle name="Normal 15 2 3 2 2 2" xfId="2137"/>
    <cellStyle name="Normal 15 2 3 2 2 2 2" xfId="5830"/>
    <cellStyle name="Normal 15 2 3 2 2 2 2 2" xfId="22054"/>
    <cellStyle name="Normal 15 2 3 2 2 2 3" xfId="18370"/>
    <cellStyle name="Normal 15 2 3 2 2 3" xfId="4685"/>
    <cellStyle name="Normal 15 2 3 2 2 3 2" xfId="20911"/>
    <cellStyle name="Normal 15 2 3 2 2 4" xfId="17227"/>
    <cellStyle name="Normal 15 2 3 2 3" xfId="1649"/>
    <cellStyle name="Normal 15 2 3 2 3 2" xfId="5343"/>
    <cellStyle name="Normal 15 2 3 2 3 2 2" xfId="21568"/>
    <cellStyle name="Normal 15 2 3 2 3 3" xfId="17884"/>
    <cellStyle name="Normal 15 2 3 2 4" xfId="4110"/>
    <cellStyle name="Normal 15 2 3 2 4 2" xfId="20336"/>
    <cellStyle name="Normal 15 2 3 2 5" xfId="16652"/>
    <cellStyle name="Normal 15 2 3 3" xfId="597"/>
    <cellStyle name="Normal 15 2 3 3 2" xfId="1194"/>
    <cellStyle name="Normal 15 2 3 3 2 2" xfId="2299"/>
    <cellStyle name="Normal 15 2 3 3 2 2 2" xfId="5992"/>
    <cellStyle name="Normal 15 2 3 3 2 2 2 2" xfId="22216"/>
    <cellStyle name="Normal 15 2 3 3 2 2 3" xfId="18532"/>
    <cellStyle name="Normal 15 2 3 3 2 3" xfId="4891"/>
    <cellStyle name="Normal 15 2 3 3 2 3 2" xfId="21117"/>
    <cellStyle name="Normal 15 2 3 3 2 4" xfId="17433"/>
    <cellStyle name="Normal 15 2 3 3 3" xfId="1811"/>
    <cellStyle name="Normal 15 2 3 3 3 2" xfId="5505"/>
    <cellStyle name="Normal 15 2 3 3 3 2 2" xfId="21730"/>
    <cellStyle name="Normal 15 2 3 3 3 3" xfId="18046"/>
    <cellStyle name="Normal 15 2 3 3 4" xfId="4316"/>
    <cellStyle name="Normal 15 2 3 3 4 2" xfId="20542"/>
    <cellStyle name="Normal 15 2 3 3 5" xfId="16858"/>
    <cellStyle name="Normal 15 2 3 4" xfId="819"/>
    <cellStyle name="Normal 15 2 3 4 2" xfId="1975"/>
    <cellStyle name="Normal 15 2 3 4 2 2" xfId="5668"/>
    <cellStyle name="Normal 15 2 3 4 2 2 2" xfId="21892"/>
    <cellStyle name="Normal 15 2 3 4 2 3" xfId="18208"/>
    <cellStyle name="Normal 15 2 3 4 3" xfId="4516"/>
    <cellStyle name="Normal 15 2 3 4 3 2" xfId="20742"/>
    <cellStyle name="Normal 15 2 3 4 4" xfId="17058"/>
    <cellStyle name="Normal 15 2 3 5" xfId="1487"/>
    <cellStyle name="Normal 15 2 3 5 2" xfId="5181"/>
    <cellStyle name="Normal 15 2 3 5 2 2" xfId="21406"/>
    <cellStyle name="Normal 15 2 3 5 3" xfId="17722"/>
    <cellStyle name="Normal 15 2 3 6" xfId="2471"/>
    <cellStyle name="Normal 15 2 3 6 2" xfId="6161"/>
    <cellStyle name="Normal 15 2 3 6 2 2" xfId="22385"/>
    <cellStyle name="Normal 15 2 3 6 3" xfId="18701"/>
    <cellStyle name="Normal 15 2 3 7" xfId="3924"/>
    <cellStyle name="Normal 15 2 3 7 2" xfId="20151"/>
    <cellStyle name="Normal 15 2 3 8" xfId="16467"/>
    <cellStyle name="Normal 15 2 4" xfId="195"/>
    <cellStyle name="Normal 15 2 4 2" xfId="401"/>
    <cellStyle name="Normal 15 2 4 2 2" xfId="1016"/>
    <cellStyle name="Normal 15 2 4 2 2 2" xfId="2161"/>
    <cellStyle name="Normal 15 2 4 2 2 2 2" xfId="5854"/>
    <cellStyle name="Normal 15 2 4 2 2 2 2 2" xfId="22078"/>
    <cellStyle name="Normal 15 2 4 2 2 2 3" xfId="18394"/>
    <cellStyle name="Normal 15 2 4 2 2 3" xfId="4713"/>
    <cellStyle name="Normal 15 2 4 2 2 3 2" xfId="20939"/>
    <cellStyle name="Normal 15 2 4 2 2 4" xfId="17255"/>
    <cellStyle name="Normal 15 2 4 2 3" xfId="1673"/>
    <cellStyle name="Normal 15 2 4 2 3 2" xfId="5367"/>
    <cellStyle name="Normal 15 2 4 2 3 2 2" xfId="21592"/>
    <cellStyle name="Normal 15 2 4 2 3 3" xfId="17908"/>
    <cellStyle name="Normal 15 2 4 2 4" xfId="4138"/>
    <cellStyle name="Normal 15 2 4 2 4 2" xfId="20364"/>
    <cellStyle name="Normal 15 2 4 2 5" xfId="16680"/>
    <cellStyle name="Normal 15 2 4 3" xfId="625"/>
    <cellStyle name="Normal 15 2 4 3 2" xfId="1222"/>
    <cellStyle name="Normal 15 2 4 3 2 2" xfId="2323"/>
    <cellStyle name="Normal 15 2 4 3 2 2 2" xfId="6016"/>
    <cellStyle name="Normal 15 2 4 3 2 2 2 2" xfId="22240"/>
    <cellStyle name="Normal 15 2 4 3 2 2 3" xfId="18556"/>
    <cellStyle name="Normal 15 2 4 3 2 3" xfId="4919"/>
    <cellStyle name="Normal 15 2 4 3 2 3 2" xfId="21145"/>
    <cellStyle name="Normal 15 2 4 3 2 4" xfId="17461"/>
    <cellStyle name="Normal 15 2 4 3 3" xfId="1835"/>
    <cellStyle name="Normal 15 2 4 3 3 2" xfId="5529"/>
    <cellStyle name="Normal 15 2 4 3 3 2 2" xfId="21754"/>
    <cellStyle name="Normal 15 2 4 3 3 3" xfId="18070"/>
    <cellStyle name="Normal 15 2 4 3 4" xfId="4344"/>
    <cellStyle name="Normal 15 2 4 3 4 2" xfId="20570"/>
    <cellStyle name="Normal 15 2 4 3 5" xfId="16886"/>
    <cellStyle name="Normal 15 2 4 4" xfId="843"/>
    <cellStyle name="Normal 15 2 4 4 2" xfId="1999"/>
    <cellStyle name="Normal 15 2 4 4 2 2" xfId="5692"/>
    <cellStyle name="Normal 15 2 4 4 2 2 2" xfId="21916"/>
    <cellStyle name="Normal 15 2 4 4 2 3" xfId="18232"/>
    <cellStyle name="Normal 15 2 4 4 3" xfId="4540"/>
    <cellStyle name="Normal 15 2 4 4 3 2" xfId="20766"/>
    <cellStyle name="Normal 15 2 4 4 4" xfId="17082"/>
    <cellStyle name="Normal 15 2 4 5" xfId="1511"/>
    <cellStyle name="Normal 15 2 4 5 2" xfId="5205"/>
    <cellStyle name="Normal 15 2 4 5 2 2" xfId="21430"/>
    <cellStyle name="Normal 15 2 4 5 3" xfId="17746"/>
    <cellStyle name="Normal 15 2 4 6" xfId="2499"/>
    <cellStyle name="Normal 15 2 4 6 2" xfId="6189"/>
    <cellStyle name="Normal 15 2 4 6 2 2" xfId="22413"/>
    <cellStyle name="Normal 15 2 4 6 3" xfId="18729"/>
    <cellStyle name="Normal 15 2 4 7" xfId="3952"/>
    <cellStyle name="Normal 15 2 4 7 2" xfId="20179"/>
    <cellStyle name="Normal 15 2 4 8" xfId="16495"/>
    <cellStyle name="Normal 15 2 5" xfId="225"/>
    <cellStyle name="Normal 15 2 5 2" xfId="431"/>
    <cellStyle name="Normal 15 2 5 2 2" xfId="1046"/>
    <cellStyle name="Normal 15 2 5 2 2 2" xfId="2185"/>
    <cellStyle name="Normal 15 2 5 2 2 2 2" xfId="5878"/>
    <cellStyle name="Normal 15 2 5 2 2 2 2 2" xfId="22102"/>
    <cellStyle name="Normal 15 2 5 2 2 2 3" xfId="18418"/>
    <cellStyle name="Normal 15 2 5 2 2 3" xfId="4743"/>
    <cellStyle name="Normal 15 2 5 2 2 3 2" xfId="20969"/>
    <cellStyle name="Normal 15 2 5 2 2 4" xfId="17285"/>
    <cellStyle name="Normal 15 2 5 2 3" xfId="1697"/>
    <cellStyle name="Normal 15 2 5 2 3 2" xfId="5391"/>
    <cellStyle name="Normal 15 2 5 2 3 2 2" xfId="21616"/>
    <cellStyle name="Normal 15 2 5 2 3 3" xfId="17932"/>
    <cellStyle name="Normal 15 2 5 2 4" xfId="4168"/>
    <cellStyle name="Normal 15 2 5 2 4 2" xfId="20394"/>
    <cellStyle name="Normal 15 2 5 2 5" xfId="16710"/>
    <cellStyle name="Normal 15 2 5 3" xfId="655"/>
    <cellStyle name="Normal 15 2 5 3 2" xfId="1252"/>
    <cellStyle name="Normal 15 2 5 3 2 2" xfId="2347"/>
    <cellStyle name="Normal 15 2 5 3 2 2 2" xfId="6040"/>
    <cellStyle name="Normal 15 2 5 3 2 2 2 2" xfId="22264"/>
    <cellStyle name="Normal 15 2 5 3 2 2 3" xfId="18580"/>
    <cellStyle name="Normal 15 2 5 3 2 3" xfId="4949"/>
    <cellStyle name="Normal 15 2 5 3 2 3 2" xfId="21175"/>
    <cellStyle name="Normal 15 2 5 3 2 4" xfId="17491"/>
    <cellStyle name="Normal 15 2 5 3 3" xfId="1859"/>
    <cellStyle name="Normal 15 2 5 3 3 2" xfId="5553"/>
    <cellStyle name="Normal 15 2 5 3 3 2 2" xfId="21778"/>
    <cellStyle name="Normal 15 2 5 3 3 3" xfId="18094"/>
    <cellStyle name="Normal 15 2 5 3 4" xfId="4374"/>
    <cellStyle name="Normal 15 2 5 3 4 2" xfId="20600"/>
    <cellStyle name="Normal 15 2 5 3 5" xfId="16916"/>
    <cellStyle name="Normal 15 2 5 4" xfId="867"/>
    <cellStyle name="Normal 15 2 5 4 2" xfId="2023"/>
    <cellStyle name="Normal 15 2 5 4 2 2" xfId="5716"/>
    <cellStyle name="Normal 15 2 5 4 2 2 2" xfId="21940"/>
    <cellStyle name="Normal 15 2 5 4 2 3" xfId="18256"/>
    <cellStyle name="Normal 15 2 5 4 3" xfId="4564"/>
    <cellStyle name="Normal 15 2 5 4 3 2" xfId="20790"/>
    <cellStyle name="Normal 15 2 5 4 4" xfId="17106"/>
    <cellStyle name="Normal 15 2 5 5" xfId="1535"/>
    <cellStyle name="Normal 15 2 5 5 2" xfId="5229"/>
    <cellStyle name="Normal 15 2 5 5 2 2" xfId="21454"/>
    <cellStyle name="Normal 15 2 5 5 3" xfId="17770"/>
    <cellStyle name="Normal 15 2 5 6" xfId="2529"/>
    <cellStyle name="Normal 15 2 5 6 2" xfId="6219"/>
    <cellStyle name="Normal 15 2 5 6 2 2" xfId="22443"/>
    <cellStyle name="Normal 15 2 5 6 3" xfId="18759"/>
    <cellStyle name="Normal 15 2 5 7" xfId="3982"/>
    <cellStyle name="Normal 15 2 5 7 2" xfId="20209"/>
    <cellStyle name="Normal 15 2 5 8" xfId="16525"/>
    <cellStyle name="Normal 15 2 6" xfId="260"/>
    <cellStyle name="Normal 15 2 6 2" xfId="457"/>
    <cellStyle name="Normal 15 2 6 2 2" xfId="1072"/>
    <cellStyle name="Normal 15 2 6 2 2 2" xfId="2209"/>
    <cellStyle name="Normal 15 2 6 2 2 2 2" xfId="5902"/>
    <cellStyle name="Normal 15 2 6 2 2 2 2 2" xfId="22126"/>
    <cellStyle name="Normal 15 2 6 2 2 2 3" xfId="18442"/>
    <cellStyle name="Normal 15 2 6 2 2 3" xfId="4769"/>
    <cellStyle name="Normal 15 2 6 2 2 3 2" xfId="20995"/>
    <cellStyle name="Normal 15 2 6 2 2 4" xfId="17311"/>
    <cellStyle name="Normal 15 2 6 2 3" xfId="1721"/>
    <cellStyle name="Normal 15 2 6 2 3 2" xfId="5415"/>
    <cellStyle name="Normal 15 2 6 2 3 2 2" xfId="21640"/>
    <cellStyle name="Normal 15 2 6 2 3 3" xfId="17956"/>
    <cellStyle name="Normal 15 2 6 2 4" xfId="4194"/>
    <cellStyle name="Normal 15 2 6 2 4 2" xfId="20420"/>
    <cellStyle name="Normal 15 2 6 2 5" xfId="16736"/>
    <cellStyle name="Normal 15 2 6 3" xfId="690"/>
    <cellStyle name="Normal 15 2 6 3 2" xfId="1278"/>
    <cellStyle name="Normal 15 2 6 3 2 2" xfId="2371"/>
    <cellStyle name="Normal 15 2 6 3 2 2 2" xfId="6064"/>
    <cellStyle name="Normal 15 2 6 3 2 2 2 2" xfId="22288"/>
    <cellStyle name="Normal 15 2 6 3 2 2 3" xfId="18604"/>
    <cellStyle name="Normal 15 2 6 3 2 3" xfId="4975"/>
    <cellStyle name="Normal 15 2 6 3 2 3 2" xfId="21201"/>
    <cellStyle name="Normal 15 2 6 3 2 4" xfId="17517"/>
    <cellStyle name="Normal 15 2 6 3 3" xfId="1883"/>
    <cellStyle name="Normal 15 2 6 3 3 2" xfId="5577"/>
    <cellStyle name="Normal 15 2 6 3 3 2 2" xfId="21802"/>
    <cellStyle name="Normal 15 2 6 3 3 3" xfId="18118"/>
    <cellStyle name="Normal 15 2 6 3 4" xfId="4400"/>
    <cellStyle name="Normal 15 2 6 3 4 2" xfId="20626"/>
    <cellStyle name="Normal 15 2 6 3 5" xfId="16942"/>
    <cellStyle name="Normal 15 2 6 4" xfId="891"/>
    <cellStyle name="Normal 15 2 6 4 2" xfId="2047"/>
    <cellStyle name="Normal 15 2 6 4 2 2" xfId="5740"/>
    <cellStyle name="Normal 15 2 6 4 2 2 2" xfId="21964"/>
    <cellStyle name="Normal 15 2 6 4 2 3" xfId="18280"/>
    <cellStyle name="Normal 15 2 6 4 3" xfId="4588"/>
    <cellStyle name="Normal 15 2 6 4 3 2" xfId="20814"/>
    <cellStyle name="Normal 15 2 6 4 4" xfId="17130"/>
    <cellStyle name="Normal 15 2 6 5" xfId="1559"/>
    <cellStyle name="Normal 15 2 6 5 2" xfId="5253"/>
    <cellStyle name="Normal 15 2 6 5 2 2" xfId="21478"/>
    <cellStyle name="Normal 15 2 6 5 3" xfId="17794"/>
    <cellStyle name="Normal 15 2 6 6" xfId="2555"/>
    <cellStyle name="Normal 15 2 6 6 2" xfId="6245"/>
    <cellStyle name="Normal 15 2 6 6 2 2" xfId="22469"/>
    <cellStyle name="Normal 15 2 6 6 3" xfId="18785"/>
    <cellStyle name="Normal 15 2 6 7" xfId="4008"/>
    <cellStyle name="Normal 15 2 6 7 2" xfId="20235"/>
    <cellStyle name="Normal 15 2 6 8" xfId="16551"/>
    <cellStyle name="Normal 15 2 7" xfId="298"/>
    <cellStyle name="Normal 15 2 7 2" xfId="485"/>
    <cellStyle name="Normal 15 2 7 2 2" xfId="1100"/>
    <cellStyle name="Normal 15 2 7 2 2 2" xfId="2233"/>
    <cellStyle name="Normal 15 2 7 2 2 2 2" xfId="5926"/>
    <cellStyle name="Normal 15 2 7 2 2 2 2 2" xfId="22150"/>
    <cellStyle name="Normal 15 2 7 2 2 2 3" xfId="18466"/>
    <cellStyle name="Normal 15 2 7 2 2 3" xfId="4797"/>
    <cellStyle name="Normal 15 2 7 2 2 3 2" xfId="21023"/>
    <cellStyle name="Normal 15 2 7 2 2 4" xfId="17339"/>
    <cellStyle name="Normal 15 2 7 2 3" xfId="1745"/>
    <cellStyle name="Normal 15 2 7 2 3 2" xfId="5439"/>
    <cellStyle name="Normal 15 2 7 2 3 2 2" xfId="21664"/>
    <cellStyle name="Normal 15 2 7 2 3 3" xfId="17980"/>
    <cellStyle name="Normal 15 2 7 2 4" xfId="4222"/>
    <cellStyle name="Normal 15 2 7 2 4 2" xfId="20448"/>
    <cellStyle name="Normal 15 2 7 2 5" xfId="16764"/>
    <cellStyle name="Normal 15 2 7 3" xfId="727"/>
    <cellStyle name="Normal 15 2 7 3 2" xfId="1306"/>
    <cellStyle name="Normal 15 2 7 3 2 2" xfId="2395"/>
    <cellStyle name="Normal 15 2 7 3 2 2 2" xfId="6088"/>
    <cellStyle name="Normal 15 2 7 3 2 2 2 2" xfId="22312"/>
    <cellStyle name="Normal 15 2 7 3 2 2 3" xfId="18628"/>
    <cellStyle name="Normal 15 2 7 3 2 3" xfId="5003"/>
    <cellStyle name="Normal 15 2 7 3 2 3 2" xfId="21229"/>
    <cellStyle name="Normal 15 2 7 3 2 4" xfId="17545"/>
    <cellStyle name="Normal 15 2 7 3 3" xfId="1907"/>
    <cellStyle name="Normal 15 2 7 3 3 2" xfId="5601"/>
    <cellStyle name="Normal 15 2 7 3 3 2 2" xfId="21826"/>
    <cellStyle name="Normal 15 2 7 3 3 3" xfId="18142"/>
    <cellStyle name="Normal 15 2 7 3 4" xfId="4428"/>
    <cellStyle name="Normal 15 2 7 3 4 2" xfId="20654"/>
    <cellStyle name="Normal 15 2 7 3 5" xfId="16970"/>
    <cellStyle name="Normal 15 2 7 4" xfId="915"/>
    <cellStyle name="Normal 15 2 7 4 2" xfId="2071"/>
    <cellStyle name="Normal 15 2 7 4 2 2" xfId="5764"/>
    <cellStyle name="Normal 15 2 7 4 2 2 2" xfId="21988"/>
    <cellStyle name="Normal 15 2 7 4 2 3" xfId="18304"/>
    <cellStyle name="Normal 15 2 7 4 3" xfId="4612"/>
    <cellStyle name="Normal 15 2 7 4 3 2" xfId="20838"/>
    <cellStyle name="Normal 15 2 7 4 4" xfId="17154"/>
    <cellStyle name="Normal 15 2 7 5" xfId="1583"/>
    <cellStyle name="Normal 15 2 7 5 2" xfId="5277"/>
    <cellStyle name="Normal 15 2 7 5 2 2" xfId="21502"/>
    <cellStyle name="Normal 15 2 7 5 3" xfId="17818"/>
    <cellStyle name="Normal 15 2 7 6" xfId="2584"/>
    <cellStyle name="Normal 15 2 7 6 2" xfId="6273"/>
    <cellStyle name="Normal 15 2 7 6 2 2" xfId="22497"/>
    <cellStyle name="Normal 15 2 7 6 3" xfId="18813"/>
    <cellStyle name="Normal 15 2 7 7" xfId="4036"/>
    <cellStyle name="Normal 15 2 7 7 2" xfId="20263"/>
    <cellStyle name="Normal 15 2 7 8" xfId="16579"/>
    <cellStyle name="Normal 15 2 8" xfId="324"/>
    <cellStyle name="Normal 15 2 8 2" xfId="940"/>
    <cellStyle name="Normal 15 2 8 2 2" xfId="2095"/>
    <cellStyle name="Normal 15 2 8 2 2 2" xfId="5788"/>
    <cellStyle name="Normal 15 2 8 2 2 2 2" xfId="22012"/>
    <cellStyle name="Normal 15 2 8 2 2 3" xfId="18328"/>
    <cellStyle name="Normal 15 2 8 2 3" xfId="4637"/>
    <cellStyle name="Normal 15 2 8 2 3 2" xfId="20863"/>
    <cellStyle name="Normal 15 2 8 2 4" xfId="17179"/>
    <cellStyle name="Normal 15 2 8 3" xfId="1607"/>
    <cellStyle name="Normal 15 2 8 3 2" xfId="5301"/>
    <cellStyle name="Normal 15 2 8 3 2 2" xfId="21526"/>
    <cellStyle name="Normal 15 2 8 3 3" xfId="17842"/>
    <cellStyle name="Normal 15 2 8 4" xfId="4061"/>
    <cellStyle name="Normal 15 2 8 4 2" xfId="20288"/>
    <cellStyle name="Normal 15 2 8 5" xfId="16604"/>
    <cellStyle name="Normal 15 2 9" xfId="540"/>
    <cellStyle name="Normal 15 2 9 2" xfId="1146"/>
    <cellStyle name="Normal 15 2 9 2 2" xfId="2257"/>
    <cellStyle name="Normal 15 2 9 2 2 2" xfId="5950"/>
    <cellStyle name="Normal 15 2 9 2 2 2 2" xfId="22174"/>
    <cellStyle name="Normal 15 2 9 2 2 3" xfId="18490"/>
    <cellStyle name="Normal 15 2 9 2 3" xfId="4843"/>
    <cellStyle name="Normal 15 2 9 2 3 2" xfId="21069"/>
    <cellStyle name="Normal 15 2 9 2 4" xfId="17385"/>
    <cellStyle name="Normal 15 2 9 3" xfId="1769"/>
    <cellStyle name="Normal 15 2 9 3 2" xfId="5463"/>
    <cellStyle name="Normal 15 2 9 3 2 2" xfId="21688"/>
    <cellStyle name="Normal 15 2 9 3 3" xfId="18004"/>
    <cellStyle name="Normal 15 2 9 4" xfId="4268"/>
    <cellStyle name="Normal 15 2 9 4 2" xfId="20494"/>
    <cellStyle name="Normal 15 2 9 5" xfId="16810"/>
    <cellStyle name="Normal 15 3" xfId="115"/>
    <cellStyle name="Normal 15 3 10" xfId="783"/>
    <cellStyle name="Normal 15 3 10 2" xfId="1939"/>
    <cellStyle name="Normal 15 3 10 2 2" xfId="5632"/>
    <cellStyle name="Normal 15 3 10 2 2 2" xfId="21856"/>
    <cellStyle name="Normal 15 3 10 2 3" xfId="18172"/>
    <cellStyle name="Normal 15 3 10 3" xfId="4480"/>
    <cellStyle name="Normal 15 3 10 3 2" xfId="20706"/>
    <cellStyle name="Normal 15 3 10 4" xfId="17022"/>
    <cellStyle name="Normal 15 3 11" xfId="1451"/>
    <cellStyle name="Normal 15 3 11 2" xfId="5145"/>
    <cellStyle name="Normal 15 3 11 2 2" xfId="21370"/>
    <cellStyle name="Normal 15 3 11 3" xfId="17686"/>
    <cellStyle name="Normal 15 3 12" xfId="2428"/>
    <cellStyle name="Normal 15 3 12 2" xfId="6120"/>
    <cellStyle name="Normal 15 3 12 2 2" xfId="22344"/>
    <cellStyle name="Normal 15 3 12 3" xfId="18660"/>
    <cellStyle name="Normal 15 3 13" xfId="3883"/>
    <cellStyle name="Normal 15 3 13 2" xfId="20110"/>
    <cellStyle name="Normal 15 3 14" xfId="16426"/>
    <cellStyle name="Normal 15 3 2" xfId="145"/>
    <cellStyle name="Normal 15 3 2 2" xfId="352"/>
    <cellStyle name="Normal 15 3 2 2 2" xfId="967"/>
    <cellStyle name="Normal 15 3 2 2 2 2" xfId="2119"/>
    <cellStyle name="Normal 15 3 2 2 2 2 2" xfId="5812"/>
    <cellStyle name="Normal 15 3 2 2 2 2 2 2" xfId="22036"/>
    <cellStyle name="Normal 15 3 2 2 2 2 3" xfId="18352"/>
    <cellStyle name="Normal 15 3 2 2 2 3" xfId="4664"/>
    <cellStyle name="Normal 15 3 2 2 2 3 2" xfId="20890"/>
    <cellStyle name="Normal 15 3 2 2 2 4" xfId="17206"/>
    <cellStyle name="Normal 15 3 2 2 3" xfId="1631"/>
    <cellStyle name="Normal 15 3 2 2 3 2" xfId="5325"/>
    <cellStyle name="Normal 15 3 2 2 3 2 2" xfId="21550"/>
    <cellStyle name="Normal 15 3 2 2 3 3" xfId="17866"/>
    <cellStyle name="Normal 15 3 2 2 4" xfId="4089"/>
    <cellStyle name="Normal 15 3 2 2 4 2" xfId="20315"/>
    <cellStyle name="Normal 15 3 2 2 5" xfId="16631"/>
    <cellStyle name="Normal 15 3 2 3" xfId="576"/>
    <cellStyle name="Normal 15 3 2 3 2" xfId="1173"/>
    <cellStyle name="Normal 15 3 2 3 2 2" xfId="2281"/>
    <cellStyle name="Normal 15 3 2 3 2 2 2" xfId="5974"/>
    <cellStyle name="Normal 15 3 2 3 2 2 2 2" xfId="22198"/>
    <cellStyle name="Normal 15 3 2 3 2 2 3" xfId="18514"/>
    <cellStyle name="Normal 15 3 2 3 2 3" xfId="4870"/>
    <cellStyle name="Normal 15 3 2 3 2 3 2" xfId="21096"/>
    <cellStyle name="Normal 15 3 2 3 2 4" xfId="17412"/>
    <cellStyle name="Normal 15 3 2 3 3" xfId="1793"/>
    <cellStyle name="Normal 15 3 2 3 3 2" xfId="5487"/>
    <cellStyle name="Normal 15 3 2 3 3 2 2" xfId="21712"/>
    <cellStyle name="Normal 15 3 2 3 3 3" xfId="18028"/>
    <cellStyle name="Normal 15 3 2 3 4" xfId="4295"/>
    <cellStyle name="Normal 15 3 2 3 4 2" xfId="20521"/>
    <cellStyle name="Normal 15 3 2 3 5" xfId="16837"/>
    <cellStyle name="Normal 15 3 2 4" xfId="801"/>
    <cellStyle name="Normal 15 3 2 4 2" xfId="1957"/>
    <cellStyle name="Normal 15 3 2 4 2 2" xfId="5650"/>
    <cellStyle name="Normal 15 3 2 4 2 2 2" xfId="21874"/>
    <cellStyle name="Normal 15 3 2 4 2 3" xfId="18190"/>
    <cellStyle name="Normal 15 3 2 4 3" xfId="4498"/>
    <cellStyle name="Normal 15 3 2 4 3 2" xfId="20724"/>
    <cellStyle name="Normal 15 3 2 4 4" xfId="17040"/>
    <cellStyle name="Normal 15 3 2 5" xfId="1469"/>
    <cellStyle name="Normal 15 3 2 5 2" xfId="5163"/>
    <cellStyle name="Normal 15 3 2 5 2 2" xfId="21388"/>
    <cellStyle name="Normal 15 3 2 5 3" xfId="17704"/>
    <cellStyle name="Normal 15 3 2 6" xfId="2449"/>
    <cellStyle name="Normal 15 3 2 6 2" xfId="6140"/>
    <cellStyle name="Normal 15 3 2 6 2 2" xfId="22364"/>
    <cellStyle name="Normal 15 3 2 6 3" xfId="18680"/>
    <cellStyle name="Normal 15 3 2 7" xfId="3903"/>
    <cellStyle name="Normal 15 3 2 7 2" xfId="20130"/>
    <cellStyle name="Normal 15 3 2 8" xfId="16446"/>
    <cellStyle name="Normal 15 3 3" xfId="174"/>
    <cellStyle name="Normal 15 3 3 2" xfId="380"/>
    <cellStyle name="Normal 15 3 3 2 2" xfId="995"/>
    <cellStyle name="Normal 15 3 3 2 2 2" xfId="2143"/>
    <cellStyle name="Normal 15 3 3 2 2 2 2" xfId="5836"/>
    <cellStyle name="Normal 15 3 3 2 2 2 2 2" xfId="22060"/>
    <cellStyle name="Normal 15 3 3 2 2 2 3" xfId="18376"/>
    <cellStyle name="Normal 15 3 3 2 2 3" xfId="4692"/>
    <cellStyle name="Normal 15 3 3 2 2 3 2" xfId="20918"/>
    <cellStyle name="Normal 15 3 3 2 2 4" xfId="17234"/>
    <cellStyle name="Normal 15 3 3 2 3" xfId="1655"/>
    <cellStyle name="Normal 15 3 3 2 3 2" xfId="5349"/>
    <cellStyle name="Normal 15 3 3 2 3 2 2" xfId="21574"/>
    <cellStyle name="Normal 15 3 3 2 3 3" xfId="17890"/>
    <cellStyle name="Normal 15 3 3 2 4" xfId="4117"/>
    <cellStyle name="Normal 15 3 3 2 4 2" xfId="20343"/>
    <cellStyle name="Normal 15 3 3 2 5" xfId="16659"/>
    <cellStyle name="Normal 15 3 3 3" xfId="604"/>
    <cellStyle name="Normal 15 3 3 3 2" xfId="1201"/>
    <cellStyle name="Normal 15 3 3 3 2 2" xfId="2305"/>
    <cellStyle name="Normal 15 3 3 3 2 2 2" xfId="5998"/>
    <cellStyle name="Normal 15 3 3 3 2 2 2 2" xfId="22222"/>
    <cellStyle name="Normal 15 3 3 3 2 2 3" xfId="18538"/>
    <cellStyle name="Normal 15 3 3 3 2 3" xfId="4898"/>
    <cellStyle name="Normal 15 3 3 3 2 3 2" xfId="21124"/>
    <cellStyle name="Normal 15 3 3 3 2 4" xfId="17440"/>
    <cellStyle name="Normal 15 3 3 3 3" xfId="1817"/>
    <cellStyle name="Normal 15 3 3 3 3 2" xfId="5511"/>
    <cellStyle name="Normal 15 3 3 3 3 2 2" xfId="21736"/>
    <cellStyle name="Normal 15 3 3 3 3 3" xfId="18052"/>
    <cellStyle name="Normal 15 3 3 3 4" xfId="4323"/>
    <cellStyle name="Normal 15 3 3 3 4 2" xfId="20549"/>
    <cellStyle name="Normal 15 3 3 3 5" xfId="16865"/>
    <cellStyle name="Normal 15 3 3 4" xfId="825"/>
    <cellStyle name="Normal 15 3 3 4 2" xfId="1981"/>
    <cellStyle name="Normal 15 3 3 4 2 2" xfId="5674"/>
    <cellStyle name="Normal 15 3 3 4 2 2 2" xfId="21898"/>
    <cellStyle name="Normal 15 3 3 4 2 3" xfId="18214"/>
    <cellStyle name="Normal 15 3 3 4 3" xfId="4522"/>
    <cellStyle name="Normal 15 3 3 4 3 2" xfId="20748"/>
    <cellStyle name="Normal 15 3 3 4 4" xfId="17064"/>
    <cellStyle name="Normal 15 3 3 5" xfId="1493"/>
    <cellStyle name="Normal 15 3 3 5 2" xfId="5187"/>
    <cellStyle name="Normal 15 3 3 5 2 2" xfId="21412"/>
    <cellStyle name="Normal 15 3 3 5 3" xfId="17728"/>
    <cellStyle name="Normal 15 3 3 6" xfId="2478"/>
    <cellStyle name="Normal 15 3 3 6 2" xfId="6168"/>
    <cellStyle name="Normal 15 3 3 6 2 2" xfId="22392"/>
    <cellStyle name="Normal 15 3 3 6 3" xfId="18708"/>
    <cellStyle name="Normal 15 3 3 7" xfId="3931"/>
    <cellStyle name="Normal 15 3 3 7 2" xfId="20158"/>
    <cellStyle name="Normal 15 3 3 8" xfId="16474"/>
    <cellStyle name="Normal 15 3 4" xfId="202"/>
    <cellStyle name="Normal 15 3 4 2" xfId="408"/>
    <cellStyle name="Normal 15 3 4 2 2" xfId="1023"/>
    <cellStyle name="Normal 15 3 4 2 2 2" xfId="2167"/>
    <cellStyle name="Normal 15 3 4 2 2 2 2" xfId="5860"/>
    <cellStyle name="Normal 15 3 4 2 2 2 2 2" xfId="22084"/>
    <cellStyle name="Normal 15 3 4 2 2 2 3" xfId="18400"/>
    <cellStyle name="Normal 15 3 4 2 2 3" xfId="4720"/>
    <cellStyle name="Normal 15 3 4 2 2 3 2" xfId="20946"/>
    <cellStyle name="Normal 15 3 4 2 2 4" xfId="17262"/>
    <cellStyle name="Normal 15 3 4 2 3" xfId="1679"/>
    <cellStyle name="Normal 15 3 4 2 3 2" xfId="5373"/>
    <cellStyle name="Normal 15 3 4 2 3 2 2" xfId="21598"/>
    <cellStyle name="Normal 15 3 4 2 3 3" xfId="17914"/>
    <cellStyle name="Normal 15 3 4 2 4" xfId="4145"/>
    <cellStyle name="Normal 15 3 4 2 4 2" xfId="20371"/>
    <cellStyle name="Normal 15 3 4 2 5" xfId="16687"/>
    <cellStyle name="Normal 15 3 4 3" xfId="632"/>
    <cellStyle name="Normal 15 3 4 3 2" xfId="1229"/>
    <cellStyle name="Normal 15 3 4 3 2 2" xfId="2329"/>
    <cellStyle name="Normal 15 3 4 3 2 2 2" xfId="6022"/>
    <cellStyle name="Normal 15 3 4 3 2 2 2 2" xfId="22246"/>
    <cellStyle name="Normal 15 3 4 3 2 2 3" xfId="18562"/>
    <cellStyle name="Normal 15 3 4 3 2 3" xfId="4926"/>
    <cellStyle name="Normal 15 3 4 3 2 3 2" xfId="21152"/>
    <cellStyle name="Normal 15 3 4 3 2 4" xfId="17468"/>
    <cellStyle name="Normal 15 3 4 3 3" xfId="1841"/>
    <cellStyle name="Normal 15 3 4 3 3 2" xfId="5535"/>
    <cellStyle name="Normal 15 3 4 3 3 2 2" xfId="21760"/>
    <cellStyle name="Normal 15 3 4 3 3 3" xfId="18076"/>
    <cellStyle name="Normal 15 3 4 3 4" xfId="4351"/>
    <cellStyle name="Normal 15 3 4 3 4 2" xfId="20577"/>
    <cellStyle name="Normal 15 3 4 3 5" xfId="16893"/>
    <cellStyle name="Normal 15 3 4 4" xfId="849"/>
    <cellStyle name="Normal 15 3 4 4 2" xfId="2005"/>
    <cellStyle name="Normal 15 3 4 4 2 2" xfId="5698"/>
    <cellStyle name="Normal 15 3 4 4 2 2 2" xfId="21922"/>
    <cellStyle name="Normal 15 3 4 4 2 3" xfId="18238"/>
    <cellStyle name="Normal 15 3 4 4 3" xfId="4546"/>
    <cellStyle name="Normal 15 3 4 4 3 2" xfId="20772"/>
    <cellStyle name="Normal 15 3 4 4 4" xfId="17088"/>
    <cellStyle name="Normal 15 3 4 5" xfId="1517"/>
    <cellStyle name="Normal 15 3 4 5 2" xfId="5211"/>
    <cellStyle name="Normal 15 3 4 5 2 2" xfId="21436"/>
    <cellStyle name="Normal 15 3 4 5 3" xfId="17752"/>
    <cellStyle name="Normal 15 3 4 6" xfId="2506"/>
    <cellStyle name="Normal 15 3 4 6 2" xfId="6196"/>
    <cellStyle name="Normal 15 3 4 6 2 2" xfId="22420"/>
    <cellStyle name="Normal 15 3 4 6 3" xfId="18736"/>
    <cellStyle name="Normal 15 3 4 7" xfId="3959"/>
    <cellStyle name="Normal 15 3 4 7 2" xfId="20186"/>
    <cellStyle name="Normal 15 3 4 8" xfId="16502"/>
    <cellStyle name="Normal 15 3 5" xfId="231"/>
    <cellStyle name="Normal 15 3 5 2" xfId="437"/>
    <cellStyle name="Normal 15 3 5 2 2" xfId="1052"/>
    <cellStyle name="Normal 15 3 5 2 2 2" xfId="2191"/>
    <cellStyle name="Normal 15 3 5 2 2 2 2" xfId="5884"/>
    <cellStyle name="Normal 15 3 5 2 2 2 2 2" xfId="22108"/>
    <cellStyle name="Normal 15 3 5 2 2 2 3" xfId="18424"/>
    <cellStyle name="Normal 15 3 5 2 2 3" xfId="4749"/>
    <cellStyle name="Normal 15 3 5 2 2 3 2" xfId="20975"/>
    <cellStyle name="Normal 15 3 5 2 2 4" xfId="17291"/>
    <cellStyle name="Normal 15 3 5 2 3" xfId="1703"/>
    <cellStyle name="Normal 15 3 5 2 3 2" xfId="5397"/>
    <cellStyle name="Normal 15 3 5 2 3 2 2" xfId="21622"/>
    <cellStyle name="Normal 15 3 5 2 3 3" xfId="17938"/>
    <cellStyle name="Normal 15 3 5 2 4" xfId="4174"/>
    <cellStyle name="Normal 15 3 5 2 4 2" xfId="20400"/>
    <cellStyle name="Normal 15 3 5 2 5" xfId="16716"/>
    <cellStyle name="Normal 15 3 5 3" xfId="661"/>
    <cellStyle name="Normal 15 3 5 3 2" xfId="1258"/>
    <cellStyle name="Normal 15 3 5 3 2 2" xfId="2353"/>
    <cellStyle name="Normal 15 3 5 3 2 2 2" xfId="6046"/>
    <cellStyle name="Normal 15 3 5 3 2 2 2 2" xfId="22270"/>
    <cellStyle name="Normal 15 3 5 3 2 2 3" xfId="18586"/>
    <cellStyle name="Normal 15 3 5 3 2 3" xfId="4955"/>
    <cellStyle name="Normal 15 3 5 3 2 3 2" xfId="21181"/>
    <cellStyle name="Normal 15 3 5 3 2 4" xfId="17497"/>
    <cellStyle name="Normal 15 3 5 3 3" xfId="1865"/>
    <cellStyle name="Normal 15 3 5 3 3 2" xfId="5559"/>
    <cellStyle name="Normal 15 3 5 3 3 2 2" xfId="21784"/>
    <cellStyle name="Normal 15 3 5 3 3 3" xfId="18100"/>
    <cellStyle name="Normal 15 3 5 3 4" xfId="4380"/>
    <cellStyle name="Normal 15 3 5 3 4 2" xfId="20606"/>
    <cellStyle name="Normal 15 3 5 3 5" xfId="16922"/>
    <cellStyle name="Normal 15 3 5 4" xfId="873"/>
    <cellStyle name="Normal 15 3 5 4 2" xfId="2029"/>
    <cellStyle name="Normal 15 3 5 4 2 2" xfId="5722"/>
    <cellStyle name="Normal 15 3 5 4 2 2 2" xfId="21946"/>
    <cellStyle name="Normal 15 3 5 4 2 3" xfId="18262"/>
    <cellStyle name="Normal 15 3 5 4 3" xfId="4570"/>
    <cellStyle name="Normal 15 3 5 4 3 2" xfId="20796"/>
    <cellStyle name="Normal 15 3 5 4 4" xfId="17112"/>
    <cellStyle name="Normal 15 3 5 5" xfId="1541"/>
    <cellStyle name="Normal 15 3 5 5 2" xfId="5235"/>
    <cellStyle name="Normal 15 3 5 5 2 2" xfId="21460"/>
    <cellStyle name="Normal 15 3 5 5 3" xfId="17776"/>
    <cellStyle name="Normal 15 3 5 6" xfId="2535"/>
    <cellStyle name="Normal 15 3 5 6 2" xfId="6225"/>
    <cellStyle name="Normal 15 3 5 6 2 2" xfId="22449"/>
    <cellStyle name="Normal 15 3 5 6 3" xfId="18765"/>
    <cellStyle name="Normal 15 3 5 7" xfId="3988"/>
    <cellStyle name="Normal 15 3 5 7 2" xfId="20215"/>
    <cellStyle name="Normal 15 3 5 8" xfId="16531"/>
    <cellStyle name="Normal 15 3 6" xfId="267"/>
    <cellStyle name="Normal 15 3 6 2" xfId="464"/>
    <cellStyle name="Normal 15 3 6 2 2" xfId="1079"/>
    <cellStyle name="Normal 15 3 6 2 2 2" xfId="2215"/>
    <cellStyle name="Normal 15 3 6 2 2 2 2" xfId="5908"/>
    <cellStyle name="Normal 15 3 6 2 2 2 2 2" xfId="22132"/>
    <cellStyle name="Normal 15 3 6 2 2 2 3" xfId="18448"/>
    <cellStyle name="Normal 15 3 6 2 2 3" xfId="4776"/>
    <cellStyle name="Normal 15 3 6 2 2 3 2" xfId="21002"/>
    <cellStyle name="Normal 15 3 6 2 2 4" xfId="17318"/>
    <cellStyle name="Normal 15 3 6 2 3" xfId="1727"/>
    <cellStyle name="Normal 15 3 6 2 3 2" xfId="5421"/>
    <cellStyle name="Normal 15 3 6 2 3 2 2" xfId="21646"/>
    <cellStyle name="Normal 15 3 6 2 3 3" xfId="17962"/>
    <cellStyle name="Normal 15 3 6 2 4" xfId="4201"/>
    <cellStyle name="Normal 15 3 6 2 4 2" xfId="20427"/>
    <cellStyle name="Normal 15 3 6 2 5" xfId="16743"/>
    <cellStyle name="Normal 15 3 6 3" xfId="697"/>
    <cellStyle name="Normal 15 3 6 3 2" xfId="1285"/>
    <cellStyle name="Normal 15 3 6 3 2 2" xfId="2377"/>
    <cellStyle name="Normal 15 3 6 3 2 2 2" xfId="6070"/>
    <cellStyle name="Normal 15 3 6 3 2 2 2 2" xfId="22294"/>
    <cellStyle name="Normal 15 3 6 3 2 2 3" xfId="18610"/>
    <cellStyle name="Normal 15 3 6 3 2 3" xfId="4982"/>
    <cellStyle name="Normal 15 3 6 3 2 3 2" xfId="21208"/>
    <cellStyle name="Normal 15 3 6 3 2 4" xfId="17524"/>
    <cellStyle name="Normal 15 3 6 3 3" xfId="1889"/>
    <cellStyle name="Normal 15 3 6 3 3 2" xfId="5583"/>
    <cellStyle name="Normal 15 3 6 3 3 2 2" xfId="21808"/>
    <cellStyle name="Normal 15 3 6 3 3 3" xfId="18124"/>
    <cellStyle name="Normal 15 3 6 3 4" xfId="4407"/>
    <cellStyle name="Normal 15 3 6 3 4 2" xfId="20633"/>
    <cellStyle name="Normal 15 3 6 3 5" xfId="16949"/>
    <cellStyle name="Normal 15 3 6 4" xfId="897"/>
    <cellStyle name="Normal 15 3 6 4 2" xfId="2053"/>
    <cellStyle name="Normal 15 3 6 4 2 2" xfId="5746"/>
    <cellStyle name="Normal 15 3 6 4 2 2 2" xfId="21970"/>
    <cellStyle name="Normal 15 3 6 4 2 3" xfId="18286"/>
    <cellStyle name="Normal 15 3 6 4 3" xfId="4594"/>
    <cellStyle name="Normal 15 3 6 4 3 2" xfId="20820"/>
    <cellStyle name="Normal 15 3 6 4 4" xfId="17136"/>
    <cellStyle name="Normal 15 3 6 5" xfId="1565"/>
    <cellStyle name="Normal 15 3 6 5 2" xfId="5259"/>
    <cellStyle name="Normal 15 3 6 5 2 2" xfId="21484"/>
    <cellStyle name="Normal 15 3 6 5 3" xfId="17800"/>
    <cellStyle name="Normal 15 3 6 6" xfId="2562"/>
    <cellStyle name="Normal 15 3 6 6 2" xfId="6252"/>
    <cellStyle name="Normal 15 3 6 6 2 2" xfId="22476"/>
    <cellStyle name="Normal 15 3 6 6 3" xfId="18792"/>
    <cellStyle name="Normal 15 3 6 7" xfId="4015"/>
    <cellStyle name="Normal 15 3 6 7 2" xfId="20242"/>
    <cellStyle name="Normal 15 3 6 8" xfId="16558"/>
    <cellStyle name="Normal 15 3 7" xfId="304"/>
    <cellStyle name="Normal 15 3 7 2" xfId="491"/>
    <cellStyle name="Normal 15 3 7 2 2" xfId="1106"/>
    <cellStyle name="Normal 15 3 7 2 2 2" xfId="2239"/>
    <cellStyle name="Normal 15 3 7 2 2 2 2" xfId="5932"/>
    <cellStyle name="Normal 15 3 7 2 2 2 2 2" xfId="22156"/>
    <cellStyle name="Normal 15 3 7 2 2 2 3" xfId="18472"/>
    <cellStyle name="Normal 15 3 7 2 2 3" xfId="4803"/>
    <cellStyle name="Normal 15 3 7 2 2 3 2" xfId="21029"/>
    <cellStyle name="Normal 15 3 7 2 2 4" xfId="17345"/>
    <cellStyle name="Normal 15 3 7 2 3" xfId="1751"/>
    <cellStyle name="Normal 15 3 7 2 3 2" xfId="5445"/>
    <cellStyle name="Normal 15 3 7 2 3 2 2" xfId="21670"/>
    <cellStyle name="Normal 15 3 7 2 3 3" xfId="17986"/>
    <cellStyle name="Normal 15 3 7 2 4" xfId="4228"/>
    <cellStyle name="Normal 15 3 7 2 4 2" xfId="20454"/>
    <cellStyle name="Normal 15 3 7 2 5" xfId="16770"/>
    <cellStyle name="Normal 15 3 7 3" xfId="733"/>
    <cellStyle name="Normal 15 3 7 3 2" xfId="1312"/>
    <cellStyle name="Normal 15 3 7 3 2 2" xfId="2401"/>
    <cellStyle name="Normal 15 3 7 3 2 2 2" xfId="6094"/>
    <cellStyle name="Normal 15 3 7 3 2 2 2 2" xfId="22318"/>
    <cellStyle name="Normal 15 3 7 3 2 2 3" xfId="18634"/>
    <cellStyle name="Normal 15 3 7 3 2 3" xfId="5009"/>
    <cellStyle name="Normal 15 3 7 3 2 3 2" xfId="21235"/>
    <cellStyle name="Normal 15 3 7 3 2 4" xfId="17551"/>
    <cellStyle name="Normal 15 3 7 3 3" xfId="1913"/>
    <cellStyle name="Normal 15 3 7 3 3 2" xfId="5607"/>
    <cellStyle name="Normal 15 3 7 3 3 2 2" xfId="21832"/>
    <cellStyle name="Normal 15 3 7 3 3 3" xfId="18148"/>
    <cellStyle name="Normal 15 3 7 3 4" xfId="4434"/>
    <cellStyle name="Normal 15 3 7 3 4 2" xfId="20660"/>
    <cellStyle name="Normal 15 3 7 3 5" xfId="16976"/>
    <cellStyle name="Normal 15 3 7 4" xfId="921"/>
    <cellStyle name="Normal 15 3 7 4 2" xfId="2077"/>
    <cellStyle name="Normal 15 3 7 4 2 2" xfId="5770"/>
    <cellStyle name="Normal 15 3 7 4 2 2 2" xfId="21994"/>
    <cellStyle name="Normal 15 3 7 4 2 3" xfId="18310"/>
    <cellStyle name="Normal 15 3 7 4 3" xfId="4618"/>
    <cellStyle name="Normal 15 3 7 4 3 2" xfId="20844"/>
    <cellStyle name="Normal 15 3 7 4 4" xfId="17160"/>
    <cellStyle name="Normal 15 3 7 5" xfId="1589"/>
    <cellStyle name="Normal 15 3 7 5 2" xfId="5283"/>
    <cellStyle name="Normal 15 3 7 5 2 2" xfId="21508"/>
    <cellStyle name="Normal 15 3 7 5 3" xfId="17824"/>
    <cellStyle name="Normal 15 3 7 6" xfId="2590"/>
    <cellStyle name="Normal 15 3 7 6 2" xfId="6279"/>
    <cellStyle name="Normal 15 3 7 6 2 2" xfId="22503"/>
    <cellStyle name="Normal 15 3 7 6 3" xfId="18819"/>
    <cellStyle name="Normal 15 3 7 7" xfId="4042"/>
    <cellStyle name="Normal 15 3 7 7 2" xfId="20269"/>
    <cellStyle name="Normal 15 3 7 8" xfId="16585"/>
    <cellStyle name="Normal 15 3 8" xfId="331"/>
    <cellStyle name="Normal 15 3 8 2" xfId="947"/>
    <cellStyle name="Normal 15 3 8 2 2" xfId="2101"/>
    <cellStyle name="Normal 15 3 8 2 2 2" xfId="5794"/>
    <cellStyle name="Normal 15 3 8 2 2 2 2" xfId="22018"/>
    <cellStyle name="Normal 15 3 8 2 2 3" xfId="18334"/>
    <cellStyle name="Normal 15 3 8 2 3" xfId="4644"/>
    <cellStyle name="Normal 15 3 8 2 3 2" xfId="20870"/>
    <cellStyle name="Normal 15 3 8 2 4" xfId="17186"/>
    <cellStyle name="Normal 15 3 8 3" xfId="1613"/>
    <cellStyle name="Normal 15 3 8 3 2" xfId="5307"/>
    <cellStyle name="Normal 15 3 8 3 2 2" xfId="21532"/>
    <cellStyle name="Normal 15 3 8 3 3" xfId="17848"/>
    <cellStyle name="Normal 15 3 8 4" xfId="4068"/>
    <cellStyle name="Normal 15 3 8 4 2" xfId="20295"/>
    <cellStyle name="Normal 15 3 8 5" xfId="16611"/>
    <cellStyle name="Normal 15 3 9" xfId="547"/>
    <cellStyle name="Normal 15 3 9 2" xfId="1153"/>
    <cellStyle name="Normal 15 3 9 2 2" xfId="2263"/>
    <cellStyle name="Normal 15 3 9 2 2 2" xfId="5956"/>
    <cellStyle name="Normal 15 3 9 2 2 2 2" xfId="22180"/>
    <cellStyle name="Normal 15 3 9 2 2 3" xfId="18496"/>
    <cellStyle name="Normal 15 3 9 2 3" xfId="4850"/>
    <cellStyle name="Normal 15 3 9 2 3 2" xfId="21076"/>
    <cellStyle name="Normal 15 3 9 2 4" xfId="17392"/>
    <cellStyle name="Normal 15 3 9 3" xfId="1775"/>
    <cellStyle name="Normal 15 3 9 3 2" xfId="5469"/>
    <cellStyle name="Normal 15 3 9 3 2 2" xfId="21694"/>
    <cellStyle name="Normal 15 3 9 3 3" xfId="18010"/>
    <cellStyle name="Normal 15 3 9 4" xfId="4275"/>
    <cellStyle name="Normal 15 3 9 4 2" xfId="20501"/>
    <cellStyle name="Normal 15 3 9 5" xfId="16817"/>
    <cellStyle name="Normal 15 4" xfId="151"/>
    <cellStyle name="Normal 15 4 10" xfId="1475"/>
    <cellStyle name="Normal 15 4 10 2" xfId="5169"/>
    <cellStyle name="Normal 15 4 10 2 2" xfId="21394"/>
    <cellStyle name="Normal 15 4 10 3" xfId="17710"/>
    <cellStyle name="Normal 15 4 11" xfId="2455"/>
    <cellStyle name="Normal 15 4 11 2" xfId="6146"/>
    <cellStyle name="Normal 15 4 11 2 2" xfId="22370"/>
    <cellStyle name="Normal 15 4 11 3" xfId="18686"/>
    <cellStyle name="Normal 15 4 12" xfId="3909"/>
    <cellStyle name="Normal 15 4 12 2" xfId="20136"/>
    <cellStyle name="Normal 15 4 13" xfId="16452"/>
    <cellStyle name="Normal 15 4 2" xfId="180"/>
    <cellStyle name="Normal 15 4 2 2" xfId="386"/>
    <cellStyle name="Normal 15 4 2 2 2" xfId="1001"/>
    <cellStyle name="Normal 15 4 2 2 2 2" xfId="2149"/>
    <cellStyle name="Normal 15 4 2 2 2 2 2" xfId="5842"/>
    <cellStyle name="Normal 15 4 2 2 2 2 2 2" xfId="22066"/>
    <cellStyle name="Normal 15 4 2 2 2 2 3" xfId="18382"/>
    <cellStyle name="Normal 15 4 2 2 2 3" xfId="4698"/>
    <cellStyle name="Normal 15 4 2 2 2 3 2" xfId="20924"/>
    <cellStyle name="Normal 15 4 2 2 2 4" xfId="17240"/>
    <cellStyle name="Normal 15 4 2 2 3" xfId="1661"/>
    <cellStyle name="Normal 15 4 2 2 3 2" xfId="5355"/>
    <cellStyle name="Normal 15 4 2 2 3 2 2" xfId="21580"/>
    <cellStyle name="Normal 15 4 2 2 3 3" xfId="17896"/>
    <cellStyle name="Normal 15 4 2 2 4" xfId="4123"/>
    <cellStyle name="Normal 15 4 2 2 4 2" xfId="20349"/>
    <cellStyle name="Normal 15 4 2 2 5" xfId="16665"/>
    <cellStyle name="Normal 15 4 2 3" xfId="610"/>
    <cellStyle name="Normal 15 4 2 3 2" xfId="1207"/>
    <cellStyle name="Normal 15 4 2 3 2 2" xfId="2311"/>
    <cellStyle name="Normal 15 4 2 3 2 2 2" xfId="6004"/>
    <cellStyle name="Normal 15 4 2 3 2 2 2 2" xfId="22228"/>
    <cellStyle name="Normal 15 4 2 3 2 2 3" xfId="18544"/>
    <cellStyle name="Normal 15 4 2 3 2 3" xfId="4904"/>
    <cellStyle name="Normal 15 4 2 3 2 3 2" xfId="21130"/>
    <cellStyle name="Normal 15 4 2 3 2 4" xfId="17446"/>
    <cellStyle name="Normal 15 4 2 3 3" xfId="1823"/>
    <cellStyle name="Normal 15 4 2 3 3 2" xfId="5517"/>
    <cellStyle name="Normal 15 4 2 3 3 2 2" xfId="21742"/>
    <cellStyle name="Normal 15 4 2 3 3 3" xfId="18058"/>
    <cellStyle name="Normal 15 4 2 3 4" xfId="4329"/>
    <cellStyle name="Normal 15 4 2 3 4 2" xfId="20555"/>
    <cellStyle name="Normal 15 4 2 3 5" xfId="16871"/>
    <cellStyle name="Normal 15 4 2 4" xfId="831"/>
    <cellStyle name="Normal 15 4 2 4 2" xfId="1987"/>
    <cellStyle name="Normal 15 4 2 4 2 2" xfId="5680"/>
    <cellStyle name="Normal 15 4 2 4 2 2 2" xfId="21904"/>
    <cellStyle name="Normal 15 4 2 4 2 3" xfId="18220"/>
    <cellStyle name="Normal 15 4 2 4 3" xfId="4528"/>
    <cellStyle name="Normal 15 4 2 4 3 2" xfId="20754"/>
    <cellStyle name="Normal 15 4 2 4 4" xfId="17070"/>
    <cellStyle name="Normal 15 4 2 5" xfId="1499"/>
    <cellStyle name="Normal 15 4 2 5 2" xfId="5193"/>
    <cellStyle name="Normal 15 4 2 5 2 2" xfId="21418"/>
    <cellStyle name="Normal 15 4 2 5 3" xfId="17734"/>
    <cellStyle name="Normal 15 4 2 6" xfId="2484"/>
    <cellStyle name="Normal 15 4 2 6 2" xfId="6174"/>
    <cellStyle name="Normal 15 4 2 6 2 2" xfId="22398"/>
    <cellStyle name="Normal 15 4 2 6 3" xfId="18714"/>
    <cellStyle name="Normal 15 4 2 7" xfId="3937"/>
    <cellStyle name="Normal 15 4 2 7 2" xfId="20164"/>
    <cellStyle name="Normal 15 4 2 8" xfId="16480"/>
    <cellStyle name="Normal 15 4 3" xfId="208"/>
    <cellStyle name="Normal 15 4 3 2" xfId="414"/>
    <cellStyle name="Normal 15 4 3 2 2" xfId="1029"/>
    <cellStyle name="Normal 15 4 3 2 2 2" xfId="2173"/>
    <cellStyle name="Normal 15 4 3 2 2 2 2" xfId="5866"/>
    <cellStyle name="Normal 15 4 3 2 2 2 2 2" xfId="22090"/>
    <cellStyle name="Normal 15 4 3 2 2 2 3" xfId="18406"/>
    <cellStyle name="Normal 15 4 3 2 2 3" xfId="4726"/>
    <cellStyle name="Normal 15 4 3 2 2 3 2" xfId="20952"/>
    <cellStyle name="Normal 15 4 3 2 2 4" xfId="17268"/>
    <cellStyle name="Normal 15 4 3 2 3" xfId="1685"/>
    <cellStyle name="Normal 15 4 3 2 3 2" xfId="5379"/>
    <cellStyle name="Normal 15 4 3 2 3 2 2" xfId="21604"/>
    <cellStyle name="Normal 15 4 3 2 3 3" xfId="17920"/>
    <cellStyle name="Normal 15 4 3 2 4" xfId="4151"/>
    <cellStyle name="Normal 15 4 3 2 4 2" xfId="20377"/>
    <cellStyle name="Normal 15 4 3 2 5" xfId="16693"/>
    <cellStyle name="Normal 15 4 3 3" xfId="638"/>
    <cellStyle name="Normal 15 4 3 3 2" xfId="1235"/>
    <cellStyle name="Normal 15 4 3 3 2 2" xfId="2335"/>
    <cellStyle name="Normal 15 4 3 3 2 2 2" xfId="6028"/>
    <cellStyle name="Normal 15 4 3 3 2 2 2 2" xfId="22252"/>
    <cellStyle name="Normal 15 4 3 3 2 2 3" xfId="18568"/>
    <cellStyle name="Normal 15 4 3 3 2 3" xfId="4932"/>
    <cellStyle name="Normal 15 4 3 3 2 3 2" xfId="21158"/>
    <cellStyle name="Normal 15 4 3 3 2 4" xfId="17474"/>
    <cellStyle name="Normal 15 4 3 3 3" xfId="1847"/>
    <cellStyle name="Normal 15 4 3 3 3 2" xfId="5541"/>
    <cellStyle name="Normal 15 4 3 3 3 2 2" xfId="21766"/>
    <cellStyle name="Normal 15 4 3 3 3 3" xfId="18082"/>
    <cellStyle name="Normal 15 4 3 3 4" xfId="4357"/>
    <cellStyle name="Normal 15 4 3 3 4 2" xfId="20583"/>
    <cellStyle name="Normal 15 4 3 3 5" xfId="16899"/>
    <cellStyle name="Normal 15 4 3 4" xfId="855"/>
    <cellStyle name="Normal 15 4 3 4 2" xfId="2011"/>
    <cellStyle name="Normal 15 4 3 4 2 2" xfId="5704"/>
    <cellStyle name="Normal 15 4 3 4 2 2 2" xfId="21928"/>
    <cellStyle name="Normal 15 4 3 4 2 3" xfId="18244"/>
    <cellStyle name="Normal 15 4 3 4 3" xfId="4552"/>
    <cellStyle name="Normal 15 4 3 4 3 2" xfId="20778"/>
    <cellStyle name="Normal 15 4 3 4 4" xfId="17094"/>
    <cellStyle name="Normal 15 4 3 5" xfId="1523"/>
    <cellStyle name="Normal 15 4 3 5 2" xfId="5217"/>
    <cellStyle name="Normal 15 4 3 5 2 2" xfId="21442"/>
    <cellStyle name="Normal 15 4 3 5 3" xfId="17758"/>
    <cellStyle name="Normal 15 4 3 6" xfId="2512"/>
    <cellStyle name="Normal 15 4 3 6 2" xfId="6202"/>
    <cellStyle name="Normal 15 4 3 6 2 2" xfId="22426"/>
    <cellStyle name="Normal 15 4 3 6 3" xfId="18742"/>
    <cellStyle name="Normal 15 4 3 7" xfId="3965"/>
    <cellStyle name="Normal 15 4 3 7 2" xfId="20192"/>
    <cellStyle name="Normal 15 4 3 8" xfId="16508"/>
    <cellStyle name="Normal 15 4 4" xfId="237"/>
    <cellStyle name="Normal 15 4 4 2" xfId="443"/>
    <cellStyle name="Normal 15 4 4 2 2" xfId="1058"/>
    <cellStyle name="Normal 15 4 4 2 2 2" xfId="2197"/>
    <cellStyle name="Normal 15 4 4 2 2 2 2" xfId="5890"/>
    <cellStyle name="Normal 15 4 4 2 2 2 2 2" xfId="22114"/>
    <cellStyle name="Normal 15 4 4 2 2 2 3" xfId="18430"/>
    <cellStyle name="Normal 15 4 4 2 2 3" xfId="4755"/>
    <cellStyle name="Normal 15 4 4 2 2 3 2" xfId="20981"/>
    <cellStyle name="Normal 15 4 4 2 2 4" xfId="17297"/>
    <cellStyle name="Normal 15 4 4 2 3" xfId="1709"/>
    <cellStyle name="Normal 15 4 4 2 3 2" xfId="5403"/>
    <cellStyle name="Normal 15 4 4 2 3 2 2" xfId="21628"/>
    <cellStyle name="Normal 15 4 4 2 3 3" xfId="17944"/>
    <cellStyle name="Normal 15 4 4 2 4" xfId="4180"/>
    <cellStyle name="Normal 15 4 4 2 4 2" xfId="20406"/>
    <cellStyle name="Normal 15 4 4 2 5" xfId="16722"/>
    <cellStyle name="Normal 15 4 4 3" xfId="667"/>
    <cellStyle name="Normal 15 4 4 3 2" xfId="1264"/>
    <cellStyle name="Normal 15 4 4 3 2 2" xfId="2359"/>
    <cellStyle name="Normal 15 4 4 3 2 2 2" xfId="6052"/>
    <cellStyle name="Normal 15 4 4 3 2 2 2 2" xfId="22276"/>
    <cellStyle name="Normal 15 4 4 3 2 2 3" xfId="18592"/>
    <cellStyle name="Normal 15 4 4 3 2 3" xfId="4961"/>
    <cellStyle name="Normal 15 4 4 3 2 3 2" xfId="21187"/>
    <cellStyle name="Normal 15 4 4 3 2 4" xfId="17503"/>
    <cellStyle name="Normal 15 4 4 3 3" xfId="1871"/>
    <cellStyle name="Normal 15 4 4 3 3 2" xfId="5565"/>
    <cellStyle name="Normal 15 4 4 3 3 2 2" xfId="21790"/>
    <cellStyle name="Normal 15 4 4 3 3 3" xfId="18106"/>
    <cellStyle name="Normal 15 4 4 3 4" xfId="4386"/>
    <cellStyle name="Normal 15 4 4 3 4 2" xfId="20612"/>
    <cellStyle name="Normal 15 4 4 3 5" xfId="16928"/>
    <cellStyle name="Normal 15 4 4 4" xfId="879"/>
    <cellStyle name="Normal 15 4 4 4 2" xfId="2035"/>
    <cellStyle name="Normal 15 4 4 4 2 2" xfId="5728"/>
    <cellStyle name="Normal 15 4 4 4 2 2 2" xfId="21952"/>
    <cellStyle name="Normal 15 4 4 4 2 3" xfId="18268"/>
    <cellStyle name="Normal 15 4 4 4 3" xfId="4576"/>
    <cellStyle name="Normal 15 4 4 4 3 2" xfId="20802"/>
    <cellStyle name="Normal 15 4 4 4 4" xfId="17118"/>
    <cellStyle name="Normal 15 4 4 5" xfId="1547"/>
    <cellStyle name="Normal 15 4 4 5 2" xfId="5241"/>
    <cellStyle name="Normal 15 4 4 5 2 2" xfId="21466"/>
    <cellStyle name="Normal 15 4 4 5 3" xfId="17782"/>
    <cellStyle name="Normal 15 4 4 6" xfId="2541"/>
    <cellStyle name="Normal 15 4 4 6 2" xfId="6231"/>
    <cellStyle name="Normal 15 4 4 6 2 2" xfId="22455"/>
    <cellStyle name="Normal 15 4 4 6 3" xfId="18771"/>
    <cellStyle name="Normal 15 4 4 7" xfId="3994"/>
    <cellStyle name="Normal 15 4 4 7 2" xfId="20221"/>
    <cellStyle name="Normal 15 4 4 8" xfId="16537"/>
    <cellStyle name="Normal 15 4 5" xfId="282"/>
    <cellStyle name="Normal 15 4 5 2" xfId="470"/>
    <cellStyle name="Normal 15 4 5 2 2" xfId="1085"/>
    <cellStyle name="Normal 15 4 5 2 2 2" xfId="2221"/>
    <cellStyle name="Normal 15 4 5 2 2 2 2" xfId="5914"/>
    <cellStyle name="Normal 15 4 5 2 2 2 2 2" xfId="22138"/>
    <cellStyle name="Normal 15 4 5 2 2 2 3" xfId="18454"/>
    <cellStyle name="Normal 15 4 5 2 2 3" xfId="4782"/>
    <cellStyle name="Normal 15 4 5 2 2 3 2" xfId="21008"/>
    <cellStyle name="Normal 15 4 5 2 2 4" xfId="17324"/>
    <cellStyle name="Normal 15 4 5 2 3" xfId="1733"/>
    <cellStyle name="Normal 15 4 5 2 3 2" xfId="5427"/>
    <cellStyle name="Normal 15 4 5 2 3 2 2" xfId="21652"/>
    <cellStyle name="Normal 15 4 5 2 3 3" xfId="17968"/>
    <cellStyle name="Normal 15 4 5 2 4" xfId="4207"/>
    <cellStyle name="Normal 15 4 5 2 4 2" xfId="20433"/>
    <cellStyle name="Normal 15 4 5 2 5" xfId="16749"/>
    <cellStyle name="Normal 15 4 5 3" xfId="712"/>
    <cellStyle name="Normal 15 4 5 3 2" xfId="1291"/>
    <cellStyle name="Normal 15 4 5 3 2 2" xfId="2383"/>
    <cellStyle name="Normal 15 4 5 3 2 2 2" xfId="6076"/>
    <cellStyle name="Normal 15 4 5 3 2 2 2 2" xfId="22300"/>
    <cellStyle name="Normal 15 4 5 3 2 2 3" xfId="18616"/>
    <cellStyle name="Normal 15 4 5 3 2 3" xfId="4988"/>
    <cellStyle name="Normal 15 4 5 3 2 3 2" xfId="21214"/>
    <cellStyle name="Normal 15 4 5 3 2 4" xfId="17530"/>
    <cellStyle name="Normal 15 4 5 3 3" xfId="1895"/>
    <cellStyle name="Normal 15 4 5 3 3 2" xfId="5589"/>
    <cellStyle name="Normal 15 4 5 3 3 2 2" xfId="21814"/>
    <cellStyle name="Normal 15 4 5 3 3 3" xfId="18130"/>
    <cellStyle name="Normal 15 4 5 3 4" xfId="4413"/>
    <cellStyle name="Normal 15 4 5 3 4 2" xfId="20639"/>
    <cellStyle name="Normal 15 4 5 3 5" xfId="16955"/>
    <cellStyle name="Normal 15 4 5 4" xfId="903"/>
    <cellStyle name="Normal 15 4 5 4 2" xfId="2059"/>
    <cellStyle name="Normal 15 4 5 4 2 2" xfId="5752"/>
    <cellStyle name="Normal 15 4 5 4 2 2 2" xfId="21976"/>
    <cellStyle name="Normal 15 4 5 4 2 3" xfId="18292"/>
    <cellStyle name="Normal 15 4 5 4 3" xfId="4600"/>
    <cellStyle name="Normal 15 4 5 4 3 2" xfId="20826"/>
    <cellStyle name="Normal 15 4 5 4 4" xfId="17142"/>
    <cellStyle name="Normal 15 4 5 5" xfId="1571"/>
    <cellStyle name="Normal 15 4 5 5 2" xfId="5265"/>
    <cellStyle name="Normal 15 4 5 5 2 2" xfId="21490"/>
    <cellStyle name="Normal 15 4 5 5 3" xfId="17806"/>
    <cellStyle name="Normal 15 4 5 6" xfId="2568"/>
    <cellStyle name="Normal 15 4 5 6 2" xfId="6258"/>
    <cellStyle name="Normal 15 4 5 6 2 2" xfId="22482"/>
    <cellStyle name="Normal 15 4 5 6 3" xfId="18798"/>
    <cellStyle name="Normal 15 4 5 7" xfId="4021"/>
    <cellStyle name="Normal 15 4 5 7 2" xfId="20248"/>
    <cellStyle name="Normal 15 4 5 8" xfId="16564"/>
    <cellStyle name="Normal 15 4 6" xfId="310"/>
    <cellStyle name="Normal 15 4 6 2" xfId="497"/>
    <cellStyle name="Normal 15 4 6 2 2" xfId="1112"/>
    <cellStyle name="Normal 15 4 6 2 2 2" xfId="2245"/>
    <cellStyle name="Normal 15 4 6 2 2 2 2" xfId="5938"/>
    <cellStyle name="Normal 15 4 6 2 2 2 2 2" xfId="22162"/>
    <cellStyle name="Normal 15 4 6 2 2 2 3" xfId="18478"/>
    <cellStyle name="Normal 15 4 6 2 2 3" xfId="4809"/>
    <cellStyle name="Normal 15 4 6 2 2 3 2" xfId="21035"/>
    <cellStyle name="Normal 15 4 6 2 2 4" xfId="17351"/>
    <cellStyle name="Normal 15 4 6 2 3" xfId="1757"/>
    <cellStyle name="Normal 15 4 6 2 3 2" xfId="5451"/>
    <cellStyle name="Normal 15 4 6 2 3 2 2" xfId="21676"/>
    <cellStyle name="Normal 15 4 6 2 3 3" xfId="17992"/>
    <cellStyle name="Normal 15 4 6 2 4" xfId="4234"/>
    <cellStyle name="Normal 15 4 6 2 4 2" xfId="20460"/>
    <cellStyle name="Normal 15 4 6 2 5" xfId="16776"/>
    <cellStyle name="Normal 15 4 6 3" xfId="739"/>
    <cellStyle name="Normal 15 4 6 3 2" xfId="1318"/>
    <cellStyle name="Normal 15 4 6 3 2 2" xfId="2407"/>
    <cellStyle name="Normal 15 4 6 3 2 2 2" xfId="6100"/>
    <cellStyle name="Normal 15 4 6 3 2 2 2 2" xfId="22324"/>
    <cellStyle name="Normal 15 4 6 3 2 2 3" xfId="18640"/>
    <cellStyle name="Normal 15 4 6 3 2 3" xfId="5015"/>
    <cellStyle name="Normal 15 4 6 3 2 3 2" xfId="21241"/>
    <cellStyle name="Normal 15 4 6 3 2 4" xfId="17557"/>
    <cellStyle name="Normal 15 4 6 3 3" xfId="1919"/>
    <cellStyle name="Normal 15 4 6 3 3 2" xfId="5613"/>
    <cellStyle name="Normal 15 4 6 3 3 2 2" xfId="21838"/>
    <cellStyle name="Normal 15 4 6 3 3 3" xfId="18154"/>
    <cellStyle name="Normal 15 4 6 3 4" xfId="4440"/>
    <cellStyle name="Normal 15 4 6 3 4 2" xfId="20666"/>
    <cellStyle name="Normal 15 4 6 3 5" xfId="16982"/>
    <cellStyle name="Normal 15 4 6 4" xfId="927"/>
    <cellStyle name="Normal 15 4 6 4 2" xfId="2083"/>
    <cellStyle name="Normal 15 4 6 4 2 2" xfId="5776"/>
    <cellStyle name="Normal 15 4 6 4 2 2 2" xfId="22000"/>
    <cellStyle name="Normal 15 4 6 4 2 3" xfId="18316"/>
    <cellStyle name="Normal 15 4 6 4 3" xfId="4624"/>
    <cellStyle name="Normal 15 4 6 4 3 2" xfId="20850"/>
    <cellStyle name="Normal 15 4 6 4 4" xfId="17166"/>
    <cellStyle name="Normal 15 4 6 5" xfId="1595"/>
    <cellStyle name="Normal 15 4 6 5 2" xfId="5289"/>
    <cellStyle name="Normal 15 4 6 5 2 2" xfId="21514"/>
    <cellStyle name="Normal 15 4 6 5 3" xfId="17830"/>
    <cellStyle name="Normal 15 4 6 6" xfId="2596"/>
    <cellStyle name="Normal 15 4 6 6 2" xfId="6285"/>
    <cellStyle name="Normal 15 4 6 6 2 2" xfId="22509"/>
    <cellStyle name="Normal 15 4 6 6 3" xfId="18825"/>
    <cellStyle name="Normal 15 4 6 7" xfId="4048"/>
    <cellStyle name="Normal 15 4 6 7 2" xfId="20275"/>
    <cellStyle name="Normal 15 4 6 8" xfId="16591"/>
    <cellStyle name="Normal 15 4 7" xfId="358"/>
    <cellStyle name="Normal 15 4 7 2" xfId="973"/>
    <cellStyle name="Normal 15 4 7 2 2" xfId="2125"/>
    <cellStyle name="Normal 15 4 7 2 2 2" xfId="5818"/>
    <cellStyle name="Normal 15 4 7 2 2 2 2" xfId="22042"/>
    <cellStyle name="Normal 15 4 7 2 2 3" xfId="18358"/>
    <cellStyle name="Normal 15 4 7 2 3" xfId="4670"/>
    <cellStyle name="Normal 15 4 7 2 3 2" xfId="20896"/>
    <cellStyle name="Normal 15 4 7 2 4" xfId="17212"/>
    <cellStyle name="Normal 15 4 7 3" xfId="1637"/>
    <cellStyle name="Normal 15 4 7 3 2" xfId="5331"/>
    <cellStyle name="Normal 15 4 7 3 2 2" xfId="21556"/>
    <cellStyle name="Normal 15 4 7 3 3" xfId="17872"/>
    <cellStyle name="Normal 15 4 7 4" xfId="4095"/>
    <cellStyle name="Normal 15 4 7 4 2" xfId="20321"/>
    <cellStyle name="Normal 15 4 7 5" xfId="16637"/>
    <cellStyle name="Normal 15 4 8" xfId="582"/>
    <cellStyle name="Normal 15 4 8 2" xfId="1179"/>
    <cellStyle name="Normal 15 4 8 2 2" xfId="2287"/>
    <cellStyle name="Normal 15 4 8 2 2 2" xfId="5980"/>
    <cellStyle name="Normal 15 4 8 2 2 2 2" xfId="22204"/>
    <cellStyle name="Normal 15 4 8 2 2 3" xfId="18520"/>
    <cellStyle name="Normal 15 4 8 2 3" xfId="4876"/>
    <cellStyle name="Normal 15 4 8 2 3 2" xfId="21102"/>
    <cellStyle name="Normal 15 4 8 2 4" xfId="17418"/>
    <cellStyle name="Normal 15 4 8 3" xfId="1799"/>
    <cellStyle name="Normal 15 4 8 3 2" xfId="5493"/>
    <cellStyle name="Normal 15 4 8 3 2 2" xfId="21718"/>
    <cellStyle name="Normal 15 4 8 3 3" xfId="18034"/>
    <cellStyle name="Normal 15 4 8 4" xfId="4301"/>
    <cellStyle name="Normal 15 4 8 4 2" xfId="20527"/>
    <cellStyle name="Normal 15 4 8 5" xfId="16843"/>
    <cellStyle name="Normal 15 4 9" xfId="807"/>
    <cellStyle name="Normal 15 4 9 2" xfId="1963"/>
    <cellStyle name="Normal 15 4 9 2 2" xfId="5656"/>
    <cellStyle name="Normal 15 4 9 2 2 2" xfId="21880"/>
    <cellStyle name="Normal 15 4 9 2 3" xfId="18196"/>
    <cellStyle name="Normal 15 4 9 3" xfId="4504"/>
    <cellStyle name="Normal 15 4 9 3 2" xfId="20730"/>
    <cellStyle name="Normal 15 4 9 4" xfId="17046"/>
    <cellStyle name="Normal 15 5" xfId="130"/>
    <cellStyle name="Normal 15 5 2" xfId="337"/>
    <cellStyle name="Normal 15 5 2 2" xfId="953"/>
    <cellStyle name="Normal 15 5 2 2 2" xfId="2107"/>
    <cellStyle name="Normal 15 5 2 2 2 2" xfId="5800"/>
    <cellStyle name="Normal 15 5 2 2 2 2 2" xfId="22024"/>
    <cellStyle name="Normal 15 5 2 2 2 3" xfId="18340"/>
    <cellStyle name="Normal 15 5 2 2 3" xfId="4650"/>
    <cellStyle name="Normal 15 5 2 2 3 2" xfId="20876"/>
    <cellStyle name="Normal 15 5 2 2 4" xfId="17192"/>
    <cellStyle name="Normal 15 5 2 3" xfId="1619"/>
    <cellStyle name="Normal 15 5 2 3 2" xfId="5313"/>
    <cellStyle name="Normal 15 5 2 3 2 2" xfId="21538"/>
    <cellStyle name="Normal 15 5 2 3 3" xfId="17854"/>
    <cellStyle name="Normal 15 5 2 4" xfId="4074"/>
    <cellStyle name="Normal 15 5 2 4 2" xfId="20301"/>
    <cellStyle name="Normal 15 5 2 5" xfId="16617"/>
    <cellStyle name="Normal 15 5 3" xfId="562"/>
    <cellStyle name="Normal 15 5 3 2" xfId="1159"/>
    <cellStyle name="Normal 15 5 3 2 2" xfId="2269"/>
    <cellStyle name="Normal 15 5 3 2 2 2" xfId="5962"/>
    <cellStyle name="Normal 15 5 3 2 2 2 2" xfId="22186"/>
    <cellStyle name="Normal 15 5 3 2 2 3" xfId="18502"/>
    <cellStyle name="Normal 15 5 3 2 3" xfId="4856"/>
    <cellStyle name="Normal 15 5 3 2 3 2" xfId="21082"/>
    <cellStyle name="Normal 15 5 3 2 4" xfId="17398"/>
    <cellStyle name="Normal 15 5 3 3" xfId="1781"/>
    <cellStyle name="Normal 15 5 3 3 2" xfId="5475"/>
    <cellStyle name="Normal 15 5 3 3 2 2" xfId="21700"/>
    <cellStyle name="Normal 15 5 3 3 3" xfId="18016"/>
    <cellStyle name="Normal 15 5 3 4" xfId="4281"/>
    <cellStyle name="Normal 15 5 3 4 2" xfId="20507"/>
    <cellStyle name="Normal 15 5 3 5" xfId="16823"/>
    <cellStyle name="Normal 15 5 4" xfId="789"/>
    <cellStyle name="Normal 15 5 4 2" xfId="1945"/>
    <cellStyle name="Normal 15 5 4 2 2" xfId="5638"/>
    <cellStyle name="Normal 15 5 4 2 2 2" xfId="21862"/>
    <cellStyle name="Normal 15 5 4 2 3" xfId="18178"/>
    <cellStyle name="Normal 15 5 4 3" xfId="4486"/>
    <cellStyle name="Normal 15 5 4 3 2" xfId="20712"/>
    <cellStyle name="Normal 15 5 4 4" xfId="17028"/>
    <cellStyle name="Normal 15 5 5" xfId="1457"/>
    <cellStyle name="Normal 15 5 5 2" xfId="5151"/>
    <cellStyle name="Normal 15 5 5 2 2" xfId="21376"/>
    <cellStyle name="Normal 15 5 5 3" xfId="17692"/>
    <cellStyle name="Normal 15 5 6" xfId="2434"/>
    <cellStyle name="Normal 15 5 6 2" xfId="6126"/>
    <cellStyle name="Normal 15 5 6 2 2" xfId="22350"/>
    <cellStyle name="Normal 15 5 6 3" xfId="18666"/>
    <cellStyle name="Normal 15 5 7" xfId="3889"/>
    <cellStyle name="Normal 15 5 7 2" xfId="20116"/>
    <cellStyle name="Normal 15 5 8" xfId="16432"/>
    <cellStyle name="Normal 15 6" xfId="161"/>
    <cellStyle name="Normal 15 6 2" xfId="367"/>
    <cellStyle name="Normal 15 6 2 2" xfId="982"/>
    <cellStyle name="Normal 15 6 2 2 2" xfId="2131"/>
    <cellStyle name="Normal 15 6 2 2 2 2" xfId="5824"/>
    <cellStyle name="Normal 15 6 2 2 2 2 2" xfId="22048"/>
    <cellStyle name="Normal 15 6 2 2 2 3" xfId="18364"/>
    <cellStyle name="Normal 15 6 2 2 3" xfId="4679"/>
    <cellStyle name="Normal 15 6 2 2 3 2" xfId="20905"/>
    <cellStyle name="Normal 15 6 2 2 4" xfId="17221"/>
    <cellStyle name="Normal 15 6 2 3" xfId="1643"/>
    <cellStyle name="Normal 15 6 2 3 2" xfId="5337"/>
    <cellStyle name="Normal 15 6 2 3 2 2" xfId="21562"/>
    <cellStyle name="Normal 15 6 2 3 3" xfId="17878"/>
    <cellStyle name="Normal 15 6 2 4" xfId="4104"/>
    <cellStyle name="Normal 15 6 2 4 2" xfId="20330"/>
    <cellStyle name="Normal 15 6 2 5" xfId="16646"/>
    <cellStyle name="Normal 15 6 3" xfId="591"/>
    <cellStyle name="Normal 15 6 3 2" xfId="1188"/>
    <cellStyle name="Normal 15 6 3 2 2" xfId="2293"/>
    <cellStyle name="Normal 15 6 3 2 2 2" xfId="5986"/>
    <cellStyle name="Normal 15 6 3 2 2 2 2" xfId="22210"/>
    <cellStyle name="Normal 15 6 3 2 2 3" xfId="18526"/>
    <cellStyle name="Normal 15 6 3 2 3" xfId="4885"/>
    <cellStyle name="Normal 15 6 3 2 3 2" xfId="21111"/>
    <cellStyle name="Normal 15 6 3 2 4" xfId="17427"/>
    <cellStyle name="Normal 15 6 3 3" xfId="1805"/>
    <cellStyle name="Normal 15 6 3 3 2" xfId="5499"/>
    <cellStyle name="Normal 15 6 3 3 2 2" xfId="21724"/>
    <cellStyle name="Normal 15 6 3 3 3" xfId="18040"/>
    <cellStyle name="Normal 15 6 3 4" xfId="4310"/>
    <cellStyle name="Normal 15 6 3 4 2" xfId="20536"/>
    <cellStyle name="Normal 15 6 3 5" xfId="16852"/>
    <cellStyle name="Normal 15 6 4" xfId="813"/>
    <cellStyle name="Normal 15 6 4 2" xfId="1969"/>
    <cellStyle name="Normal 15 6 4 2 2" xfId="5662"/>
    <cellStyle name="Normal 15 6 4 2 2 2" xfId="21886"/>
    <cellStyle name="Normal 15 6 4 2 3" xfId="18202"/>
    <cellStyle name="Normal 15 6 4 3" xfId="4510"/>
    <cellStyle name="Normal 15 6 4 3 2" xfId="20736"/>
    <cellStyle name="Normal 15 6 4 4" xfId="17052"/>
    <cellStyle name="Normal 15 6 5" xfId="1481"/>
    <cellStyle name="Normal 15 6 5 2" xfId="5175"/>
    <cellStyle name="Normal 15 6 5 2 2" xfId="21400"/>
    <cellStyle name="Normal 15 6 5 3" xfId="17716"/>
    <cellStyle name="Normal 15 6 6" xfId="2465"/>
    <cellStyle name="Normal 15 6 6 2" xfId="6155"/>
    <cellStyle name="Normal 15 6 6 2 2" xfId="22379"/>
    <cellStyle name="Normal 15 6 6 3" xfId="18695"/>
    <cellStyle name="Normal 15 6 7" xfId="3918"/>
    <cellStyle name="Normal 15 6 7 2" xfId="20145"/>
    <cellStyle name="Normal 15 6 8" xfId="16461"/>
    <cellStyle name="Normal 15 7" xfId="189"/>
    <cellStyle name="Normal 15 7 2" xfId="395"/>
    <cellStyle name="Normal 15 7 2 2" xfId="1010"/>
    <cellStyle name="Normal 15 7 2 2 2" xfId="2155"/>
    <cellStyle name="Normal 15 7 2 2 2 2" xfId="5848"/>
    <cellStyle name="Normal 15 7 2 2 2 2 2" xfId="22072"/>
    <cellStyle name="Normal 15 7 2 2 2 3" xfId="18388"/>
    <cellStyle name="Normal 15 7 2 2 3" xfId="4707"/>
    <cellStyle name="Normal 15 7 2 2 3 2" xfId="20933"/>
    <cellStyle name="Normal 15 7 2 2 4" xfId="17249"/>
    <cellStyle name="Normal 15 7 2 3" xfId="1667"/>
    <cellStyle name="Normal 15 7 2 3 2" xfId="5361"/>
    <cellStyle name="Normal 15 7 2 3 2 2" xfId="21586"/>
    <cellStyle name="Normal 15 7 2 3 3" xfId="17902"/>
    <cellStyle name="Normal 15 7 2 4" xfId="4132"/>
    <cellStyle name="Normal 15 7 2 4 2" xfId="20358"/>
    <cellStyle name="Normal 15 7 2 5" xfId="16674"/>
    <cellStyle name="Normal 15 7 3" xfId="619"/>
    <cellStyle name="Normal 15 7 3 2" xfId="1216"/>
    <cellStyle name="Normal 15 7 3 2 2" xfId="2317"/>
    <cellStyle name="Normal 15 7 3 2 2 2" xfId="6010"/>
    <cellStyle name="Normal 15 7 3 2 2 2 2" xfId="22234"/>
    <cellStyle name="Normal 15 7 3 2 2 3" xfId="18550"/>
    <cellStyle name="Normal 15 7 3 2 3" xfId="4913"/>
    <cellStyle name="Normal 15 7 3 2 3 2" xfId="21139"/>
    <cellStyle name="Normal 15 7 3 2 4" xfId="17455"/>
    <cellStyle name="Normal 15 7 3 3" xfId="1829"/>
    <cellStyle name="Normal 15 7 3 3 2" xfId="5523"/>
    <cellStyle name="Normal 15 7 3 3 2 2" xfId="21748"/>
    <cellStyle name="Normal 15 7 3 3 3" xfId="18064"/>
    <cellStyle name="Normal 15 7 3 4" xfId="4338"/>
    <cellStyle name="Normal 15 7 3 4 2" xfId="20564"/>
    <cellStyle name="Normal 15 7 3 5" xfId="16880"/>
    <cellStyle name="Normal 15 7 4" xfId="837"/>
    <cellStyle name="Normal 15 7 4 2" xfId="1993"/>
    <cellStyle name="Normal 15 7 4 2 2" xfId="5686"/>
    <cellStyle name="Normal 15 7 4 2 2 2" xfId="21910"/>
    <cellStyle name="Normal 15 7 4 2 3" xfId="18226"/>
    <cellStyle name="Normal 15 7 4 3" xfId="4534"/>
    <cellStyle name="Normal 15 7 4 3 2" xfId="20760"/>
    <cellStyle name="Normal 15 7 4 4" xfId="17076"/>
    <cellStyle name="Normal 15 7 5" xfId="1505"/>
    <cellStyle name="Normal 15 7 5 2" xfId="5199"/>
    <cellStyle name="Normal 15 7 5 2 2" xfId="21424"/>
    <cellStyle name="Normal 15 7 5 3" xfId="17740"/>
    <cellStyle name="Normal 15 7 6" xfId="2493"/>
    <cellStyle name="Normal 15 7 6 2" xfId="6183"/>
    <cellStyle name="Normal 15 7 6 2 2" xfId="22407"/>
    <cellStyle name="Normal 15 7 6 3" xfId="18723"/>
    <cellStyle name="Normal 15 7 7" xfId="3946"/>
    <cellStyle name="Normal 15 7 7 2" xfId="20173"/>
    <cellStyle name="Normal 15 7 8" xfId="16489"/>
    <cellStyle name="Normal 15 8" xfId="217"/>
    <cellStyle name="Normal 15 8 2" xfId="423"/>
    <cellStyle name="Normal 15 8 2 2" xfId="1038"/>
    <cellStyle name="Normal 15 8 2 2 2" xfId="2179"/>
    <cellStyle name="Normal 15 8 2 2 2 2" xfId="5872"/>
    <cellStyle name="Normal 15 8 2 2 2 2 2" xfId="22096"/>
    <cellStyle name="Normal 15 8 2 2 2 3" xfId="18412"/>
    <cellStyle name="Normal 15 8 2 2 3" xfId="4735"/>
    <cellStyle name="Normal 15 8 2 2 3 2" xfId="20961"/>
    <cellStyle name="Normal 15 8 2 2 4" xfId="17277"/>
    <cellStyle name="Normal 15 8 2 3" xfId="1691"/>
    <cellStyle name="Normal 15 8 2 3 2" xfId="5385"/>
    <cellStyle name="Normal 15 8 2 3 2 2" xfId="21610"/>
    <cellStyle name="Normal 15 8 2 3 3" xfId="17926"/>
    <cellStyle name="Normal 15 8 2 4" xfId="4160"/>
    <cellStyle name="Normal 15 8 2 4 2" xfId="20386"/>
    <cellStyle name="Normal 15 8 2 5" xfId="16702"/>
    <cellStyle name="Normal 15 8 3" xfId="647"/>
    <cellStyle name="Normal 15 8 3 2" xfId="1244"/>
    <cellStyle name="Normal 15 8 3 2 2" xfId="2341"/>
    <cellStyle name="Normal 15 8 3 2 2 2" xfId="6034"/>
    <cellStyle name="Normal 15 8 3 2 2 2 2" xfId="22258"/>
    <cellStyle name="Normal 15 8 3 2 2 3" xfId="18574"/>
    <cellStyle name="Normal 15 8 3 2 3" xfId="4941"/>
    <cellStyle name="Normal 15 8 3 2 3 2" xfId="21167"/>
    <cellStyle name="Normal 15 8 3 2 4" xfId="17483"/>
    <cellStyle name="Normal 15 8 3 3" xfId="1853"/>
    <cellStyle name="Normal 15 8 3 3 2" xfId="5547"/>
    <cellStyle name="Normal 15 8 3 3 2 2" xfId="21772"/>
    <cellStyle name="Normal 15 8 3 3 3" xfId="18088"/>
    <cellStyle name="Normal 15 8 3 4" xfId="4366"/>
    <cellStyle name="Normal 15 8 3 4 2" xfId="20592"/>
    <cellStyle name="Normal 15 8 3 5" xfId="16908"/>
    <cellStyle name="Normal 15 8 4" xfId="861"/>
    <cellStyle name="Normal 15 8 4 2" xfId="2017"/>
    <cellStyle name="Normal 15 8 4 2 2" xfId="5710"/>
    <cellStyle name="Normal 15 8 4 2 2 2" xfId="21934"/>
    <cellStyle name="Normal 15 8 4 2 3" xfId="18250"/>
    <cellStyle name="Normal 15 8 4 3" xfId="4558"/>
    <cellStyle name="Normal 15 8 4 3 2" xfId="20784"/>
    <cellStyle name="Normal 15 8 4 4" xfId="17100"/>
    <cellStyle name="Normal 15 8 5" xfId="1529"/>
    <cellStyle name="Normal 15 8 5 2" xfId="5223"/>
    <cellStyle name="Normal 15 8 5 2 2" xfId="21448"/>
    <cellStyle name="Normal 15 8 5 3" xfId="17764"/>
    <cellStyle name="Normal 15 8 6" xfId="2521"/>
    <cellStyle name="Normal 15 8 6 2" xfId="6211"/>
    <cellStyle name="Normal 15 8 6 2 2" xfId="22435"/>
    <cellStyle name="Normal 15 8 6 3" xfId="18751"/>
    <cellStyle name="Normal 15 8 7" xfId="3974"/>
    <cellStyle name="Normal 15 8 7 2" xfId="20201"/>
    <cellStyle name="Normal 15 8 8" xfId="16517"/>
    <cellStyle name="Normal 15 9" xfId="245"/>
    <cellStyle name="Normal 15 9 2" xfId="451"/>
    <cellStyle name="Normal 15 9 2 2" xfId="1066"/>
    <cellStyle name="Normal 15 9 2 2 2" xfId="2203"/>
    <cellStyle name="Normal 15 9 2 2 2 2" xfId="5896"/>
    <cellStyle name="Normal 15 9 2 2 2 2 2" xfId="22120"/>
    <cellStyle name="Normal 15 9 2 2 2 3" xfId="18436"/>
    <cellStyle name="Normal 15 9 2 2 3" xfId="4763"/>
    <cellStyle name="Normal 15 9 2 2 3 2" xfId="20989"/>
    <cellStyle name="Normal 15 9 2 2 4" xfId="17305"/>
    <cellStyle name="Normal 15 9 2 3" xfId="1715"/>
    <cellStyle name="Normal 15 9 2 3 2" xfId="5409"/>
    <cellStyle name="Normal 15 9 2 3 2 2" xfId="21634"/>
    <cellStyle name="Normal 15 9 2 3 3" xfId="17950"/>
    <cellStyle name="Normal 15 9 2 4" xfId="4188"/>
    <cellStyle name="Normal 15 9 2 4 2" xfId="20414"/>
    <cellStyle name="Normal 15 9 2 5" xfId="16730"/>
    <cellStyle name="Normal 15 9 3" xfId="675"/>
    <cellStyle name="Normal 15 9 3 2" xfId="1272"/>
    <cellStyle name="Normal 15 9 3 2 2" xfId="2365"/>
    <cellStyle name="Normal 15 9 3 2 2 2" xfId="6058"/>
    <cellStyle name="Normal 15 9 3 2 2 2 2" xfId="22282"/>
    <cellStyle name="Normal 15 9 3 2 2 3" xfId="18598"/>
    <cellStyle name="Normal 15 9 3 2 3" xfId="4969"/>
    <cellStyle name="Normal 15 9 3 2 3 2" xfId="21195"/>
    <cellStyle name="Normal 15 9 3 2 4" xfId="17511"/>
    <cellStyle name="Normal 15 9 3 3" xfId="1877"/>
    <cellStyle name="Normal 15 9 3 3 2" xfId="5571"/>
    <cellStyle name="Normal 15 9 3 3 2 2" xfId="21796"/>
    <cellStyle name="Normal 15 9 3 3 3" xfId="18112"/>
    <cellStyle name="Normal 15 9 3 4" xfId="4394"/>
    <cellStyle name="Normal 15 9 3 4 2" xfId="20620"/>
    <cellStyle name="Normal 15 9 3 5" xfId="16936"/>
    <cellStyle name="Normal 15 9 4" xfId="885"/>
    <cellStyle name="Normal 15 9 4 2" xfId="2041"/>
    <cellStyle name="Normal 15 9 4 2 2" xfId="5734"/>
    <cellStyle name="Normal 15 9 4 2 2 2" xfId="21958"/>
    <cellStyle name="Normal 15 9 4 2 3" xfId="18274"/>
    <cellStyle name="Normal 15 9 4 3" xfId="4582"/>
    <cellStyle name="Normal 15 9 4 3 2" xfId="20808"/>
    <cellStyle name="Normal 15 9 4 4" xfId="17124"/>
    <cellStyle name="Normal 15 9 5" xfId="1553"/>
    <cellStyle name="Normal 15 9 5 2" xfId="5247"/>
    <cellStyle name="Normal 15 9 5 2 2" xfId="21472"/>
    <cellStyle name="Normal 15 9 5 3" xfId="17788"/>
    <cellStyle name="Normal 15 9 6" xfId="2549"/>
    <cellStyle name="Normal 15 9 6 2" xfId="6239"/>
    <cellStyle name="Normal 15 9 6 2 2" xfId="22463"/>
    <cellStyle name="Normal 15 9 6 3" xfId="18779"/>
    <cellStyle name="Normal 15 9 7" xfId="4002"/>
    <cellStyle name="Normal 15 9 7 2" xfId="20229"/>
    <cellStyle name="Normal 15 9 8" xfId="16545"/>
    <cellStyle name="Normal 16" xfId="28"/>
    <cellStyle name="Normal 16 10" xfId="292"/>
    <cellStyle name="Normal 16 10 2" xfId="480"/>
    <cellStyle name="Normal 16 10 2 2" xfId="1095"/>
    <cellStyle name="Normal 16 10 2 2 2" xfId="2228"/>
    <cellStyle name="Normal 16 10 2 2 2 2" xfId="5921"/>
    <cellStyle name="Normal 16 10 2 2 2 2 2" xfId="22145"/>
    <cellStyle name="Normal 16 10 2 2 2 3" xfId="18461"/>
    <cellStyle name="Normal 16 10 2 2 3" xfId="4792"/>
    <cellStyle name="Normal 16 10 2 2 3 2" xfId="21018"/>
    <cellStyle name="Normal 16 10 2 2 4" xfId="17334"/>
    <cellStyle name="Normal 16 10 2 3" xfId="1740"/>
    <cellStyle name="Normal 16 10 2 3 2" xfId="5434"/>
    <cellStyle name="Normal 16 10 2 3 2 2" xfId="21659"/>
    <cellStyle name="Normal 16 10 2 3 3" xfId="17975"/>
    <cellStyle name="Normal 16 10 2 4" xfId="4217"/>
    <cellStyle name="Normal 16 10 2 4 2" xfId="20443"/>
    <cellStyle name="Normal 16 10 2 5" xfId="16759"/>
    <cellStyle name="Normal 16 10 3" xfId="722"/>
    <cellStyle name="Normal 16 10 3 2" xfId="1301"/>
    <cellStyle name="Normal 16 10 3 2 2" xfId="2390"/>
    <cellStyle name="Normal 16 10 3 2 2 2" xfId="6083"/>
    <cellStyle name="Normal 16 10 3 2 2 2 2" xfId="22307"/>
    <cellStyle name="Normal 16 10 3 2 2 3" xfId="18623"/>
    <cellStyle name="Normal 16 10 3 2 3" xfId="4998"/>
    <cellStyle name="Normal 16 10 3 2 3 2" xfId="21224"/>
    <cellStyle name="Normal 16 10 3 2 4" xfId="17540"/>
    <cellStyle name="Normal 16 10 3 3" xfId="1902"/>
    <cellStyle name="Normal 16 10 3 3 2" xfId="5596"/>
    <cellStyle name="Normal 16 10 3 3 2 2" xfId="21821"/>
    <cellStyle name="Normal 16 10 3 3 3" xfId="18137"/>
    <cellStyle name="Normal 16 10 3 4" xfId="4423"/>
    <cellStyle name="Normal 16 10 3 4 2" xfId="20649"/>
    <cellStyle name="Normal 16 10 3 5" xfId="16965"/>
    <cellStyle name="Normal 16 10 4" xfId="910"/>
    <cellStyle name="Normal 16 10 4 2" xfId="2066"/>
    <cellStyle name="Normal 16 10 4 2 2" xfId="5759"/>
    <cellStyle name="Normal 16 10 4 2 2 2" xfId="21983"/>
    <cellStyle name="Normal 16 10 4 2 3" xfId="18299"/>
    <cellStyle name="Normal 16 10 4 3" xfId="4607"/>
    <cellStyle name="Normal 16 10 4 3 2" xfId="20833"/>
    <cellStyle name="Normal 16 10 4 4" xfId="17149"/>
    <cellStyle name="Normal 16 10 5" xfId="1578"/>
    <cellStyle name="Normal 16 10 5 2" xfId="5272"/>
    <cellStyle name="Normal 16 10 5 2 2" xfId="21497"/>
    <cellStyle name="Normal 16 10 5 3" xfId="17813"/>
    <cellStyle name="Normal 16 10 6" xfId="2578"/>
    <cellStyle name="Normal 16 10 6 2" xfId="6268"/>
    <cellStyle name="Normal 16 10 6 2 2" xfId="22492"/>
    <cellStyle name="Normal 16 10 6 3" xfId="18808"/>
    <cellStyle name="Normal 16 10 7" xfId="4031"/>
    <cellStyle name="Normal 16 10 7 2" xfId="20258"/>
    <cellStyle name="Normal 16 10 8" xfId="16574"/>
    <cellStyle name="Normal 16 11" xfId="318"/>
    <cellStyle name="Normal 16 11 2" xfId="934"/>
    <cellStyle name="Normal 16 11 2 2" xfId="2090"/>
    <cellStyle name="Normal 16 11 2 2 2" xfId="5783"/>
    <cellStyle name="Normal 16 11 2 2 2 2" xfId="22007"/>
    <cellStyle name="Normal 16 11 2 2 3" xfId="18323"/>
    <cellStyle name="Normal 16 11 2 3" xfId="4631"/>
    <cellStyle name="Normal 16 11 2 3 2" xfId="20857"/>
    <cellStyle name="Normal 16 11 2 4" xfId="17173"/>
    <cellStyle name="Normal 16 11 3" xfId="1602"/>
    <cellStyle name="Normal 16 11 3 2" xfId="5296"/>
    <cellStyle name="Normal 16 11 3 2 2" xfId="21521"/>
    <cellStyle name="Normal 16 11 3 3" xfId="17837"/>
    <cellStyle name="Normal 16 11 4" xfId="4055"/>
    <cellStyle name="Normal 16 11 4 2" xfId="20282"/>
    <cellStyle name="Normal 16 11 5" xfId="16598"/>
    <cellStyle name="Normal 16 12" xfId="525"/>
    <cellStyle name="Normal 16 12 2" xfId="1140"/>
    <cellStyle name="Normal 16 12 2 2" xfId="2252"/>
    <cellStyle name="Normal 16 12 2 2 2" xfId="5945"/>
    <cellStyle name="Normal 16 12 2 2 2 2" xfId="22169"/>
    <cellStyle name="Normal 16 12 2 2 3" xfId="18485"/>
    <cellStyle name="Normal 16 12 2 3" xfId="4837"/>
    <cellStyle name="Normal 16 12 2 3 2" xfId="21063"/>
    <cellStyle name="Normal 16 12 2 4" xfId="17379"/>
    <cellStyle name="Normal 16 12 3" xfId="1764"/>
    <cellStyle name="Normal 16 12 3 2" xfId="5458"/>
    <cellStyle name="Normal 16 12 3 2 2" xfId="21683"/>
    <cellStyle name="Normal 16 12 3 3" xfId="17999"/>
    <cellStyle name="Normal 16 12 4" xfId="4262"/>
    <cellStyle name="Normal 16 12 4 2" xfId="20488"/>
    <cellStyle name="Normal 16 12 5" xfId="16804"/>
    <cellStyle name="Normal 16 13" xfId="772"/>
    <cellStyle name="Normal 16 13 2" xfId="1928"/>
    <cellStyle name="Normal 16 13 2 2" xfId="5621"/>
    <cellStyle name="Normal 16 13 2 2 2" xfId="21845"/>
    <cellStyle name="Normal 16 13 2 3" xfId="18161"/>
    <cellStyle name="Normal 16 13 3" xfId="4469"/>
    <cellStyle name="Normal 16 13 3 2" xfId="20695"/>
    <cellStyle name="Normal 16 13 4" xfId="17011"/>
    <cellStyle name="Normal 16 14" xfId="1440"/>
    <cellStyle name="Normal 16 14 2" xfId="5134"/>
    <cellStyle name="Normal 16 14 2 2" xfId="21359"/>
    <cellStyle name="Normal 16 14 3" xfId="17675"/>
    <cellStyle name="Normal 16 15" xfId="2414"/>
    <cellStyle name="Normal 16 15 2" xfId="6107"/>
    <cellStyle name="Normal 16 15 2 2" xfId="22331"/>
    <cellStyle name="Normal 16 15 3" xfId="18647"/>
    <cellStyle name="Normal 16 16" xfId="3870"/>
    <cellStyle name="Normal 16 16 2" xfId="20097"/>
    <cellStyle name="Normal 16 17" xfId="16413"/>
    <cellStyle name="Normal 16 2" xfId="109"/>
    <cellStyle name="Normal 16 2 10" xfId="778"/>
    <cellStyle name="Normal 16 2 10 2" xfId="1934"/>
    <cellStyle name="Normal 16 2 10 2 2" xfId="5627"/>
    <cellStyle name="Normal 16 2 10 2 2 2" xfId="21851"/>
    <cellStyle name="Normal 16 2 10 2 3" xfId="18167"/>
    <cellStyle name="Normal 16 2 10 3" xfId="4475"/>
    <cellStyle name="Normal 16 2 10 3 2" xfId="20701"/>
    <cellStyle name="Normal 16 2 10 4" xfId="17017"/>
    <cellStyle name="Normal 16 2 11" xfId="1446"/>
    <cellStyle name="Normal 16 2 11 2" xfId="5140"/>
    <cellStyle name="Normal 16 2 11 2 2" xfId="21365"/>
    <cellStyle name="Normal 16 2 11 3" xfId="17681"/>
    <cellStyle name="Normal 16 2 12" xfId="2422"/>
    <cellStyle name="Normal 16 2 12 2" xfId="6114"/>
    <cellStyle name="Normal 16 2 12 2 2" xfId="22338"/>
    <cellStyle name="Normal 16 2 12 3" xfId="18654"/>
    <cellStyle name="Normal 16 2 13" xfId="3877"/>
    <cellStyle name="Normal 16 2 13 2" xfId="20104"/>
    <cellStyle name="Normal 16 2 14" xfId="16420"/>
    <cellStyle name="Normal 16 2 2" xfId="139"/>
    <cellStyle name="Normal 16 2 2 2" xfId="346"/>
    <cellStyle name="Normal 16 2 2 2 2" xfId="961"/>
    <cellStyle name="Normal 16 2 2 2 2 2" xfId="2114"/>
    <cellStyle name="Normal 16 2 2 2 2 2 2" xfId="5807"/>
    <cellStyle name="Normal 16 2 2 2 2 2 2 2" xfId="22031"/>
    <cellStyle name="Normal 16 2 2 2 2 2 3" xfId="18347"/>
    <cellStyle name="Normal 16 2 2 2 2 3" xfId="4658"/>
    <cellStyle name="Normal 16 2 2 2 2 3 2" xfId="20884"/>
    <cellStyle name="Normal 16 2 2 2 2 4" xfId="17200"/>
    <cellStyle name="Normal 16 2 2 2 3" xfId="1626"/>
    <cellStyle name="Normal 16 2 2 2 3 2" xfId="5320"/>
    <cellStyle name="Normal 16 2 2 2 3 2 2" xfId="21545"/>
    <cellStyle name="Normal 16 2 2 2 3 3" xfId="17861"/>
    <cellStyle name="Normal 16 2 2 2 4" xfId="4083"/>
    <cellStyle name="Normal 16 2 2 2 4 2" xfId="20309"/>
    <cellStyle name="Normal 16 2 2 2 5" xfId="16625"/>
    <cellStyle name="Normal 16 2 2 3" xfId="570"/>
    <cellStyle name="Normal 16 2 2 3 2" xfId="1167"/>
    <cellStyle name="Normal 16 2 2 3 2 2" xfId="2276"/>
    <cellStyle name="Normal 16 2 2 3 2 2 2" xfId="5969"/>
    <cellStyle name="Normal 16 2 2 3 2 2 2 2" xfId="22193"/>
    <cellStyle name="Normal 16 2 2 3 2 2 3" xfId="18509"/>
    <cellStyle name="Normal 16 2 2 3 2 3" xfId="4864"/>
    <cellStyle name="Normal 16 2 2 3 2 3 2" xfId="21090"/>
    <cellStyle name="Normal 16 2 2 3 2 4" xfId="17406"/>
    <cellStyle name="Normal 16 2 2 3 3" xfId="1788"/>
    <cellStyle name="Normal 16 2 2 3 3 2" xfId="5482"/>
    <cellStyle name="Normal 16 2 2 3 3 2 2" xfId="21707"/>
    <cellStyle name="Normal 16 2 2 3 3 3" xfId="18023"/>
    <cellStyle name="Normal 16 2 2 3 4" xfId="4289"/>
    <cellStyle name="Normal 16 2 2 3 4 2" xfId="20515"/>
    <cellStyle name="Normal 16 2 2 3 5" xfId="16831"/>
    <cellStyle name="Normal 16 2 2 4" xfId="796"/>
    <cellStyle name="Normal 16 2 2 4 2" xfId="1952"/>
    <cellStyle name="Normal 16 2 2 4 2 2" xfId="5645"/>
    <cellStyle name="Normal 16 2 2 4 2 2 2" xfId="21869"/>
    <cellStyle name="Normal 16 2 2 4 2 3" xfId="18185"/>
    <cellStyle name="Normal 16 2 2 4 3" xfId="4493"/>
    <cellStyle name="Normal 16 2 2 4 3 2" xfId="20719"/>
    <cellStyle name="Normal 16 2 2 4 4" xfId="17035"/>
    <cellStyle name="Normal 16 2 2 5" xfId="1464"/>
    <cellStyle name="Normal 16 2 2 5 2" xfId="5158"/>
    <cellStyle name="Normal 16 2 2 5 2 2" xfId="21383"/>
    <cellStyle name="Normal 16 2 2 5 3" xfId="17699"/>
    <cellStyle name="Normal 16 2 2 6" xfId="2443"/>
    <cellStyle name="Normal 16 2 2 6 2" xfId="6134"/>
    <cellStyle name="Normal 16 2 2 6 2 2" xfId="22358"/>
    <cellStyle name="Normal 16 2 2 6 3" xfId="18674"/>
    <cellStyle name="Normal 16 2 2 7" xfId="3897"/>
    <cellStyle name="Normal 16 2 2 7 2" xfId="20124"/>
    <cellStyle name="Normal 16 2 2 8" xfId="16440"/>
    <cellStyle name="Normal 16 2 3" xfId="168"/>
    <cellStyle name="Normal 16 2 3 2" xfId="374"/>
    <cellStyle name="Normal 16 2 3 2 2" xfId="989"/>
    <cellStyle name="Normal 16 2 3 2 2 2" xfId="2138"/>
    <cellStyle name="Normal 16 2 3 2 2 2 2" xfId="5831"/>
    <cellStyle name="Normal 16 2 3 2 2 2 2 2" xfId="22055"/>
    <cellStyle name="Normal 16 2 3 2 2 2 3" xfId="18371"/>
    <cellStyle name="Normal 16 2 3 2 2 3" xfId="4686"/>
    <cellStyle name="Normal 16 2 3 2 2 3 2" xfId="20912"/>
    <cellStyle name="Normal 16 2 3 2 2 4" xfId="17228"/>
    <cellStyle name="Normal 16 2 3 2 3" xfId="1650"/>
    <cellStyle name="Normal 16 2 3 2 3 2" xfId="5344"/>
    <cellStyle name="Normal 16 2 3 2 3 2 2" xfId="21569"/>
    <cellStyle name="Normal 16 2 3 2 3 3" xfId="17885"/>
    <cellStyle name="Normal 16 2 3 2 4" xfId="4111"/>
    <cellStyle name="Normal 16 2 3 2 4 2" xfId="20337"/>
    <cellStyle name="Normal 16 2 3 2 5" xfId="16653"/>
    <cellStyle name="Normal 16 2 3 3" xfId="598"/>
    <cellStyle name="Normal 16 2 3 3 2" xfId="1195"/>
    <cellStyle name="Normal 16 2 3 3 2 2" xfId="2300"/>
    <cellStyle name="Normal 16 2 3 3 2 2 2" xfId="5993"/>
    <cellStyle name="Normal 16 2 3 3 2 2 2 2" xfId="22217"/>
    <cellStyle name="Normal 16 2 3 3 2 2 3" xfId="18533"/>
    <cellStyle name="Normal 16 2 3 3 2 3" xfId="4892"/>
    <cellStyle name="Normal 16 2 3 3 2 3 2" xfId="21118"/>
    <cellStyle name="Normal 16 2 3 3 2 4" xfId="17434"/>
    <cellStyle name="Normal 16 2 3 3 3" xfId="1812"/>
    <cellStyle name="Normal 16 2 3 3 3 2" xfId="5506"/>
    <cellStyle name="Normal 16 2 3 3 3 2 2" xfId="21731"/>
    <cellStyle name="Normal 16 2 3 3 3 3" xfId="18047"/>
    <cellStyle name="Normal 16 2 3 3 4" xfId="4317"/>
    <cellStyle name="Normal 16 2 3 3 4 2" xfId="20543"/>
    <cellStyle name="Normal 16 2 3 3 5" xfId="16859"/>
    <cellStyle name="Normal 16 2 3 4" xfId="820"/>
    <cellStyle name="Normal 16 2 3 4 2" xfId="1976"/>
    <cellStyle name="Normal 16 2 3 4 2 2" xfId="5669"/>
    <cellStyle name="Normal 16 2 3 4 2 2 2" xfId="21893"/>
    <cellStyle name="Normal 16 2 3 4 2 3" xfId="18209"/>
    <cellStyle name="Normal 16 2 3 4 3" xfId="4517"/>
    <cellStyle name="Normal 16 2 3 4 3 2" xfId="20743"/>
    <cellStyle name="Normal 16 2 3 4 4" xfId="17059"/>
    <cellStyle name="Normal 16 2 3 5" xfId="1488"/>
    <cellStyle name="Normal 16 2 3 5 2" xfId="5182"/>
    <cellStyle name="Normal 16 2 3 5 2 2" xfId="21407"/>
    <cellStyle name="Normal 16 2 3 5 3" xfId="17723"/>
    <cellStyle name="Normal 16 2 3 6" xfId="2472"/>
    <cellStyle name="Normal 16 2 3 6 2" xfId="6162"/>
    <cellStyle name="Normal 16 2 3 6 2 2" xfId="22386"/>
    <cellStyle name="Normal 16 2 3 6 3" xfId="18702"/>
    <cellStyle name="Normal 16 2 3 7" xfId="3925"/>
    <cellStyle name="Normal 16 2 3 7 2" xfId="20152"/>
    <cellStyle name="Normal 16 2 3 8" xfId="16468"/>
    <cellStyle name="Normal 16 2 4" xfId="196"/>
    <cellStyle name="Normal 16 2 4 2" xfId="402"/>
    <cellStyle name="Normal 16 2 4 2 2" xfId="1017"/>
    <cellStyle name="Normal 16 2 4 2 2 2" xfId="2162"/>
    <cellStyle name="Normal 16 2 4 2 2 2 2" xfId="5855"/>
    <cellStyle name="Normal 16 2 4 2 2 2 2 2" xfId="22079"/>
    <cellStyle name="Normal 16 2 4 2 2 2 3" xfId="18395"/>
    <cellStyle name="Normal 16 2 4 2 2 3" xfId="4714"/>
    <cellStyle name="Normal 16 2 4 2 2 3 2" xfId="20940"/>
    <cellStyle name="Normal 16 2 4 2 2 4" xfId="17256"/>
    <cellStyle name="Normal 16 2 4 2 3" xfId="1674"/>
    <cellStyle name="Normal 16 2 4 2 3 2" xfId="5368"/>
    <cellStyle name="Normal 16 2 4 2 3 2 2" xfId="21593"/>
    <cellStyle name="Normal 16 2 4 2 3 3" xfId="17909"/>
    <cellStyle name="Normal 16 2 4 2 4" xfId="4139"/>
    <cellStyle name="Normal 16 2 4 2 4 2" xfId="20365"/>
    <cellStyle name="Normal 16 2 4 2 5" xfId="16681"/>
    <cellStyle name="Normal 16 2 4 3" xfId="626"/>
    <cellStyle name="Normal 16 2 4 3 2" xfId="1223"/>
    <cellStyle name="Normal 16 2 4 3 2 2" xfId="2324"/>
    <cellStyle name="Normal 16 2 4 3 2 2 2" xfId="6017"/>
    <cellStyle name="Normal 16 2 4 3 2 2 2 2" xfId="22241"/>
    <cellStyle name="Normal 16 2 4 3 2 2 3" xfId="18557"/>
    <cellStyle name="Normal 16 2 4 3 2 3" xfId="4920"/>
    <cellStyle name="Normal 16 2 4 3 2 3 2" xfId="21146"/>
    <cellStyle name="Normal 16 2 4 3 2 4" xfId="17462"/>
    <cellStyle name="Normal 16 2 4 3 3" xfId="1836"/>
    <cellStyle name="Normal 16 2 4 3 3 2" xfId="5530"/>
    <cellStyle name="Normal 16 2 4 3 3 2 2" xfId="21755"/>
    <cellStyle name="Normal 16 2 4 3 3 3" xfId="18071"/>
    <cellStyle name="Normal 16 2 4 3 4" xfId="4345"/>
    <cellStyle name="Normal 16 2 4 3 4 2" xfId="20571"/>
    <cellStyle name="Normal 16 2 4 3 5" xfId="16887"/>
    <cellStyle name="Normal 16 2 4 4" xfId="844"/>
    <cellStyle name="Normal 16 2 4 4 2" xfId="2000"/>
    <cellStyle name="Normal 16 2 4 4 2 2" xfId="5693"/>
    <cellStyle name="Normal 16 2 4 4 2 2 2" xfId="21917"/>
    <cellStyle name="Normal 16 2 4 4 2 3" xfId="18233"/>
    <cellStyle name="Normal 16 2 4 4 3" xfId="4541"/>
    <cellStyle name="Normal 16 2 4 4 3 2" xfId="20767"/>
    <cellStyle name="Normal 16 2 4 4 4" xfId="17083"/>
    <cellStyle name="Normal 16 2 4 5" xfId="1512"/>
    <cellStyle name="Normal 16 2 4 5 2" xfId="5206"/>
    <cellStyle name="Normal 16 2 4 5 2 2" xfId="21431"/>
    <cellStyle name="Normal 16 2 4 5 3" xfId="17747"/>
    <cellStyle name="Normal 16 2 4 6" xfId="2500"/>
    <cellStyle name="Normal 16 2 4 6 2" xfId="6190"/>
    <cellStyle name="Normal 16 2 4 6 2 2" xfId="22414"/>
    <cellStyle name="Normal 16 2 4 6 3" xfId="18730"/>
    <cellStyle name="Normal 16 2 4 7" xfId="3953"/>
    <cellStyle name="Normal 16 2 4 7 2" xfId="20180"/>
    <cellStyle name="Normal 16 2 4 8" xfId="16496"/>
    <cellStyle name="Normal 16 2 5" xfId="226"/>
    <cellStyle name="Normal 16 2 5 2" xfId="432"/>
    <cellStyle name="Normal 16 2 5 2 2" xfId="1047"/>
    <cellStyle name="Normal 16 2 5 2 2 2" xfId="2186"/>
    <cellStyle name="Normal 16 2 5 2 2 2 2" xfId="5879"/>
    <cellStyle name="Normal 16 2 5 2 2 2 2 2" xfId="22103"/>
    <cellStyle name="Normal 16 2 5 2 2 2 3" xfId="18419"/>
    <cellStyle name="Normal 16 2 5 2 2 3" xfId="4744"/>
    <cellStyle name="Normal 16 2 5 2 2 3 2" xfId="20970"/>
    <cellStyle name="Normal 16 2 5 2 2 4" xfId="17286"/>
    <cellStyle name="Normal 16 2 5 2 3" xfId="1698"/>
    <cellStyle name="Normal 16 2 5 2 3 2" xfId="5392"/>
    <cellStyle name="Normal 16 2 5 2 3 2 2" xfId="21617"/>
    <cellStyle name="Normal 16 2 5 2 3 3" xfId="17933"/>
    <cellStyle name="Normal 16 2 5 2 4" xfId="4169"/>
    <cellStyle name="Normal 16 2 5 2 4 2" xfId="20395"/>
    <cellStyle name="Normal 16 2 5 2 5" xfId="16711"/>
    <cellStyle name="Normal 16 2 5 3" xfId="656"/>
    <cellStyle name="Normal 16 2 5 3 2" xfId="1253"/>
    <cellStyle name="Normal 16 2 5 3 2 2" xfId="2348"/>
    <cellStyle name="Normal 16 2 5 3 2 2 2" xfId="6041"/>
    <cellStyle name="Normal 16 2 5 3 2 2 2 2" xfId="22265"/>
    <cellStyle name="Normal 16 2 5 3 2 2 3" xfId="18581"/>
    <cellStyle name="Normal 16 2 5 3 2 3" xfId="4950"/>
    <cellStyle name="Normal 16 2 5 3 2 3 2" xfId="21176"/>
    <cellStyle name="Normal 16 2 5 3 2 4" xfId="17492"/>
    <cellStyle name="Normal 16 2 5 3 3" xfId="1860"/>
    <cellStyle name="Normal 16 2 5 3 3 2" xfId="5554"/>
    <cellStyle name="Normal 16 2 5 3 3 2 2" xfId="21779"/>
    <cellStyle name="Normal 16 2 5 3 3 3" xfId="18095"/>
    <cellStyle name="Normal 16 2 5 3 4" xfId="4375"/>
    <cellStyle name="Normal 16 2 5 3 4 2" xfId="20601"/>
    <cellStyle name="Normal 16 2 5 3 5" xfId="16917"/>
    <cellStyle name="Normal 16 2 5 4" xfId="868"/>
    <cellStyle name="Normal 16 2 5 4 2" xfId="2024"/>
    <cellStyle name="Normal 16 2 5 4 2 2" xfId="5717"/>
    <cellStyle name="Normal 16 2 5 4 2 2 2" xfId="21941"/>
    <cellStyle name="Normal 16 2 5 4 2 3" xfId="18257"/>
    <cellStyle name="Normal 16 2 5 4 3" xfId="4565"/>
    <cellStyle name="Normal 16 2 5 4 3 2" xfId="20791"/>
    <cellStyle name="Normal 16 2 5 4 4" xfId="17107"/>
    <cellStyle name="Normal 16 2 5 5" xfId="1536"/>
    <cellStyle name="Normal 16 2 5 5 2" xfId="5230"/>
    <cellStyle name="Normal 16 2 5 5 2 2" xfId="21455"/>
    <cellStyle name="Normal 16 2 5 5 3" xfId="17771"/>
    <cellStyle name="Normal 16 2 5 6" xfId="2530"/>
    <cellStyle name="Normal 16 2 5 6 2" xfId="6220"/>
    <cellStyle name="Normal 16 2 5 6 2 2" xfId="22444"/>
    <cellStyle name="Normal 16 2 5 6 3" xfId="18760"/>
    <cellStyle name="Normal 16 2 5 7" xfId="3983"/>
    <cellStyle name="Normal 16 2 5 7 2" xfId="20210"/>
    <cellStyle name="Normal 16 2 5 8" xfId="16526"/>
    <cellStyle name="Normal 16 2 6" xfId="261"/>
    <cellStyle name="Normal 16 2 6 2" xfId="458"/>
    <cellStyle name="Normal 16 2 6 2 2" xfId="1073"/>
    <cellStyle name="Normal 16 2 6 2 2 2" xfId="2210"/>
    <cellStyle name="Normal 16 2 6 2 2 2 2" xfId="5903"/>
    <cellStyle name="Normal 16 2 6 2 2 2 2 2" xfId="22127"/>
    <cellStyle name="Normal 16 2 6 2 2 2 3" xfId="18443"/>
    <cellStyle name="Normal 16 2 6 2 2 3" xfId="4770"/>
    <cellStyle name="Normal 16 2 6 2 2 3 2" xfId="20996"/>
    <cellStyle name="Normal 16 2 6 2 2 4" xfId="17312"/>
    <cellStyle name="Normal 16 2 6 2 3" xfId="1722"/>
    <cellStyle name="Normal 16 2 6 2 3 2" xfId="5416"/>
    <cellStyle name="Normal 16 2 6 2 3 2 2" xfId="21641"/>
    <cellStyle name="Normal 16 2 6 2 3 3" xfId="17957"/>
    <cellStyle name="Normal 16 2 6 2 4" xfId="4195"/>
    <cellStyle name="Normal 16 2 6 2 4 2" xfId="20421"/>
    <cellStyle name="Normal 16 2 6 2 5" xfId="16737"/>
    <cellStyle name="Normal 16 2 6 3" xfId="691"/>
    <cellStyle name="Normal 16 2 6 3 2" xfId="1279"/>
    <cellStyle name="Normal 16 2 6 3 2 2" xfId="2372"/>
    <cellStyle name="Normal 16 2 6 3 2 2 2" xfId="6065"/>
    <cellStyle name="Normal 16 2 6 3 2 2 2 2" xfId="22289"/>
    <cellStyle name="Normal 16 2 6 3 2 2 3" xfId="18605"/>
    <cellStyle name="Normal 16 2 6 3 2 3" xfId="4976"/>
    <cellStyle name="Normal 16 2 6 3 2 3 2" xfId="21202"/>
    <cellStyle name="Normal 16 2 6 3 2 4" xfId="17518"/>
    <cellStyle name="Normal 16 2 6 3 3" xfId="1884"/>
    <cellStyle name="Normal 16 2 6 3 3 2" xfId="5578"/>
    <cellStyle name="Normal 16 2 6 3 3 2 2" xfId="21803"/>
    <cellStyle name="Normal 16 2 6 3 3 3" xfId="18119"/>
    <cellStyle name="Normal 16 2 6 3 4" xfId="4401"/>
    <cellStyle name="Normal 16 2 6 3 4 2" xfId="20627"/>
    <cellStyle name="Normal 16 2 6 3 5" xfId="16943"/>
    <cellStyle name="Normal 16 2 6 4" xfId="892"/>
    <cellStyle name="Normal 16 2 6 4 2" xfId="2048"/>
    <cellStyle name="Normal 16 2 6 4 2 2" xfId="5741"/>
    <cellStyle name="Normal 16 2 6 4 2 2 2" xfId="21965"/>
    <cellStyle name="Normal 16 2 6 4 2 3" xfId="18281"/>
    <cellStyle name="Normal 16 2 6 4 3" xfId="4589"/>
    <cellStyle name="Normal 16 2 6 4 3 2" xfId="20815"/>
    <cellStyle name="Normal 16 2 6 4 4" xfId="17131"/>
    <cellStyle name="Normal 16 2 6 5" xfId="1560"/>
    <cellStyle name="Normal 16 2 6 5 2" xfId="5254"/>
    <cellStyle name="Normal 16 2 6 5 2 2" xfId="21479"/>
    <cellStyle name="Normal 16 2 6 5 3" xfId="17795"/>
    <cellStyle name="Normal 16 2 6 6" xfId="2556"/>
    <cellStyle name="Normal 16 2 6 6 2" xfId="6246"/>
    <cellStyle name="Normal 16 2 6 6 2 2" xfId="22470"/>
    <cellStyle name="Normal 16 2 6 6 3" xfId="18786"/>
    <cellStyle name="Normal 16 2 6 7" xfId="4009"/>
    <cellStyle name="Normal 16 2 6 7 2" xfId="20236"/>
    <cellStyle name="Normal 16 2 6 8" xfId="16552"/>
    <cellStyle name="Normal 16 2 7" xfId="299"/>
    <cellStyle name="Normal 16 2 7 2" xfId="486"/>
    <cellStyle name="Normal 16 2 7 2 2" xfId="1101"/>
    <cellStyle name="Normal 16 2 7 2 2 2" xfId="2234"/>
    <cellStyle name="Normal 16 2 7 2 2 2 2" xfId="5927"/>
    <cellStyle name="Normal 16 2 7 2 2 2 2 2" xfId="22151"/>
    <cellStyle name="Normal 16 2 7 2 2 2 3" xfId="18467"/>
    <cellStyle name="Normal 16 2 7 2 2 3" xfId="4798"/>
    <cellStyle name="Normal 16 2 7 2 2 3 2" xfId="21024"/>
    <cellStyle name="Normal 16 2 7 2 2 4" xfId="17340"/>
    <cellStyle name="Normal 16 2 7 2 3" xfId="1746"/>
    <cellStyle name="Normal 16 2 7 2 3 2" xfId="5440"/>
    <cellStyle name="Normal 16 2 7 2 3 2 2" xfId="21665"/>
    <cellStyle name="Normal 16 2 7 2 3 3" xfId="17981"/>
    <cellStyle name="Normal 16 2 7 2 4" xfId="4223"/>
    <cellStyle name="Normal 16 2 7 2 4 2" xfId="20449"/>
    <cellStyle name="Normal 16 2 7 2 5" xfId="16765"/>
    <cellStyle name="Normal 16 2 7 3" xfId="728"/>
    <cellStyle name="Normal 16 2 7 3 2" xfId="1307"/>
    <cellStyle name="Normal 16 2 7 3 2 2" xfId="2396"/>
    <cellStyle name="Normal 16 2 7 3 2 2 2" xfId="6089"/>
    <cellStyle name="Normal 16 2 7 3 2 2 2 2" xfId="22313"/>
    <cellStyle name="Normal 16 2 7 3 2 2 3" xfId="18629"/>
    <cellStyle name="Normal 16 2 7 3 2 3" xfId="5004"/>
    <cellStyle name="Normal 16 2 7 3 2 3 2" xfId="21230"/>
    <cellStyle name="Normal 16 2 7 3 2 4" xfId="17546"/>
    <cellStyle name="Normal 16 2 7 3 3" xfId="1908"/>
    <cellStyle name="Normal 16 2 7 3 3 2" xfId="5602"/>
    <cellStyle name="Normal 16 2 7 3 3 2 2" xfId="21827"/>
    <cellStyle name="Normal 16 2 7 3 3 3" xfId="18143"/>
    <cellStyle name="Normal 16 2 7 3 4" xfId="4429"/>
    <cellStyle name="Normal 16 2 7 3 4 2" xfId="20655"/>
    <cellStyle name="Normal 16 2 7 3 5" xfId="16971"/>
    <cellStyle name="Normal 16 2 7 4" xfId="916"/>
    <cellStyle name="Normal 16 2 7 4 2" xfId="2072"/>
    <cellStyle name="Normal 16 2 7 4 2 2" xfId="5765"/>
    <cellStyle name="Normal 16 2 7 4 2 2 2" xfId="21989"/>
    <cellStyle name="Normal 16 2 7 4 2 3" xfId="18305"/>
    <cellStyle name="Normal 16 2 7 4 3" xfId="4613"/>
    <cellStyle name="Normal 16 2 7 4 3 2" xfId="20839"/>
    <cellStyle name="Normal 16 2 7 4 4" xfId="17155"/>
    <cellStyle name="Normal 16 2 7 5" xfId="1584"/>
    <cellStyle name="Normal 16 2 7 5 2" xfId="5278"/>
    <cellStyle name="Normal 16 2 7 5 2 2" xfId="21503"/>
    <cellStyle name="Normal 16 2 7 5 3" xfId="17819"/>
    <cellStyle name="Normal 16 2 7 6" xfId="2585"/>
    <cellStyle name="Normal 16 2 7 6 2" xfId="6274"/>
    <cellStyle name="Normal 16 2 7 6 2 2" xfId="22498"/>
    <cellStyle name="Normal 16 2 7 6 3" xfId="18814"/>
    <cellStyle name="Normal 16 2 7 7" xfId="4037"/>
    <cellStyle name="Normal 16 2 7 7 2" xfId="20264"/>
    <cellStyle name="Normal 16 2 7 8" xfId="16580"/>
    <cellStyle name="Normal 16 2 8" xfId="325"/>
    <cellStyle name="Normal 16 2 8 2" xfId="941"/>
    <cellStyle name="Normal 16 2 8 2 2" xfId="2096"/>
    <cellStyle name="Normal 16 2 8 2 2 2" xfId="5789"/>
    <cellStyle name="Normal 16 2 8 2 2 2 2" xfId="22013"/>
    <cellStyle name="Normal 16 2 8 2 2 3" xfId="18329"/>
    <cellStyle name="Normal 16 2 8 2 3" xfId="4638"/>
    <cellStyle name="Normal 16 2 8 2 3 2" xfId="20864"/>
    <cellStyle name="Normal 16 2 8 2 4" xfId="17180"/>
    <cellStyle name="Normal 16 2 8 3" xfId="1608"/>
    <cellStyle name="Normal 16 2 8 3 2" xfId="5302"/>
    <cellStyle name="Normal 16 2 8 3 2 2" xfId="21527"/>
    <cellStyle name="Normal 16 2 8 3 3" xfId="17843"/>
    <cellStyle name="Normal 16 2 8 4" xfId="4062"/>
    <cellStyle name="Normal 16 2 8 4 2" xfId="20289"/>
    <cellStyle name="Normal 16 2 8 5" xfId="16605"/>
    <cellStyle name="Normal 16 2 9" xfId="541"/>
    <cellStyle name="Normal 16 2 9 2" xfId="1147"/>
    <cellStyle name="Normal 16 2 9 2 2" xfId="2258"/>
    <cellStyle name="Normal 16 2 9 2 2 2" xfId="5951"/>
    <cellStyle name="Normal 16 2 9 2 2 2 2" xfId="22175"/>
    <cellStyle name="Normal 16 2 9 2 2 3" xfId="18491"/>
    <cellStyle name="Normal 16 2 9 2 3" xfId="4844"/>
    <cellStyle name="Normal 16 2 9 2 3 2" xfId="21070"/>
    <cellStyle name="Normal 16 2 9 2 4" xfId="17386"/>
    <cellStyle name="Normal 16 2 9 3" xfId="1770"/>
    <cellStyle name="Normal 16 2 9 3 2" xfId="5464"/>
    <cellStyle name="Normal 16 2 9 3 2 2" xfId="21689"/>
    <cellStyle name="Normal 16 2 9 3 3" xfId="18005"/>
    <cellStyle name="Normal 16 2 9 4" xfId="4269"/>
    <cellStyle name="Normal 16 2 9 4 2" xfId="20495"/>
    <cellStyle name="Normal 16 2 9 5" xfId="16811"/>
    <cellStyle name="Normal 16 3" xfId="116"/>
    <cellStyle name="Normal 16 3 10" xfId="784"/>
    <cellStyle name="Normal 16 3 10 2" xfId="1940"/>
    <cellStyle name="Normal 16 3 10 2 2" xfId="5633"/>
    <cellStyle name="Normal 16 3 10 2 2 2" xfId="21857"/>
    <cellStyle name="Normal 16 3 10 2 3" xfId="18173"/>
    <cellStyle name="Normal 16 3 10 3" xfId="4481"/>
    <cellStyle name="Normal 16 3 10 3 2" xfId="20707"/>
    <cellStyle name="Normal 16 3 10 4" xfId="17023"/>
    <cellStyle name="Normal 16 3 11" xfId="1452"/>
    <cellStyle name="Normal 16 3 11 2" xfId="5146"/>
    <cellStyle name="Normal 16 3 11 2 2" xfId="21371"/>
    <cellStyle name="Normal 16 3 11 3" xfId="17687"/>
    <cellStyle name="Normal 16 3 12" xfId="2429"/>
    <cellStyle name="Normal 16 3 12 2" xfId="6121"/>
    <cellStyle name="Normal 16 3 12 2 2" xfId="22345"/>
    <cellStyle name="Normal 16 3 12 3" xfId="18661"/>
    <cellStyle name="Normal 16 3 13" xfId="3884"/>
    <cellStyle name="Normal 16 3 13 2" xfId="20111"/>
    <cellStyle name="Normal 16 3 14" xfId="16427"/>
    <cellStyle name="Normal 16 3 2" xfId="146"/>
    <cellStyle name="Normal 16 3 2 2" xfId="353"/>
    <cellStyle name="Normal 16 3 2 2 2" xfId="968"/>
    <cellStyle name="Normal 16 3 2 2 2 2" xfId="2120"/>
    <cellStyle name="Normal 16 3 2 2 2 2 2" xfId="5813"/>
    <cellStyle name="Normal 16 3 2 2 2 2 2 2" xfId="22037"/>
    <cellStyle name="Normal 16 3 2 2 2 2 3" xfId="18353"/>
    <cellStyle name="Normal 16 3 2 2 2 3" xfId="4665"/>
    <cellStyle name="Normal 16 3 2 2 2 3 2" xfId="20891"/>
    <cellStyle name="Normal 16 3 2 2 2 4" xfId="17207"/>
    <cellStyle name="Normal 16 3 2 2 3" xfId="1632"/>
    <cellStyle name="Normal 16 3 2 2 3 2" xfId="5326"/>
    <cellStyle name="Normal 16 3 2 2 3 2 2" xfId="21551"/>
    <cellStyle name="Normal 16 3 2 2 3 3" xfId="17867"/>
    <cellStyle name="Normal 16 3 2 2 4" xfId="4090"/>
    <cellStyle name="Normal 16 3 2 2 4 2" xfId="20316"/>
    <cellStyle name="Normal 16 3 2 2 5" xfId="16632"/>
    <cellStyle name="Normal 16 3 2 3" xfId="577"/>
    <cellStyle name="Normal 16 3 2 3 2" xfId="1174"/>
    <cellStyle name="Normal 16 3 2 3 2 2" xfId="2282"/>
    <cellStyle name="Normal 16 3 2 3 2 2 2" xfId="5975"/>
    <cellStyle name="Normal 16 3 2 3 2 2 2 2" xfId="22199"/>
    <cellStyle name="Normal 16 3 2 3 2 2 3" xfId="18515"/>
    <cellStyle name="Normal 16 3 2 3 2 3" xfId="4871"/>
    <cellStyle name="Normal 16 3 2 3 2 3 2" xfId="21097"/>
    <cellStyle name="Normal 16 3 2 3 2 4" xfId="17413"/>
    <cellStyle name="Normal 16 3 2 3 3" xfId="1794"/>
    <cellStyle name="Normal 16 3 2 3 3 2" xfId="5488"/>
    <cellStyle name="Normal 16 3 2 3 3 2 2" xfId="21713"/>
    <cellStyle name="Normal 16 3 2 3 3 3" xfId="18029"/>
    <cellStyle name="Normal 16 3 2 3 4" xfId="4296"/>
    <cellStyle name="Normal 16 3 2 3 4 2" xfId="20522"/>
    <cellStyle name="Normal 16 3 2 3 5" xfId="16838"/>
    <cellStyle name="Normal 16 3 2 4" xfId="802"/>
    <cellStyle name="Normal 16 3 2 4 2" xfId="1958"/>
    <cellStyle name="Normal 16 3 2 4 2 2" xfId="5651"/>
    <cellStyle name="Normal 16 3 2 4 2 2 2" xfId="21875"/>
    <cellStyle name="Normal 16 3 2 4 2 3" xfId="18191"/>
    <cellStyle name="Normal 16 3 2 4 3" xfId="4499"/>
    <cellStyle name="Normal 16 3 2 4 3 2" xfId="20725"/>
    <cellStyle name="Normal 16 3 2 4 4" xfId="17041"/>
    <cellStyle name="Normal 16 3 2 5" xfId="1470"/>
    <cellStyle name="Normal 16 3 2 5 2" xfId="5164"/>
    <cellStyle name="Normal 16 3 2 5 2 2" xfId="21389"/>
    <cellStyle name="Normal 16 3 2 5 3" xfId="17705"/>
    <cellStyle name="Normal 16 3 2 6" xfId="2450"/>
    <cellStyle name="Normal 16 3 2 6 2" xfId="6141"/>
    <cellStyle name="Normal 16 3 2 6 2 2" xfId="22365"/>
    <cellStyle name="Normal 16 3 2 6 3" xfId="18681"/>
    <cellStyle name="Normal 16 3 2 7" xfId="3904"/>
    <cellStyle name="Normal 16 3 2 7 2" xfId="20131"/>
    <cellStyle name="Normal 16 3 2 8" xfId="16447"/>
    <cellStyle name="Normal 16 3 3" xfId="175"/>
    <cellStyle name="Normal 16 3 3 2" xfId="381"/>
    <cellStyle name="Normal 16 3 3 2 2" xfId="996"/>
    <cellStyle name="Normal 16 3 3 2 2 2" xfId="2144"/>
    <cellStyle name="Normal 16 3 3 2 2 2 2" xfId="5837"/>
    <cellStyle name="Normal 16 3 3 2 2 2 2 2" xfId="22061"/>
    <cellStyle name="Normal 16 3 3 2 2 2 3" xfId="18377"/>
    <cellStyle name="Normal 16 3 3 2 2 3" xfId="4693"/>
    <cellStyle name="Normal 16 3 3 2 2 3 2" xfId="20919"/>
    <cellStyle name="Normal 16 3 3 2 2 4" xfId="17235"/>
    <cellStyle name="Normal 16 3 3 2 3" xfId="1656"/>
    <cellStyle name="Normal 16 3 3 2 3 2" xfId="5350"/>
    <cellStyle name="Normal 16 3 3 2 3 2 2" xfId="21575"/>
    <cellStyle name="Normal 16 3 3 2 3 3" xfId="17891"/>
    <cellStyle name="Normal 16 3 3 2 4" xfId="4118"/>
    <cellStyle name="Normal 16 3 3 2 4 2" xfId="20344"/>
    <cellStyle name="Normal 16 3 3 2 5" xfId="16660"/>
    <cellStyle name="Normal 16 3 3 3" xfId="605"/>
    <cellStyle name="Normal 16 3 3 3 2" xfId="1202"/>
    <cellStyle name="Normal 16 3 3 3 2 2" xfId="2306"/>
    <cellStyle name="Normal 16 3 3 3 2 2 2" xfId="5999"/>
    <cellStyle name="Normal 16 3 3 3 2 2 2 2" xfId="22223"/>
    <cellStyle name="Normal 16 3 3 3 2 2 3" xfId="18539"/>
    <cellStyle name="Normal 16 3 3 3 2 3" xfId="4899"/>
    <cellStyle name="Normal 16 3 3 3 2 3 2" xfId="21125"/>
    <cellStyle name="Normal 16 3 3 3 2 4" xfId="17441"/>
    <cellStyle name="Normal 16 3 3 3 3" xfId="1818"/>
    <cellStyle name="Normal 16 3 3 3 3 2" xfId="5512"/>
    <cellStyle name="Normal 16 3 3 3 3 2 2" xfId="21737"/>
    <cellStyle name="Normal 16 3 3 3 3 3" xfId="18053"/>
    <cellStyle name="Normal 16 3 3 3 4" xfId="4324"/>
    <cellStyle name="Normal 16 3 3 3 4 2" xfId="20550"/>
    <cellStyle name="Normal 16 3 3 3 5" xfId="16866"/>
    <cellStyle name="Normal 16 3 3 4" xfId="826"/>
    <cellStyle name="Normal 16 3 3 4 2" xfId="1982"/>
    <cellStyle name="Normal 16 3 3 4 2 2" xfId="5675"/>
    <cellStyle name="Normal 16 3 3 4 2 2 2" xfId="21899"/>
    <cellStyle name="Normal 16 3 3 4 2 3" xfId="18215"/>
    <cellStyle name="Normal 16 3 3 4 3" xfId="4523"/>
    <cellStyle name="Normal 16 3 3 4 3 2" xfId="20749"/>
    <cellStyle name="Normal 16 3 3 4 4" xfId="17065"/>
    <cellStyle name="Normal 16 3 3 5" xfId="1494"/>
    <cellStyle name="Normal 16 3 3 5 2" xfId="5188"/>
    <cellStyle name="Normal 16 3 3 5 2 2" xfId="21413"/>
    <cellStyle name="Normal 16 3 3 5 3" xfId="17729"/>
    <cellStyle name="Normal 16 3 3 6" xfId="2479"/>
    <cellStyle name="Normal 16 3 3 6 2" xfId="6169"/>
    <cellStyle name="Normal 16 3 3 6 2 2" xfId="22393"/>
    <cellStyle name="Normal 16 3 3 6 3" xfId="18709"/>
    <cellStyle name="Normal 16 3 3 7" xfId="3932"/>
    <cellStyle name="Normal 16 3 3 7 2" xfId="20159"/>
    <cellStyle name="Normal 16 3 3 8" xfId="16475"/>
    <cellStyle name="Normal 16 3 4" xfId="203"/>
    <cellStyle name="Normal 16 3 4 2" xfId="409"/>
    <cellStyle name="Normal 16 3 4 2 2" xfId="1024"/>
    <cellStyle name="Normal 16 3 4 2 2 2" xfId="2168"/>
    <cellStyle name="Normal 16 3 4 2 2 2 2" xfId="5861"/>
    <cellStyle name="Normal 16 3 4 2 2 2 2 2" xfId="22085"/>
    <cellStyle name="Normal 16 3 4 2 2 2 3" xfId="18401"/>
    <cellStyle name="Normal 16 3 4 2 2 3" xfId="4721"/>
    <cellStyle name="Normal 16 3 4 2 2 3 2" xfId="20947"/>
    <cellStyle name="Normal 16 3 4 2 2 4" xfId="17263"/>
    <cellStyle name="Normal 16 3 4 2 3" xfId="1680"/>
    <cellStyle name="Normal 16 3 4 2 3 2" xfId="5374"/>
    <cellStyle name="Normal 16 3 4 2 3 2 2" xfId="21599"/>
    <cellStyle name="Normal 16 3 4 2 3 3" xfId="17915"/>
    <cellStyle name="Normal 16 3 4 2 4" xfId="4146"/>
    <cellStyle name="Normal 16 3 4 2 4 2" xfId="20372"/>
    <cellStyle name="Normal 16 3 4 2 5" xfId="16688"/>
    <cellStyle name="Normal 16 3 4 3" xfId="633"/>
    <cellStyle name="Normal 16 3 4 3 2" xfId="1230"/>
    <cellStyle name="Normal 16 3 4 3 2 2" xfId="2330"/>
    <cellStyle name="Normal 16 3 4 3 2 2 2" xfId="6023"/>
    <cellStyle name="Normal 16 3 4 3 2 2 2 2" xfId="22247"/>
    <cellStyle name="Normal 16 3 4 3 2 2 3" xfId="18563"/>
    <cellStyle name="Normal 16 3 4 3 2 3" xfId="4927"/>
    <cellStyle name="Normal 16 3 4 3 2 3 2" xfId="21153"/>
    <cellStyle name="Normal 16 3 4 3 2 4" xfId="17469"/>
    <cellStyle name="Normal 16 3 4 3 3" xfId="1842"/>
    <cellStyle name="Normal 16 3 4 3 3 2" xfId="5536"/>
    <cellStyle name="Normal 16 3 4 3 3 2 2" xfId="21761"/>
    <cellStyle name="Normal 16 3 4 3 3 3" xfId="18077"/>
    <cellStyle name="Normal 16 3 4 3 4" xfId="4352"/>
    <cellStyle name="Normal 16 3 4 3 4 2" xfId="20578"/>
    <cellStyle name="Normal 16 3 4 3 5" xfId="16894"/>
    <cellStyle name="Normal 16 3 4 4" xfId="850"/>
    <cellStyle name="Normal 16 3 4 4 2" xfId="2006"/>
    <cellStyle name="Normal 16 3 4 4 2 2" xfId="5699"/>
    <cellStyle name="Normal 16 3 4 4 2 2 2" xfId="21923"/>
    <cellStyle name="Normal 16 3 4 4 2 3" xfId="18239"/>
    <cellStyle name="Normal 16 3 4 4 3" xfId="4547"/>
    <cellStyle name="Normal 16 3 4 4 3 2" xfId="20773"/>
    <cellStyle name="Normal 16 3 4 4 4" xfId="17089"/>
    <cellStyle name="Normal 16 3 4 5" xfId="1518"/>
    <cellStyle name="Normal 16 3 4 5 2" xfId="5212"/>
    <cellStyle name="Normal 16 3 4 5 2 2" xfId="21437"/>
    <cellStyle name="Normal 16 3 4 5 3" xfId="17753"/>
    <cellStyle name="Normal 16 3 4 6" xfId="2507"/>
    <cellStyle name="Normal 16 3 4 6 2" xfId="6197"/>
    <cellStyle name="Normal 16 3 4 6 2 2" xfId="22421"/>
    <cellStyle name="Normal 16 3 4 6 3" xfId="18737"/>
    <cellStyle name="Normal 16 3 4 7" xfId="3960"/>
    <cellStyle name="Normal 16 3 4 7 2" xfId="20187"/>
    <cellStyle name="Normal 16 3 4 8" xfId="16503"/>
    <cellStyle name="Normal 16 3 5" xfId="232"/>
    <cellStyle name="Normal 16 3 5 2" xfId="438"/>
    <cellStyle name="Normal 16 3 5 2 2" xfId="1053"/>
    <cellStyle name="Normal 16 3 5 2 2 2" xfId="2192"/>
    <cellStyle name="Normal 16 3 5 2 2 2 2" xfId="5885"/>
    <cellStyle name="Normal 16 3 5 2 2 2 2 2" xfId="22109"/>
    <cellStyle name="Normal 16 3 5 2 2 2 3" xfId="18425"/>
    <cellStyle name="Normal 16 3 5 2 2 3" xfId="4750"/>
    <cellStyle name="Normal 16 3 5 2 2 3 2" xfId="20976"/>
    <cellStyle name="Normal 16 3 5 2 2 4" xfId="17292"/>
    <cellStyle name="Normal 16 3 5 2 3" xfId="1704"/>
    <cellStyle name="Normal 16 3 5 2 3 2" xfId="5398"/>
    <cellStyle name="Normal 16 3 5 2 3 2 2" xfId="21623"/>
    <cellStyle name="Normal 16 3 5 2 3 3" xfId="17939"/>
    <cellStyle name="Normal 16 3 5 2 4" xfId="4175"/>
    <cellStyle name="Normal 16 3 5 2 4 2" xfId="20401"/>
    <cellStyle name="Normal 16 3 5 2 5" xfId="16717"/>
    <cellStyle name="Normal 16 3 5 3" xfId="662"/>
    <cellStyle name="Normal 16 3 5 3 2" xfId="1259"/>
    <cellStyle name="Normal 16 3 5 3 2 2" xfId="2354"/>
    <cellStyle name="Normal 16 3 5 3 2 2 2" xfId="6047"/>
    <cellStyle name="Normal 16 3 5 3 2 2 2 2" xfId="22271"/>
    <cellStyle name="Normal 16 3 5 3 2 2 3" xfId="18587"/>
    <cellStyle name="Normal 16 3 5 3 2 3" xfId="4956"/>
    <cellStyle name="Normal 16 3 5 3 2 3 2" xfId="21182"/>
    <cellStyle name="Normal 16 3 5 3 2 4" xfId="17498"/>
    <cellStyle name="Normal 16 3 5 3 3" xfId="1866"/>
    <cellStyle name="Normal 16 3 5 3 3 2" xfId="5560"/>
    <cellStyle name="Normal 16 3 5 3 3 2 2" xfId="21785"/>
    <cellStyle name="Normal 16 3 5 3 3 3" xfId="18101"/>
    <cellStyle name="Normal 16 3 5 3 4" xfId="4381"/>
    <cellStyle name="Normal 16 3 5 3 4 2" xfId="20607"/>
    <cellStyle name="Normal 16 3 5 3 5" xfId="16923"/>
    <cellStyle name="Normal 16 3 5 4" xfId="874"/>
    <cellStyle name="Normal 16 3 5 4 2" xfId="2030"/>
    <cellStyle name="Normal 16 3 5 4 2 2" xfId="5723"/>
    <cellStyle name="Normal 16 3 5 4 2 2 2" xfId="21947"/>
    <cellStyle name="Normal 16 3 5 4 2 3" xfId="18263"/>
    <cellStyle name="Normal 16 3 5 4 3" xfId="4571"/>
    <cellStyle name="Normal 16 3 5 4 3 2" xfId="20797"/>
    <cellStyle name="Normal 16 3 5 4 4" xfId="17113"/>
    <cellStyle name="Normal 16 3 5 5" xfId="1542"/>
    <cellStyle name="Normal 16 3 5 5 2" xfId="5236"/>
    <cellStyle name="Normal 16 3 5 5 2 2" xfId="21461"/>
    <cellStyle name="Normal 16 3 5 5 3" xfId="17777"/>
    <cellStyle name="Normal 16 3 5 6" xfId="2536"/>
    <cellStyle name="Normal 16 3 5 6 2" xfId="6226"/>
    <cellStyle name="Normal 16 3 5 6 2 2" xfId="22450"/>
    <cellStyle name="Normal 16 3 5 6 3" xfId="18766"/>
    <cellStyle name="Normal 16 3 5 7" xfId="3989"/>
    <cellStyle name="Normal 16 3 5 7 2" xfId="20216"/>
    <cellStyle name="Normal 16 3 5 8" xfId="16532"/>
    <cellStyle name="Normal 16 3 6" xfId="268"/>
    <cellStyle name="Normal 16 3 6 2" xfId="465"/>
    <cellStyle name="Normal 16 3 6 2 2" xfId="1080"/>
    <cellStyle name="Normal 16 3 6 2 2 2" xfId="2216"/>
    <cellStyle name="Normal 16 3 6 2 2 2 2" xfId="5909"/>
    <cellStyle name="Normal 16 3 6 2 2 2 2 2" xfId="22133"/>
    <cellStyle name="Normal 16 3 6 2 2 2 3" xfId="18449"/>
    <cellStyle name="Normal 16 3 6 2 2 3" xfId="4777"/>
    <cellStyle name="Normal 16 3 6 2 2 3 2" xfId="21003"/>
    <cellStyle name="Normal 16 3 6 2 2 4" xfId="17319"/>
    <cellStyle name="Normal 16 3 6 2 3" xfId="1728"/>
    <cellStyle name="Normal 16 3 6 2 3 2" xfId="5422"/>
    <cellStyle name="Normal 16 3 6 2 3 2 2" xfId="21647"/>
    <cellStyle name="Normal 16 3 6 2 3 3" xfId="17963"/>
    <cellStyle name="Normal 16 3 6 2 4" xfId="4202"/>
    <cellStyle name="Normal 16 3 6 2 4 2" xfId="20428"/>
    <cellStyle name="Normal 16 3 6 2 5" xfId="16744"/>
    <cellStyle name="Normal 16 3 6 3" xfId="698"/>
    <cellStyle name="Normal 16 3 6 3 2" xfId="1286"/>
    <cellStyle name="Normal 16 3 6 3 2 2" xfId="2378"/>
    <cellStyle name="Normal 16 3 6 3 2 2 2" xfId="6071"/>
    <cellStyle name="Normal 16 3 6 3 2 2 2 2" xfId="22295"/>
    <cellStyle name="Normal 16 3 6 3 2 2 3" xfId="18611"/>
    <cellStyle name="Normal 16 3 6 3 2 3" xfId="4983"/>
    <cellStyle name="Normal 16 3 6 3 2 3 2" xfId="21209"/>
    <cellStyle name="Normal 16 3 6 3 2 4" xfId="17525"/>
    <cellStyle name="Normal 16 3 6 3 3" xfId="1890"/>
    <cellStyle name="Normal 16 3 6 3 3 2" xfId="5584"/>
    <cellStyle name="Normal 16 3 6 3 3 2 2" xfId="21809"/>
    <cellStyle name="Normal 16 3 6 3 3 3" xfId="18125"/>
    <cellStyle name="Normal 16 3 6 3 4" xfId="4408"/>
    <cellStyle name="Normal 16 3 6 3 4 2" xfId="20634"/>
    <cellStyle name="Normal 16 3 6 3 5" xfId="16950"/>
    <cellStyle name="Normal 16 3 6 4" xfId="898"/>
    <cellStyle name="Normal 16 3 6 4 2" xfId="2054"/>
    <cellStyle name="Normal 16 3 6 4 2 2" xfId="5747"/>
    <cellStyle name="Normal 16 3 6 4 2 2 2" xfId="21971"/>
    <cellStyle name="Normal 16 3 6 4 2 3" xfId="18287"/>
    <cellStyle name="Normal 16 3 6 4 3" xfId="4595"/>
    <cellStyle name="Normal 16 3 6 4 3 2" xfId="20821"/>
    <cellStyle name="Normal 16 3 6 4 4" xfId="17137"/>
    <cellStyle name="Normal 16 3 6 5" xfId="1566"/>
    <cellStyle name="Normal 16 3 6 5 2" xfId="5260"/>
    <cellStyle name="Normal 16 3 6 5 2 2" xfId="21485"/>
    <cellStyle name="Normal 16 3 6 5 3" xfId="17801"/>
    <cellStyle name="Normal 16 3 6 6" xfId="2563"/>
    <cellStyle name="Normal 16 3 6 6 2" xfId="6253"/>
    <cellStyle name="Normal 16 3 6 6 2 2" xfId="22477"/>
    <cellStyle name="Normal 16 3 6 6 3" xfId="18793"/>
    <cellStyle name="Normal 16 3 6 7" xfId="4016"/>
    <cellStyle name="Normal 16 3 6 7 2" xfId="20243"/>
    <cellStyle name="Normal 16 3 6 8" xfId="16559"/>
    <cellStyle name="Normal 16 3 7" xfId="305"/>
    <cellStyle name="Normal 16 3 7 2" xfId="492"/>
    <cellStyle name="Normal 16 3 7 2 2" xfId="1107"/>
    <cellStyle name="Normal 16 3 7 2 2 2" xfId="2240"/>
    <cellStyle name="Normal 16 3 7 2 2 2 2" xfId="5933"/>
    <cellStyle name="Normal 16 3 7 2 2 2 2 2" xfId="22157"/>
    <cellStyle name="Normal 16 3 7 2 2 2 3" xfId="18473"/>
    <cellStyle name="Normal 16 3 7 2 2 3" xfId="4804"/>
    <cellStyle name="Normal 16 3 7 2 2 3 2" xfId="21030"/>
    <cellStyle name="Normal 16 3 7 2 2 4" xfId="17346"/>
    <cellStyle name="Normal 16 3 7 2 3" xfId="1752"/>
    <cellStyle name="Normal 16 3 7 2 3 2" xfId="5446"/>
    <cellStyle name="Normal 16 3 7 2 3 2 2" xfId="21671"/>
    <cellStyle name="Normal 16 3 7 2 3 3" xfId="17987"/>
    <cellStyle name="Normal 16 3 7 2 4" xfId="4229"/>
    <cellStyle name="Normal 16 3 7 2 4 2" xfId="20455"/>
    <cellStyle name="Normal 16 3 7 2 5" xfId="16771"/>
    <cellStyle name="Normal 16 3 7 3" xfId="734"/>
    <cellStyle name="Normal 16 3 7 3 2" xfId="1313"/>
    <cellStyle name="Normal 16 3 7 3 2 2" xfId="2402"/>
    <cellStyle name="Normal 16 3 7 3 2 2 2" xfId="6095"/>
    <cellStyle name="Normal 16 3 7 3 2 2 2 2" xfId="22319"/>
    <cellStyle name="Normal 16 3 7 3 2 2 3" xfId="18635"/>
    <cellStyle name="Normal 16 3 7 3 2 3" xfId="5010"/>
    <cellStyle name="Normal 16 3 7 3 2 3 2" xfId="21236"/>
    <cellStyle name="Normal 16 3 7 3 2 4" xfId="17552"/>
    <cellStyle name="Normal 16 3 7 3 3" xfId="1914"/>
    <cellStyle name="Normal 16 3 7 3 3 2" xfId="5608"/>
    <cellStyle name="Normal 16 3 7 3 3 2 2" xfId="21833"/>
    <cellStyle name="Normal 16 3 7 3 3 3" xfId="18149"/>
    <cellStyle name="Normal 16 3 7 3 4" xfId="4435"/>
    <cellStyle name="Normal 16 3 7 3 4 2" xfId="20661"/>
    <cellStyle name="Normal 16 3 7 3 5" xfId="16977"/>
    <cellStyle name="Normal 16 3 7 4" xfId="922"/>
    <cellStyle name="Normal 16 3 7 4 2" xfId="2078"/>
    <cellStyle name="Normal 16 3 7 4 2 2" xfId="5771"/>
    <cellStyle name="Normal 16 3 7 4 2 2 2" xfId="21995"/>
    <cellStyle name="Normal 16 3 7 4 2 3" xfId="18311"/>
    <cellStyle name="Normal 16 3 7 4 3" xfId="4619"/>
    <cellStyle name="Normal 16 3 7 4 3 2" xfId="20845"/>
    <cellStyle name="Normal 16 3 7 4 4" xfId="17161"/>
    <cellStyle name="Normal 16 3 7 5" xfId="1590"/>
    <cellStyle name="Normal 16 3 7 5 2" xfId="5284"/>
    <cellStyle name="Normal 16 3 7 5 2 2" xfId="21509"/>
    <cellStyle name="Normal 16 3 7 5 3" xfId="17825"/>
    <cellStyle name="Normal 16 3 7 6" xfId="2591"/>
    <cellStyle name="Normal 16 3 7 6 2" xfId="6280"/>
    <cellStyle name="Normal 16 3 7 6 2 2" xfId="22504"/>
    <cellStyle name="Normal 16 3 7 6 3" xfId="18820"/>
    <cellStyle name="Normal 16 3 7 7" xfId="4043"/>
    <cellStyle name="Normal 16 3 7 7 2" xfId="20270"/>
    <cellStyle name="Normal 16 3 7 8" xfId="16586"/>
    <cellStyle name="Normal 16 3 8" xfId="332"/>
    <cellStyle name="Normal 16 3 8 2" xfId="948"/>
    <cellStyle name="Normal 16 3 8 2 2" xfId="2102"/>
    <cellStyle name="Normal 16 3 8 2 2 2" xfId="5795"/>
    <cellStyle name="Normal 16 3 8 2 2 2 2" xfId="22019"/>
    <cellStyle name="Normal 16 3 8 2 2 3" xfId="18335"/>
    <cellStyle name="Normal 16 3 8 2 3" xfId="4645"/>
    <cellStyle name="Normal 16 3 8 2 3 2" xfId="20871"/>
    <cellStyle name="Normal 16 3 8 2 4" xfId="17187"/>
    <cellStyle name="Normal 16 3 8 3" xfId="1614"/>
    <cellStyle name="Normal 16 3 8 3 2" xfId="5308"/>
    <cellStyle name="Normal 16 3 8 3 2 2" xfId="21533"/>
    <cellStyle name="Normal 16 3 8 3 3" xfId="17849"/>
    <cellStyle name="Normal 16 3 8 4" xfId="4069"/>
    <cellStyle name="Normal 16 3 8 4 2" xfId="20296"/>
    <cellStyle name="Normal 16 3 8 5" xfId="16612"/>
    <cellStyle name="Normal 16 3 9" xfId="548"/>
    <cellStyle name="Normal 16 3 9 2" xfId="1154"/>
    <cellStyle name="Normal 16 3 9 2 2" xfId="2264"/>
    <cellStyle name="Normal 16 3 9 2 2 2" xfId="5957"/>
    <cellStyle name="Normal 16 3 9 2 2 2 2" xfId="22181"/>
    <cellStyle name="Normal 16 3 9 2 2 3" xfId="18497"/>
    <cellStyle name="Normal 16 3 9 2 3" xfId="4851"/>
    <cellStyle name="Normal 16 3 9 2 3 2" xfId="21077"/>
    <cellStyle name="Normal 16 3 9 2 4" xfId="17393"/>
    <cellStyle name="Normal 16 3 9 3" xfId="1776"/>
    <cellStyle name="Normal 16 3 9 3 2" xfId="5470"/>
    <cellStyle name="Normal 16 3 9 3 2 2" xfId="21695"/>
    <cellStyle name="Normal 16 3 9 3 3" xfId="18011"/>
    <cellStyle name="Normal 16 3 9 4" xfId="4276"/>
    <cellStyle name="Normal 16 3 9 4 2" xfId="20502"/>
    <cellStyle name="Normal 16 3 9 5" xfId="16818"/>
    <cellStyle name="Normal 16 4" xfId="152"/>
    <cellStyle name="Normal 16 4 10" xfId="1476"/>
    <cellStyle name="Normal 16 4 10 2" xfId="5170"/>
    <cellStyle name="Normal 16 4 10 2 2" xfId="21395"/>
    <cellStyle name="Normal 16 4 10 3" xfId="17711"/>
    <cellStyle name="Normal 16 4 11" xfId="2456"/>
    <cellStyle name="Normal 16 4 11 2" xfId="6147"/>
    <cellStyle name="Normal 16 4 11 2 2" xfId="22371"/>
    <cellStyle name="Normal 16 4 11 3" xfId="18687"/>
    <cellStyle name="Normal 16 4 12" xfId="3910"/>
    <cellStyle name="Normal 16 4 12 2" xfId="20137"/>
    <cellStyle name="Normal 16 4 13" xfId="16453"/>
    <cellStyle name="Normal 16 4 2" xfId="181"/>
    <cellStyle name="Normal 16 4 2 2" xfId="387"/>
    <cellStyle name="Normal 16 4 2 2 2" xfId="1002"/>
    <cellStyle name="Normal 16 4 2 2 2 2" xfId="2150"/>
    <cellStyle name="Normal 16 4 2 2 2 2 2" xfId="5843"/>
    <cellStyle name="Normal 16 4 2 2 2 2 2 2" xfId="22067"/>
    <cellStyle name="Normal 16 4 2 2 2 2 3" xfId="18383"/>
    <cellStyle name="Normal 16 4 2 2 2 3" xfId="4699"/>
    <cellStyle name="Normal 16 4 2 2 2 3 2" xfId="20925"/>
    <cellStyle name="Normal 16 4 2 2 2 4" xfId="17241"/>
    <cellStyle name="Normal 16 4 2 2 3" xfId="1662"/>
    <cellStyle name="Normal 16 4 2 2 3 2" xfId="5356"/>
    <cellStyle name="Normal 16 4 2 2 3 2 2" xfId="21581"/>
    <cellStyle name="Normal 16 4 2 2 3 3" xfId="17897"/>
    <cellStyle name="Normal 16 4 2 2 4" xfId="4124"/>
    <cellStyle name="Normal 16 4 2 2 4 2" xfId="20350"/>
    <cellStyle name="Normal 16 4 2 2 5" xfId="16666"/>
    <cellStyle name="Normal 16 4 2 3" xfId="611"/>
    <cellStyle name="Normal 16 4 2 3 2" xfId="1208"/>
    <cellStyle name="Normal 16 4 2 3 2 2" xfId="2312"/>
    <cellStyle name="Normal 16 4 2 3 2 2 2" xfId="6005"/>
    <cellStyle name="Normal 16 4 2 3 2 2 2 2" xfId="22229"/>
    <cellStyle name="Normal 16 4 2 3 2 2 3" xfId="18545"/>
    <cellStyle name="Normal 16 4 2 3 2 3" xfId="4905"/>
    <cellStyle name="Normal 16 4 2 3 2 3 2" xfId="21131"/>
    <cellStyle name="Normal 16 4 2 3 2 4" xfId="17447"/>
    <cellStyle name="Normal 16 4 2 3 3" xfId="1824"/>
    <cellStyle name="Normal 16 4 2 3 3 2" xfId="5518"/>
    <cellStyle name="Normal 16 4 2 3 3 2 2" xfId="21743"/>
    <cellStyle name="Normal 16 4 2 3 3 3" xfId="18059"/>
    <cellStyle name="Normal 16 4 2 3 4" xfId="4330"/>
    <cellStyle name="Normal 16 4 2 3 4 2" xfId="20556"/>
    <cellStyle name="Normal 16 4 2 3 5" xfId="16872"/>
    <cellStyle name="Normal 16 4 2 4" xfId="832"/>
    <cellStyle name="Normal 16 4 2 4 2" xfId="1988"/>
    <cellStyle name="Normal 16 4 2 4 2 2" xfId="5681"/>
    <cellStyle name="Normal 16 4 2 4 2 2 2" xfId="21905"/>
    <cellStyle name="Normal 16 4 2 4 2 3" xfId="18221"/>
    <cellStyle name="Normal 16 4 2 4 3" xfId="4529"/>
    <cellStyle name="Normal 16 4 2 4 3 2" xfId="20755"/>
    <cellStyle name="Normal 16 4 2 4 4" xfId="17071"/>
    <cellStyle name="Normal 16 4 2 5" xfId="1500"/>
    <cellStyle name="Normal 16 4 2 5 2" xfId="5194"/>
    <cellStyle name="Normal 16 4 2 5 2 2" xfId="21419"/>
    <cellStyle name="Normal 16 4 2 5 3" xfId="17735"/>
    <cellStyle name="Normal 16 4 2 6" xfId="2485"/>
    <cellStyle name="Normal 16 4 2 6 2" xfId="6175"/>
    <cellStyle name="Normal 16 4 2 6 2 2" xfId="22399"/>
    <cellStyle name="Normal 16 4 2 6 3" xfId="18715"/>
    <cellStyle name="Normal 16 4 2 7" xfId="3938"/>
    <cellStyle name="Normal 16 4 2 7 2" xfId="20165"/>
    <cellStyle name="Normal 16 4 2 8" xfId="16481"/>
    <cellStyle name="Normal 16 4 3" xfId="209"/>
    <cellStyle name="Normal 16 4 3 2" xfId="415"/>
    <cellStyle name="Normal 16 4 3 2 2" xfId="1030"/>
    <cellStyle name="Normal 16 4 3 2 2 2" xfId="2174"/>
    <cellStyle name="Normal 16 4 3 2 2 2 2" xfId="5867"/>
    <cellStyle name="Normal 16 4 3 2 2 2 2 2" xfId="22091"/>
    <cellStyle name="Normal 16 4 3 2 2 2 3" xfId="18407"/>
    <cellStyle name="Normal 16 4 3 2 2 3" xfId="4727"/>
    <cellStyle name="Normal 16 4 3 2 2 3 2" xfId="20953"/>
    <cellStyle name="Normal 16 4 3 2 2 4" xfId="17269"/>
    <cellStyle name="Normal 16 4 3 2 3" xfId="1686"/>
    <cellStyle name="Normal 16 4 3 2 3 2" xfId="5380"/>
    <cellStyle name="Normal 16 4 3 2 3 2 2" xfId="21605"/>
    <cellStyle name="Normal 16 4 3 2 3 3" xfId="17921"/>
    <cellStyle name="Normal 16 4 3 2 4" xfId="4152"/>
    <cellStyle name="Normal 16 4 3 2 4 2" xfId="20378"/>
    <cellStyle name="Normal 16 4 3 2 5" xfId="16694"/>
    <cellStyle name="Normal 16 4 3 3" xfId="639"/>
    <cellStyle name="Normal 16 4 3 3 2" xfId="1236"/>
    <cellStyle name="Normal 16 4 3 3 2 2" xfId="2336"/>
    <cellStyle name="Normal 16 4 3 3 2 2 2" xfId="6029"/>
    <cellStyle name="Normal 16 4 3 3 2 2 2 2" xfId="22253"/>
    <cellStyle name="Normal 16 4 3 3 2 2 3" xfId="18569"/>
    <cellStyle name="Normal 16 4 3 3 2 3" xfId="4933"/>
    <cellStyle name="Normal 16 4 3 3 2 3 2" xfId="21159"/>
    <cellStyle name="Normal 16 4 3 3 2 4" xfId="17475"/>
    <cellStyle name="Normal 16 4 3 3 3" xfId="1848"/>
    <cellStyle name="Normal 16 4 3 3 3 2" xfId="5542"/>
    <cellStyle name="Normal 16 4 3 3 3 2 2" xfId="21767"/>
    <cellStyle name="Normal 16 4 3 3 3 3" xfId="18083"/>
    <cellStyle name="Normal 16 4 3 3 4" xfId="4358"/>
    <cellStyle name="Normal 16 4 3 3 4 2" xfId="20584"/>
    <cellStyle name="Normal 16 4 3 3 5" xfId="16900"/>
    <cellStyle name="Normal 16 4 3 4" xfId="856"/>
    <cellStyle name="Normal 16 4 3 4 2" xfId="2012"/>
    <cellStyle name="Normal 16 4 3 4 2 2" xfId="5705"/>
    <cellStyle name="Normal 16 4 3 4 2 2 2" xfId="21929"/>
    <cellStyle name="Normal 16 4 3 4 2 3" xfId="18245"/>
    <cellStyle name="Normal 16 4 3 4 3" xfId="4553"/>
    <cellStyle name="Normal 16 4 3 4 3 2" xfId="20779"/>
    <cellStyle name="Normal 16 4 3 4 4" xfId="17095"/>
    <cellStyle name="Normal 16 4 3 5" xfId="1524"/>
    <cellStyle name="Normal 16 4 3 5 2" xfId="5218"/>
    <cellStyle name="Normal 16 4 3 5 2 2" xfId="21443"/>
    <cellStyle name="Normal 16 4 3 5 3" xfId="17759"/>
    <cellStyle name="Normal 16 4 3 6" xfId="2513"/>
    <cellStyle name="Normal 16 4 3 6 2" xfId="6203"/>
    <cellStyle name="Normal 16 4 3 6 2 2" xfId="22427"/>
    <cellStyle name="Normal 16 4 3 6 3" xfId="18743"/>
    <cellStyle name="Normal 16 4 3 7" xfId="3966"/>
    <cellStyle name="Normal 16 4 3 7 2" xfId="20193"/>
    <cellStyle name="Normal 16 4 3 8" xfId="16509"/>
    <cellStyle name="Normal 16 4 4" xfId="238"/>
    <cellStyle name="Normal 16 4 4 2" xfId="444"/>
    <cellStyle name="Normal 16 4 4 2 2" xfId="1059"/>
    <cellStyle name="Normal 16 4 4 2 2 2" xfId="2198"/>
    <cellStyle name="Normal 16 4 4 2 2 2 2" xfId="5891"/>
    <cellStyle name="Normal 16 4 4 2 2 2 2 2" xfId="22115"/>
    <cellStyle name="Normal 16 4 4 2 2 2 3" xfId="18431"/>
    <cellStyle name="Normal 16 4 4 2 2 3" xfId="4756"/>
    <cellStyle name="Normal 16 4 4 2 2 3 2" xfId="20982"/>
    <cellStyle name="Normal 16 4 4 2 2 4" xfId="17298"/>
    <cellStyle name="Normal 16 4 4 2 3" xfId="1710"/>
    <cellStyle name="Normal 16 4 4 2 3 2" xfId="5404"/>
    <cellStyle name="Normal 16 4 4 2 3 2 2" xfId="21629"/>
    <cellStyle name="Normal 16 4 4 2 3 3" xfId="17945"/>
    <cellStyle name="Normal 16 4 4 2 4" xfId="4181"/>
    <cellStyle name="Normal 16 4 4 2 4 2" xfId="20407"/>
    <cellStyle name="Normal 16 4 4 2 5" xfId="16723"/>
    <cellStyle name="Normal 16 4 4 3" xfId="668"/>
    <cellStyle name="Normal 16 4 4 3 2" xfId="1265"/>
    <cellStyle name="Normal 16 4 4 3 2 2" xfId="2360"/>
    <cellStyle name="Normal 16 4 4 3 2 2 2" xfId="6053"/>
    <cellStyle name="Normal 16 4 4 3 2 2 2 2" xfId="22277"/>
    <cellStyle name="Normal 16 4 4 3 2 2 3" xfId="18593"/>
    <cellStyle name="Normal 16 4 4 3 2 3" xfId="4962"/>
    <cellStyle name="Normal 16 4 4 3 2 3 2" xfId="21188"/>
    <cellStyle name="Normal 16 4 4 3 2 4" xfId="17504"/>
    <cellStyle name="Normal 16 4 4 3 3" xfId="1872"/>
    <cellStyle name="Normal 16 4 4 3 3 2" xfId="5566"/>
    <cellStyle name="Normal 16 4 4 3 3 2 2" xfId="21791"/>
    <cellStyle name="Normal 16 4 4 3 3 3" xfId="18107"/>
    <cellStyle name="Normal 16 4 4 3 4" xfId="4387"/>
    <cellStyle name="Normal 16 4 4 3 4 2" xfId="20613"/>
    <cellStyle name="Normal 16 4 4 3 5" xfId="16929"/>
    <cellStyle name="Normal 16 4 4 4" xfId="880"/>
    <cellStyle name="Normal 16 4 4 4 2" xfId="2036"/>
    <cellStyle name="Normal 16 4 4 4 2 2" xfId="5729"/>
    <cellStyle name="Normal 16 4 4 4 2 2 2" xfId="21953"/>
    <cellStyle name="Normal 16 4 4 4 2 3" xfId="18269"/>
    <cellStyle name="Normal 16 4 4 4 3" xfId="4577"/>
    <cellStyle name="Normal 16 4 4 4 3 2" xfId="20803"/>
    <cellStyle name="Normal 16 4 4 4 4" xfId="17119"/>
    <cellStyle name="Normal 16 4 4 5" xfId="1548"/>
    <cellStyle name="Normal 16 4 4 5 2" xfId="5242"/>
    <cellStyle name="Normal 16 4 4 5 2 2" xfId="21467"/>
    <cellStyle name="Normal 16 4 4 5 3" xfId="17783"/>
    <cellStyle name="Normal 16 4 4 6" xfId="2542"/>
    <cellStyle name="Normal 16 4 4 6 2" xfId="6232"/>
    <cellStyle name="Normal 16 4 4 6 2 2" xfId="22456"/>
    <cellStyle name="Normal 16 4 4 6 3" xfId="18772"/>
    <cellStyle name="Normal 16 4 4 7" xfId="3995"/>
    <cellStyle name="Normal 16 4 4 7 2" xfId="20222"/>
    <cellStyle name="Normal 16 4 4 8" xfId="16538"/>
    <cellStyle name="Normal 16 4 5" xfId="283"/>
    <cellStyle name="Normal 16 4 5 2" xfId="471"/>
    <cellStyle name="Normal 16 4 5 2 2" xfId="1086"/>
    <cellStyle name="Normal 16 4 5 2 2 2" xfId="2222"/>
    <cellStyle name="Normal 16 4 5 2 2 2 2" xfId="5915"/>
    <cellStyle name="Normal 16 4 5 2 2 2 2 2" xfId="22139"/>
    <cellStyle name="Normal 16 4 5 2 2 2 3" xfId="18455"/>
    <cellStyle name="Normal 16 4 5 2 2 3" xfId="4783"/>
    <cellStyle name="Normal 16 4 5 2 2 3 2" xfId="21009"/>
    <cellStyle name="Normal 16 4 5 2 2 4" xfId="17325"/>
    <cellStyle name="Normal 16 4 5 2 3" xfId="1734"/>
    <cellStyle name="Normal 16 4 5 2 3 2" xfId="5428"/>
    <cellStyle name="Normal 16 4 5 2 3 2 2" xfId="21653"/>
    <cellStyle name="Normal 16 4 5 2 3 3" xfId="17969"/>
    <cellStyle name="Normal 16 4 5 2 4" xfId="4208"/>
    <cellStyle name="Normal 16 4 5 2 4 2" xfId="20434"/>
    <cellStyle name="Normal 16 4 5 2 5" xfId="16750"/>
    <cellStyle name="Normal 16 4 5 3" xfId="713"/>
    <cellStyle name="Normal 16 4 5 3 2" xfId="1292"/>
    <cellStyle name="Normal 16 4 5 3 2 2" xfId="2384"/>
    <cellStyle name="Normal 16 4 5 3 2 2 2" xfId="6077"/>
    <cellStyle name="Normal 16 4 5 3 2 2 2 2" xfId="22301"/>
    <cellStyle name="Normal 16 4 5 3 2 2 3" xfId="18617"/>
    <cellStyle name="Normal 16 4 5 3 2 3" xfId="4989"/>
    <cellStyle name="Normal 16 4 5 3 2 3 2" xfId="21215"/>
    <cellStyle name="Normal 16 4 5 3 2 4" xfId="17531"/>
    <cellStyle name="Normal 16 4 5 3 3" xfId="1896"/>
    <cellStyle name="Normal 16 4 5 3 3 2" xfId="5590"/>
    <cellStyle name="Normal 16 4 5 3 3 2 2" xfId="21815"/>
    <cellStyle name="Normal 16 4 5 3 3 3" xfId="18131"/>
    <cellStyle name="Normal 16 4 5 3 4" xfId="4414"/>
    <cellStyle name="Normal 16 4 5 3 4 2" xfId="20640"/>
    <cellStyle name="Normal 16 4 5 3 5" xfId="16956"/>
    <cellStyle name="Normal 16 4 5 4" xfId="904"/>
    <cellStyle name="Normal 16 4 5 4 2" xfId="2060"/>
    <cellStyle name="Normal 16 4 5 4 2 2" xfId="5753"/>
    <cellStyle name="Normal 16 4 5 4 2 2 2" xfId="21977"/>
    <cellStyle name="Normal 16 4 5 4 2 3" xfId="18293"/>
    <cellStyle name="Normal 16 4 5 4 3" xfId="4601"/>
    <cellStyle name="Normal 16 4 5 4 3 2" xfId="20827"/>
    <cellStyle name="Normal 16 4 5 4 4" xfId="17143"/>
    <cellStyle name="Normal 16 4 5 5" xfId="1572"/>
    <cellStyle name="Normal 16 4 5 5 2" xfId="5266"/>
    <cellStyle name="Normal 16 4 5 5 2 2" xfId="21491"/>
    <cellStyle name="Normal 16 4 5 5 3" xfId="17807"/>
    <cellStyle name="Normal 16 4 5 6" xfId="2569"/>
    <cellStyle name="Normal 16 4 5 6 2" xfId="6259"/>
    <cellStyle name="Normal 16 4 5 6 2 2" xfId="22483"/>
    <cellStyle name="Normal 16 4 5 6 3" xfId="18799"/>
    <cellStyle name="Normal 16 4 5 7" xfId="4022"/>
    <cellStyle name="Normal 16 4 5 7 2" xfId="20249"/>
    <cellStyle name="Normal 16 4 5 8" xfId="16565"/>
    <cellStyle name="Normal 16 4 6" xfId="311"/>
    <cellStyle name="Normal 16 4 6 2" xfId="498"/>
    <cellStyle name="Normal 16 4 6 2 2" xfId="1113"/>
    <cellStyle name="Normal 16 4 6 2 2 2" xfId="2246"/>
    <cellStyle name="Normal 16 4 6 2 2 2 2" xfId="5939"/>
    <cellStyle name="Normal 16 4 6 2 2 2 2 2" xfId="22163"/>
    <cellStyle name="Normal 16 4 6 2 2 2 3" xfId="18479"/>
    <cellStyle name="Normal 16 4 6 2 2 3" xfId="4810"/>
    <cellStyle name="Normal 16 4 6 2 2 3 2" xfId="21036"/>
    <cellStyle name="Normal 16 4 6 2 2 4" xfId="17352"/>
    <cellStyle name="Normal 16 4 6 2 3" xfId="1758"/>
    <cellStyle name="Normal 16 4 6 2 3 2" xfId="5452"/>
    <cellStyle name="Normal 16 4 6 2 3 2 2" xfId="21677"/>
    <cellStyle name="Normal 16 4 6 2 3 3" xfId="17993"/>
    <cellStyle name="Normal 16 4 6 2 4" xfId="4235"/>
    <cellStyle name="Normal 16 4 6 2 4 2" xfId="20461"/>
    <cellStyle name="Normal 16 4 6 2 5" xfId="16777"/>
    <cellStyle name="Normal 16 4 6 3" xfId="740"/>
    <cellStyle name="Normal 16 4 6 3 2" xfId="1319"/>
    <cellStyle name="Normal 16 4 6 3 2 2" xfId="2408"/>
    <cellStyle name="Normal 16 4 6 3 2 2 2" xfId="6101"/>
    <cellStyle name="Normal 16 4 6 3 2 2 2 2" xfId="22325"/>
    <cellStyle name="Normal 16 4 6 3 2 2 3" xfId="18641"/>
    <cellStyle name="Normal 16 4 6 3 2 3" xfId="5016"/>
    <cellStyle name="Normal 16 4 6 3 2 3 2" xfId="21242"/>
    <cellStyle name="Normal 16 4 6 3 2 4" xfId="17558"/>
    <cellStyle name="Normal 16 4 6 3 3" xfId="1920"/>
    <cellStyle name="Normal 16 4 6 3 3 2" xfId="5614"/>
    <cellStyle name="Normal 16 4 6 3 3 2 2" xfId="21839"/>
    <cellStyle name="Normal 16 4 6 3 3 3" xfId="18155"/>
    <cellStyle name="Normal 16 4 6 3 4" xfId="4441"/>
    <cellStyle name="Normal 16 4 6 3 4 2" xfId="20667"/>
    <cellStyle name="Normal 16 4 6 3 5" xfId="16983"/>
    <cellStyle name="Normal 16 4 6 4" xfId="928"/>
    <cellStyle name="Normal 16 4 6 4 2" xfId="2084"/>
    <cellStyle name="Normal 16 4 6 4 2 2" xfId="5777"/>
    <cellStyle name="Normal 16 4 6 4 2 2 2" xfId="22001"/>
    <cellStyle name="Normal 16 4 6 4 2 3" xfId="18317"/>
    <cellStyle name="Normal 16 4 6 4 3" xfId="4625"/>
    <cellStyle name="Normal 16 4 6 4 3 2" xfId="20851"/>
    <cellStyle name="Normal 16 4 6 4 4" xfId="17167"/>
    <cellStyle name="Normal 16 4 6 5" xfId="1596"/>
    <cellStyle name="Normal 16 4 6 5 2" xfId="5290"/>
    <cellStyle name="Normal 16 4 6 5 2 2" xfId="21515"/>
    <cellStyle name="Normal 16 4 6 5 3" xfId="17831"/>
    <cellStyle name="Normal 16 4 6 6" xfId="2597"/>
    <cellStyle name="Normal 16 4 6 6 2" xfId="6286"/>
    <cellStyle name="Normal 16 4 6 6 2 2" xfId="22510"/>
    <cellStyle name="Normal 16 4 6 6 3" xfId="18826"/>
    <cellStyle name="Normal 16 4 6 7" xfId="4049"/>
    <cellStyle name="Normal 16 4 6 7 2" xfId="20276"/>
    <cellStyle name="Normal 16 4 6 8" xfId="16592"/>
    <cellStyle name="Normal 16 4 7" xfId="359"/>
    <cellStyle name="Normal 16 4 7 2" xfId="974"/>
    <cellStyle name="Normal 16 4 7 2 2" xfId="2126"/>
    <cellStyle name="Normal 16 4 7 2 2 2" xfId="5819"/>
    <cellStyle name="Normal 16 4 7 2 2 2 2" xfId="22043"/>
    <cellStyle name="Normal 16 4 7 2 2 3" xfId="18359"/>
    <cellStyle name="Normal 16 4 7 2 3" xfId="4671"/>
    <cellStyle name="Normal 16 4 7 2 3 2" xfId="20897"/>
    <cellStyle name="Normal 16 4 7 2 4" xfId="17213"/>
    <cellStyle name="Normal 16 4 7 3" xfId="1638"/>
    <cellStyle name="Normal 16 4 7 3 2" xfId="5332"/>
    <cellStyle name="Normal 16 4 7 3 2 2" xfId="21557"/>
    <cellStyle name="Normal 16 4 7 3 3" xfId="17873"/>
    <cellStyle name="Normal 16 4 7 4" xfId="4096"/>
    <cellStyle name="Normal 16 4 7 4 2" xfId="20322"/>
    <cellStyle name="Normal 16 4 7 5" xfId="16638"/>
    <cellStyle name="Normal 16 4 8" xfId="583"/>
    <cellStyle name="Normal 16 4 8 2" xfId="1180"/>
    <cellStyle name="Normal 16 4 8 2 2" xfId="2288"/>
    <cellStyle name="Normal 16 4 8 2 2 2" xfId="5981"/>
    <cellStyle name="Normal 16 4 8 2 2 2 2" xfId="22205"/>
    <cellStyle name="Normal 16 4 8 2 2 3" xfId="18521"/>
    <cellStyle name="Normal 16 4 8 2 3" xfId="4877"/>
    <cellStyle name="Normal 16 4 8 2 3 2" xfId="21103"/>
    <cellStyle name="Normal 16 4 8 2 4" xfId="17419"/>
    <cellStyle name="Normal 16 4 8 3" xfId="1800"/>
    <cellStyle name="Normal 16 4 8 3 2" xfId="5494"/>
    <cellStyle name="Normal 16 4 8 3 2 2" xfId="21719"/>
    <cellStyle name="Normal 16 4 8 3 3" xfId="18035"/>
    <cellStyle name="Normal 16 4 8 4" xfId="4302"/>
    <cellStyle name="Normal 16 4 8 4 2" xfId="20528"/>
    <cellStyle name="Normal 16 4 8 5" xfId="16844"/>
    <cellStyle name="Normal 16 4 9" xfId="808"/>
    <cellStyle name="Normal 16 4 9 2" xfId="1964"/>
    <cellStyle name="Normal 16 4 9 2 2" xfId="5657"/>
    <cellStyle name="Normal 16 4 9 2 2 2" xfId="21881"/>
    <cellStyle name="Normal 16 4 9 2 3" xfId="18197"/>
    <cellStyle name="Normal 16 4 9 3" xfId="4505"/>
    <cellStyle name="Normal 16 4 9 3 2" xfId="20731"/>
    <cellStyle name="Normal 16 4 9 4" xfId="17047"/>
    <cellStyle name="Normal 16 5" xfId="131"/>
    <cellStyle name="Normal 16 5 2" xfId="338"/>
    <cellStyle name="Normal 16 5 2 2" xfId="954"/>
    <cellStyle name="Normal 16 5 2 2 2" xfId="2108"/>
    <cellStyle name="Normal 16 5 2 2 2 2" xfId="5801"/>
    <cellStyle name="Normal 16 5 2 2 2 2 2" xfId="22025"/>
    <cellStyle name="Normal 16 5 2 2 2 3" xfId="18341"/>
    <cellStyle name="Normal 16 5 2 2 3" xfId="4651"/>
    <cellStyle name="Normal 16 5 2 2 3 2" xfId="20877"/>
    <cellStyle name="Normal 16 5 2 2 4" xfId="17193"/>
    <cellStyle name="Normal 16 5 2 3" xfId="1620"/>
    <cellStyle name="Normal 16 5 2 3 2" xfId="5314"/>
    <cellStyle name="Normal 16 5 2 3 2 2" xfId="21539"/>
    <cellStyle name="Normal 16 5 2 3 3" xfId="17855"/>
    <cellStyle name="Normal 16 5 2 4" xfId="4075"/>
    <cellStyle name="Normal 16 5 2 4 2" xfId="20302"/>
    <cellStyle name="Normal 16 5 2 5" xfId="16618"/>
    <cellStyle name="Normal 16 5 3" xfId="563"/>
    <cellStyle name="Normal 16 5 3 2" xfId="1160"/>
    <cellStyle name="Normal 16 5 3 2 2" xfId="2270"/>
    <cellStyle name="Normal 16 5 3 2 2 2" xfId="5963"/>
    <cellStyle name="Normal 16 5 3 2 2 2 2" xfId="22187"/>
    <cellStyle name="Normal 16 5 3 2 2 3" xfId="18503"/>
    <cellStyle name="Normal 16 5 3 2 3" xfId="4857"/>
    <cellStyle name="Normal 16 5 3 2 3 2" xfId="21083"/>
    <cellStyle name="Normal 16 5 3 2 4" xfId="17399"/>
    <cellStyle name="Normal 16 5 3 3" xfId="1782"/>
    <cellStyle name="Normal 16 5 3 3 2" xfId="5476"/>
    <cellStyle name="Normal 16 5 3 3 2 2" xfId="21701"/>
    <cellStyle name="Normal 16 5 3 3 3" xfId="18017"/>
    <cellStyle name="Normal 16 5 3 4" xfId="4282"/>
    <cellStyle name="Normal 16 5 3 4 2" xfId="20508"/>
    <cellStyle name="Normal 16 5 3 5" xfId="16824"/>
    <cellStyle name="Normal 16 5 4" xfId="790"/>
    <cellStyle name="Normal 16 5 4 2" xfId="1946"/>
    <cellStyle name="Normal 16 5 4 2 2" xfId="5639"/>
    <cellStyle name="Normal 16 5 4 2 2 2" xfId="21863"/>
    <cellStyle name="Normal 16 5 4 2 3" xfId="18179"/>
    <cellStyle name="Normal 16 5 4 3" xfId="4487"/>
    <cellStyle name="Normal 16 5 4 3 2" xfId="20713"/>
    <cellStyle name="Normal 16 5 4 4" xfId="17029"/>
    <cellStyle name="Normal 16 5 5" xfId="1458"/>
    <cellStyle name="Normal 16 5 5 2" xfId="5152"/>
    <cellStyle name="Normal 16 5 5 2 2" xfId="21377"/>
    <cellStyle name="Normal 16 5 5 3" xfId="17693"/>
    <cellStyle name="Normal 16 5 6" xfId="2435"/>
    <cellStyle name="Normal 16 5 6 2" xfId="6127"/>
    <cellStyle name="Normal 16 5 6 2 2" xfId="22351"/>
    <cellStyle name="Normal 16 5 6 3" xfId="18667"/>
    <cellStyle name="Normal 16 5 7" xfId="3890"/>
    <cellStyle name="Normal 16 5 7 2" xfId="20117"/>
    <cellStyle name="Normal 16 5 8" xfId="16433"/>
    <cellStyle name="Normal 16 6" xfId="162"/>
    <cellStyle name="Normal 16 6 2" xfId="368"/>
    <cellStyle name="Normal 16 6 2 2" xfId="983"/>
    <cellStyle name="Normal 16 6 2 2 2" xfId="2132"/>
    <cellStyle name="Normal 16 6 2 2 2 2" xfId="5825"/>
    <cellStyle name="Normal 16 6 2 2 2 2 2" xfId="22049"/>
    <cellStyle name="Normal 16 6 2 2 2 3" xfId="18365"/>
    <cellStyle name="Normal 16 6 2 2 3" xfId="4680"/>
    <cellStyle name="Normal 16 6 2 2 3 2" xfId="20906"/>
    <cellStyle name="Normal 16 6 2 2 4" xfId="17222"/>
    <cellStyle name="Normal 16 6 2 3" xfId="1644"/>
    <cellStyle name="Normal 16 6 2 3 2" xfId="5338"/>
    <cellStyle name="Normal 16 6 2 3 2 2" xfId="21563"/>
    <cellStyle name="Normal 16 6 2 3 3" xfId="17879"/>
    <cellStyle name="Normal 16 6 2 4" xfId="4105"/>
    <cellStyle name="Normal 16 6 2 4 2" xfId="20331"/>
    <cellStyle name="Normal 16 6 2 5" xfId="16647"/>
    <cellStyle name="Normal 16 6 3" xfId="592"/>
    <cellStyle name="Normal 16 6 3 2" xfId="1189"/>
    <cellStyle name="Normal 16 6 3 2 2" xfId="2294"/>
    <cellStyle name="Normal 16 6 3 2 2 2" xfId="5987"/>
    <cellStyle name="Normal 16 6 3 2 2 2 2" xfId="22211"/>
    <cellStyle name="Normal 16 6 3 2 2 3" xfId="18527"/>
    <cellStyle name="Normal 16 6 3 2 3" xfId="4886"/>
    <cellStyle name="Normal 16 6 3 2 3 2" xfId="21112"/>
    <cellStyle name="Normal 16 6 3 2 4" xfId="17428"/>
    <cellStyle name="Normal 16 6 3 3" xfId="1806"/>
    <cellStyle name="Normal 16 6 3 3 2" xfId="5500"/>
    <cellStyle name="Normal 16 6 3 3 2 2" xfId="21725"/>
    <cellStyle name="Normal 16 6 3 3 3" xfId="18041"/>
    <cellStyle name="Normal 16 6 3 4" xfId="4311"/>
    <cellStyle name="Normal 16 6 3 4 2" xfId="20537"/>
    <cellStyle name="Normal 16 6 3 5" xfId="16853"/>
    <cellStyle name="Normal 16 6 4" xfId="814"/>
    <cellStyle name="Normal 16 6 4 2" xfId="1970"/>
    <cellStyle name="Normal 16 6 4 2 2" xfId="5663"/>
    <cellStyle name="Normal 16 6 4 2 2 2" xfId="21887"/>
    <cellStyle name="Normal 16 6 4 2 3" xfId="18203"/>
    <cellStyle name="Normal 16 6 4 3" xfId="4511"/>
    <cellStyle name="Normal 16 6 4 3 2" xfId="20737"/>
    <cellStyle name="Normal 16 6 4 4" xfId="17053"/>
    <cellStyle name="Normal 16 6 5" xfId="1482"/>
    <cellStyle name="Normal 16 6 5 2" xfId="5176"/>
    <cellStyle name="Normal 16 6 5 2 2" xfId="21401"/>
    <cellStyle name="Normal 16 6 5 3" xfId="17717"/>
    <cellStyle name="Normal 16 6 6" xfId="2466"/>
    <cellStyle name="Normal 16 6 6 2" xfId="6156"/>
    <cellStyle name="Normal 16 6 6 2 2" xfId="22380"/>
    <cellStyle name="Normal 16 6 6 3" xfId="18696"/>
    <cellStyle name="Normal 16 6 7" xfId="3919"/>
    <cellStyle name="Normal 16 6 7 2" xfId="20146"/>
    <cellStyle name="Normal 16 6 8" xfId="16462"/>
    <cellStyle name="Normal 16 7" xfId="190"/>
    <cellStyle name="Normal 16 7 2" xfId="396"/>
    <cellStyle name="Normal 16 7 2 2" xfId="1011"/>
    <cellStyle name="Normal 16 7 2 2 2" xfId="2156"/>
    <cellStyle name="Normal 16 7 2 2 2 2" xfId="5849"/>
    <cellStyle name="Normal 16 7 2 2 2 2 2" xfId="22073"/>
    <cellStyle name="Normal 16 7 2 2 2 3" xfId="18389"/>
    <cellStyle name="Normal 16 7 2 2 3" xfId="4708"/>
    <cellStyle name="Normal 16 7 2 2 3 2" xfId="20934"/>
    <cellStyle name="Normal 16 7 2 2 4" xfId="17250"/>
    <cellStyle name="Normal 16 7 2 3" xfId="1668"/>
    <cellStyle name="Normal 16 7 2 3 2" xfId="5362"/>
    <cellStyle name="Normal 16 7 2 3 2 2" xfId="21587"/>
    <cellStyle name="Normal 16 7 2 3 3" xfId="17903"/>
    <cellStyle name="Normal 16 7 2 4" xfId="4133"/>
    <cellStyle name="Normal 16 7 2 4 2" xfId="20359"/>
    <cellStyle name="Normal 16 7 2 5" xfId="16675"/>
    <cellStyle name="Normal 16 7 3" xfId="620"/>
    <cellStyle name="Normal 16 7 3 2" xfId="1217"/>
    <cellStyle name="Normal 16 7 3 2 2" xfId="2318"/>
    <cellStyle name="Normal 16 7 3 2 2 2" xfId="6011"/>
    <cellStyle name="Normal 16 7 3 2 2 2 2" xfId="22235"/>
    <cellStyle name="Normal 16 7 3 2 2 3" xfId="18551"/>
    <cellStyle name="Normal 16 7 3 2 3" xfId="4914"/>
    <cellStyle name="Normal 16 7 3 2 3 2" xfId="21140"/>
    <cellStyle name="Normal 16 7 3 2 4" xfId="17456"/>
    <cellStyle name="Normal 16 7 3 3" xfId="1830"/>
    <cellStyle name="Normal 16 7 3 3 2" xfId="5524"/>
    <cellStyle name="Normal 16 7 3 3 2 2" xfId="21749"/>
    <cellStyle name="Normal 16 7 3 3 3" xfId="18065"/>
    <cellStyle name="Normal 16 7 3 4" xfId="4339"/>
    <cellStyle name="Normal 16 7 3 4 2" xfId="20565"/>
    <cellStyle name="Normal 16 7 3 5" xfId="16881"/>
    <cellStyle name="Normal 16 7 4" xfId="838"/>
    <cellStyle name="Normal 16 7 4 2" xfId="1994"/>
    <cellStyle name="Normal 16 7 4 2 2" xfId="5687"/>
    <cellStyle name="Normal 16 7 4 2 2 2" xfId="21911"/>
    <cellStyle name="Normal 16 7 4 2 3" xfId="18227"/>
    <cellStyle name="Normal 16 7 4 3" xfId="4535"/>
    <cellStyle name="Normal 16 7 4 3 2" xfId="20761"/>
    <cellStyle name="Normal 16 7 4 4" xfId="17077"/>
    <cellStyle name="Normal 16 7 5" xfId="1506"/>
    <cellStyle name="Normal 16 7 5 2" xfId="5200"/>
    <cellStyle name="Normal 16 7 5 2 2" xfId="21425"/>
    <cellStyle name="Normal 16 7 5 3" xfId="17741"/>
    <cellStyle name="Normal 16 7 6" xfId="2494"/>
    <cellStyle name="Normal 16 7 6 2" xfId="6184"/>
    <cellStyle name="Normal 16 7 6 2 2" xfId="22408"/>
    <cellStyle name="Normal 16 7 6 3" xfId="18724"/>
    <cellStyle name="Normal 16 7 7" xfId="3947"/>
    <cellStyle name="Normal 16 7 7 2" xfId="20174"/>
    <cellStyle name="Normal 16 7 8" xfId="16490"/>
    <cellStyle name="Normal 16 8" xfId="218"/>
    <cellStyle name="Normal 16 8 2" xfId="424"/>
    <cellStyle name="Normal 16 8 2 2" xfId="1039"/>
    <cellStyle name="Normal 16 8 2 2 2" xfId="2180"/>
    <cellStyle name="Normal 16 8 2 2 2 2" xfId="5873"/>
    <cellStyle name="Normal 16 8 2 2 2 2 2" xfId="22097"/>
    <cellStyle name="Normal 16 8 2 2 2 3" xfId="18413"/>
    <cellStyle name="Normal 16 8 2 2 3" xfId="4736"/>
    <cellStyle name="Normal 16 8 2 2 3 2" xfId="20962"/>
    <cellStyle name="Normal 16 8 2 2 4" xfId="17278"/>
    <cellStyle name="Normal 16 8 2 3" xfId="1692"/>
    <cellStyle name="Normal 16 8 2 3 2" xfId="5386"/>
    <cellStyle name="Normal 16 8 2 3 2 2" xfId="21611"/>
    <cellStyle name="Normal 16 8 2 3 3" xfId="17927"/>
    <cellStyle name="Normal 16 8 2 4" xfId="4161"/>
    <cellStyle name="Normal 16 8 2 4 2" xfId="20387"/>
    <cellStyle name="Normal 16 8 2 5" xfId="16703"/>
    <cellStyle name="Normal 16 8 3" xfId="648"/>
    <cellStyle name="Normal 16 8 3 2" xfId="1245"/>
    <cellStyle name="Normal 16 8 3 2 2" xfId="2342"/>
    <cellStyle name="Normal 16 8 3 2 2 2" xfId="6035"/>
    <cellStyle name="Normal 16 8 3 2 2 2 2" xfId="22259"/>
    <cellStyle name="Normal 16 8 3 2 2 3" xfId="18575"/>
    <cellStyle name="Normal 16 8 3 2 3" xfId="4942"/>
    <cellStyle name="Normal 16 8 3 2 3 2" xfId="21168"/>
    <cellStyle name="Normal 16 8 3 2 4" xfId="17484"/>
    <cellStyle name="Normal 16 8 3 3" xfId="1854"/>
    <cellStyle name="Normal 16 8 3 3 2" xfId="5548"/>
    <cellStyle name="Normal 16 8 3 3 2 2" xfId="21773"/>
    <cellStyle name="Normal 16 8 3 3 3" xfId="18089"/>
    <cellStyle name="Normal 16 8 3 4" xfId="4367"/>
    <cellStyle name="Normal 16 8 3 4 2" xfId="20593"/>
    <cellStyle name="Normal 16 8 3 5" xfId="16909"/>
    <cellStyle name="Normal 16 8 4" xfId="862"/>
    <cellStyle name="Normal 16 8 4 2" xfId="2018"/>
    <cellStyle name="Normal 16 8 4 2 2" xfId="5711"/>
    <cellStyle name="Normal 16 8 4 2 2 2" xfId="21935"/>
    <cellStyle name="Normal 16 8 4 2 3" xfId="18251"/>
    <cellStyle name="Normal 16 8 4 3" xfId="4559"/>
    <cellStyle name="Normal 16 8 4 3 2" xfId="20785"/>
    <cellStyle name="Normal 16 8 4 4" xfId="17101"/>
    <cellStyle name="Normal 16 8 5" xfId="1530"/>
    <cellStyle name="Normal 16 8 5 2" xfId="5224"/>
    <cellStyle name="Normal 16 8 5 2 2" xfId="21449"/>
    <cellStyle name="Normal 16 8 5 3" xfId="17765"/>
    <cellStyle name="Normal 16 8 6" xfId="2522"/>
    <cellStyle name="Normal 16 8 6 2" xfId="6212"/>
    <cellStyle name="Normal 16 8 6 2 2" xfId="22436"/>
    <cellStyle name="Normal 16 8 6 3" xfId="18752"/>
    <cellStyle name="Normal 16 8 7" xfId="3975"/>
    <cellStyle name="Normal 16 8 7 2" xfId="20202"/>
    <cellStyle name="Normal 16 8 8" xfId="16518"/>
    <cellStyle name="Normal 16 9" xfId="246"/>
    <cellStyle name="Normal 16 9 2" xfId="452"/>
    <cellStyle name="Normal 16 9 2 2" xfId="1067"/>
    <cellStyle name="Normal 16 9 2 2 2" xfId="2204"/>
    <cellStyle name="Normal 16 9 2 2 2 2" xfId="5897"/>
    <cellStyle name="Normal 16 9 2 2 2 2 2" xfId="22121"/>
    <cellStyle name="Normal 16 9 2 2 2 3" xfId="18437"/>
    <cellStyle name="Normal 16 9 2 2 3" xfId="4764"/>
    <cellStyle name="Normal 16 9 2 2 3 2" xfId="20990"/>
    <cellStyle name="Normal 16 9 2 2 4" xfId="17306"/>
    <cellStyle name="Normal 16 9 2 3" xfId="1716"/>
    <cellStyle name="Normal 16 9 2 3 2" xfId="5410"/>
    <cellStyle name="Normal 16 9 2 3 2 2" xfId="21635"/>
    <cellStyle name="Normal 16 9 2 3 3" xfId="17951"/>
    <cellStyle name="Normal 16 9 2 4" xfId="4189"/>
    <cellStyle name="Normal 16 9 2 4 2" xfId="20415"/>
    <cellStyle name="Normal 16 9 2 5" xfId="16731"/>
    <cellStyle name="Normal 16 9 3" xfId="676"/>
    <cellStyle name="Normal 16 9 3 2" xfId="1273"/>
    <cellStyle name="Normal 16 9 3 2 2" xfId="2366"/>
    <cellStyle name="Normal 16 9 3 2 2 2" xfId="6059"/>
    <cellStyle name="Normal 16 9 3 2 2 2 2" xfId="22283"/>
    <cellStyle name="Normal 16 9 3 2 2 3" xfId="18599"/>
    <cellStyle name="Normal 16 9 3 2 3" xfId="4970"/>
    <cellStyle name="Normal 16 9 3 2 3 2" xfId="21196"/>
    <cellStyle name="Normal 16 9 3 2 4" xfId="17512"/>
    <cellStyle name="Normal 16 9 3 3" xfId="1878"/>
    <cellStyle name="Normal 16 9 3 3 2" xfId="5572"/>
    <cellStyle name="Normal 16 9 3 3 2 2" xfId="21797"/>
    <cellStyle name="Normal 16 9 3 3 3" xfId="18113"/>
    <cellStyle name="Normal 16 9 3 4" xfId="4395"/>
    <cellStyle name="Normal 16 9 3 4 2" xfId="20621"/>
    <cellStyle name="Normal 16 9 3 5" xfId="16937"/>
    <cellStyle name="Normal 16 9 4" xfId="886"/>
    <cellStyle name="Normal 16 9 4 2" xfId="2042"/>
    <cellStyle name="Normal 16 9 4 2 2" xfId="5735"/>
    <cellStyle name="Normal 16 9 4 2 2 2" xfId="21959"/>
    <cellStyle name="Normal 16 9 4 2 3" xfId="18275"/>
    <cellStyle name="Normal 16 9 4 3" xfId="4583"/>
    <cellStyle name="Normal 16 9 4 3 2" xfId="20809"/>
    <cellStyle name="Normal 16 9 4 4" xfId="17125"/>
    <cellStyle name="Normal 16 9 5" xfId="1554"/>
    <cellStyle name="Normal 16 9 5 2" xfId="5248"/>
    <cellStyle name="Normal 16 9 5 2 2" xfId="21473"/>
    <cellStyle name="Normal 16 9 5 3" xfId="17789"/>
    <cellStyle name="Normal 16 9 6" xfId="2550"/>
    <cellStyle name="Normal 16 9 6 2" xfId="6240"/>
    <cellStyle name="Normal 16 9 6 2 2" xfId="22464"/>
    <cellStyle name="Normal 16 9 6 3" xfId="18780"/>
    <cellStyle name="Normal 16 9 7" xfId="4003"/>
    <cellStyle name="Normal 16 9 7 2" xfId="20230"/>
    <cellStyle name="Normal 16 9 8" xfId="16546"/>
    <cellStyle name="Normal 17" xfId="764"/>
    <cellStyle name="Normal 17 2" xfId="1922"/>
    <cellStyle name="Normal 18" xfId="763"/>
    <cellStyle name="Normal 18 2" xfId="1921"/>
    <cellStyle name="Normal 18 2 2" xfId="5615"/>
    <cellStyle name="Normal 18 2 2 2" xfId="11043"/>
    <cellStyle name="Normal 18 2 3" xfId="10691"/>
    <cellStyle name="Normal 19" xfId="1432"/>
    <cellStyle name="Normal 2" xfId="1"/>
    <cellStyle name="Normal 2 2" xfId="6"/>
    <cellStyle name="Normal 2 2 2" xfId="105"/>
    <cellStyle name="Normal 2 3" xfId="27"/>
    <cellStyle name="Normal 2 4" xfId="29"/>
    <cellStyle name="Normal 20" xfId="1431"/>
    <cellStyle name="Normal 20 2" xfId="5128"/>
    <cellStyle name="Normal 20 2 2" xfId="11042"/>
    <cellStyle name="Normal 20 3" xfId="10690"/>
    <cellStyle name="Normal 21" xfId="12"/>
    <cellStyle name="Normal 21 2" xfId="3869"/>
    <cellStyle name="Normal 22" xfId="3863"/>
    <cellStyle name="Normal 22 2" xfId="20091"/>
    <cellStyle name="Normal 23" xfId="16407"/>
    <cellStyle name="Normal 24" xfId="26624"/>
    <cellStyle name="Normal 25" xfId="10400"/>
    <cellStyle name="Normal 26" xfId="38631"/>
    <cellStyle name="Normal 3" xfId="14"/>
    <cellStyle name="Normal 3 2" xfId="15"/>
    <cellStyle name="Normal 3 2 2" xfId="97"/>
    <cellStyle name="Normal 3 3" xfId="11"/>
    <cellStyle name="Normal 4" xfId="16"/>
    <cellStyle name="Normal 4 2" xfId="17"/>
    <cellStyle name="Normal 4 2 2" xfId="98"/>
    <cellStyle name="Normal 4 3" xfId="22"/>
    <cellStyle name="Normal 5" xfId="18"/>
    <cellStyle name="Normal 5 2" xfId="19"/>
    <cellStyle name="Normal 5 2 2" xfId="99"/>
    <cellStyle name="Normal 5 3" xfId="23"/>
    <cellStyle name="Normal 6" xfId="20"/>
    <cellStyle name="Normal 6 2" xfId="24"/>
    <cellStyle name="Normal 7" xfId="2"/>
    <cellStyle name="Normal 7 10" xfId="287"/>
    <cellStyle name="Normal 7 10 2" xfId="475"/>
    <cellStyle name="Normal 7 10 2 2" xfId="1090"/>
    <cellStyle name="Normal 7 10 2 2 2" xfId="2223"/>
    <cellStyle name="Normal 7 10 2 2 2 2" xfId="5916"/>
    <cellStyle name="Normal 7 10 2 2 2 2 2" xfId="22140"/>
    <cellStyle name="Normal 7 10 2 2 2 3" xfId="18456"/>
    <cellStyle name="Normal 7 10 2 2 3" xfId="4787"/>
    <cellStyle name="Normal 7 10 2 2 3 2" xfId="21013"/>
    <cellStyle name="Normal 7 10 2 2 4" xfId="17329"/>
    <cellStyle name="Normal 7 10 2 3" xfId="1735"/>
    <cellStyle name="Normal 7 10 2 3 2" xfId="5429"/>
    <cellStyle name="Normal 7 10 2 3 2 2" xfId="21654"/>
    <cellStyle name="Normal 7 10 2 3 3" xfId="17970"/>
    <cellStyle name="Normal 7 10 2 4" xfId="4212"/>
    <cellStyle name="Normal 7 10 2 4 2" xfId="20438"/>
    <cellStyle name="Normal 7 10 2 5" xfId="16754"/>
    <cellStyle name="Normal 7 10 3" xfId="717"/>
    <cellStyle name="Normal 7 10 3 2" xfId="1296"/>
    <cellStyle name="Normal 7 10 3 2 2" xfId="2385"/>
    <cellStyle name="Normal 7 10 3 2 2 2" xfId="6078"/>
    <cellStyle name="Normal 7 10 3 2 2 2 2" xfId="22302"/>
    <cellStyle name="Normal 7 10 3 2 2 3" xfId="18618"/>
    <cellStyle name="Normal 7 10 3 2 3" xfId="4993"/>
    <cellStyle name="Normal 7 10 3 2 3 2" xfId="21219"/>
    <cellStyle name="Normal 7 10 3 2 4" xfId="17535"/>
    <cellStyle name="Normal 7 10 3 3" xfId="1897"/>
    <cellStyle name="Normal 7 10 3 3 2" xfId="5591"/>
    <cellStyle name="Normal 7 10 3 3 2 2" xfId="21816"/>
    <cellStyle name="Normal 7 10 3 3 3" xfId="18132"/>
    <cellStyle name="Normal 7 10 3 4" xfId="4418"/>
    <cellStyle name="Normal 7 10 3 4 2" xfId="20644"/>
    <cellStyle name="Normal 7 10 3 5" xfId="16960"/>
    <cellStyle name="Normal 7 10 4" xfId="905"/>
    <cellStyle name="Normal 7 10 4 2" xfId="2061"/>
    <cellStyle name="Normal 7 10 4 2 2" xfId="5754"/>
    <cellStyle name="Normal 7 10 4 2 2 2" xfId="21978"/>
    <cellStyle name="Normal 7 10 4 2 3" xfId="18294"/>
    <cellStyle name="Normal 7 10 4 3" xfId="4602"/>
    <cellStyle name="Normal 7 10 4 3 2" xfId="20828"/>
    <cellStyle name="Normal 7 10 4 4" xfId="17144"/>
    <cellStyle name="Normal 7 10 5" xfId="1573"/>
    <cellStyle name="Normal 7 10 5 2" xfId="5267"/>
    <cellStyle name="Normal 7 10 5 2 2" xfId="21492"/>
    <cellStyle name="Normal 7 10 5 3" xfId="17808"/>
    <cellStyle name="Normal 7 10 6" xfId="2573"/>
    <cellStyle name="Normal 7 10 6 2" xfId="6263"/>
    <cellStyle name="Normal 7 10 6 2 2" xfId="22487"/>
    <cellStyle name="Normal 7 10 6 3" xfId="18803"/>
    <cellStyle name="Normal 7 10 7" xfId="4026"/>
    <cellStyle name="Normal 7 10 7 2" xfId="20253"/>
    <cellStyle name="Normal 7 10 8" xfId="16569"/>
    <cellStyle name="Normal 7 11" xfId="313"/>
    <cellStyle name="Normal 7 11 2" xfId="929"/>
    <cellStyle name="Normal 7 11 2 2" xfId="2085"/>
    <cellStyle name="Normal 7 11 2 2 2" xfId="5778"/>
    <cellStyle name="Normal 7 11 2 2 2 2" xfId="22002"/>
    <cellStyle name="Normal 7 11 2 2 3" xfId="18318"/>
    <cellStyle name="Normal 7 11 2 3" xfId="4626"/>
    <cellStyle name="Normal 7 11 2 3 2" xfId="20852"/>
    <cellStyle name="Normal 7 11 2 4" xfId="17168"/>
    <cellStyle name="Normal 7 11 3" xfId="1597"/>
    <cellStyle name="Normal 7 11 3 2" xfId="5291"/>
    <cellStyle name="Normal 7 11 3 2 2" xfId="21516"/>
    <cellStyle name="Normal 7 11 3 3" xfId="17832"/>
    <cellStyle name="Normal 7 11 4" xfId="4050"/>
    <cellStyle name="Normal 7 11 4 2" xfId="20277"/>
    <cellStyle name="Normal 7 11 5" xfId="16593"/>
    <cellStyle name="Normal 7 12" xfId="520"/>
    <cellStyle name="Normal 7 12 2" xfId="1135"/>
    <cellStyle name="Normal 7 12 2 2" xfId="2247"/>
    <cellStyle name="Normal 7 12 2 2 2" xfId="5940"/>
    <cellStyle name="Normal 7 12 2 2 2 2" xfId="22164"/>
    <cellStyle name="Normal 7 12 2 2 3" xfId="18480"/>
    <cellStyle name="Normal 7 12 2 3" xfId="4832"/>
    <cellStyle name="Normal 7 12 2 3 2" xfId="21058"/>
    <cellStyle name="Normal 7 12 2 4" xfId="17374"/>
    <cellStyle name="Normal 7 12 3" xfId="1759"/>
    <cellStyle name="Normal 7 12 3 2" xfId="5453"/>
    <cellStyle name="Normal 7 12 3 2 2" xfId="21678"/>
    <cellStyle name="Normal 7 12 3 3" xfId="17994"/>
    <cellStyle name="Normal 7 12 4" xfId="4257"/>
    <cellStyle name="Normal 7 12 4 2" xfId="20483"/>
    <cellStyle name="Normal 7 12 5" xfId="16799"/>
    <cellStyle name="Normal 7 13" xfId="766"/>
    <cellStyle name="Normal 7 13 2" xfId="1923"/>
    <cellStyle name="Normal 7 13 2 2" xfId="5616"/>
    <cellStyle name="Normal 7 13 2 2 2" xfId="21840"/>
    <cellStyle name="Normal 7 13 2 3" xfId="18156"/>
    <cellStyle name="Normal 7 13 3" xfId="4464"/>
    <cellStyle name="Normal 7 13 3 2" xfId="20690"/>
    <cellStyle name="Normal 7 13 4" xfId="17006"/>
    <cellStyle name="Normal 7 14" xfId="1434"/>
    <cellStyle name="Normal 7 14 2" xfId="5129"/>
    <cellStyle name="Normal 7 14 2 2" xfId="21354"/>
    <cellStyle name="Normal 7 14 3" xfId="17670"/>
    <cellStyle name="Normal 7 15" xfId="2409"/>
    <cellStyle name="Normal 7 15 2" xfId="6102"/>
    <cellStyle name="Normal 7 15 2 2" xfId="22326"/>
    <cellStyle name="Normal 7 15 3" xfId="18642"/>
    <cellStyle name="Normal 7 16" xfId="3864"/>
    <cellStyle name="Normal 7 16 2" xfId="20092"/>
    <cellStyle name="Normal 7 17" xfId="16408"/>
    <cellStyle name="Normal 7 2" xfId="100"/>
    <cellStyle name="Normal 7 2 10" xfId="773"/>
    <cellStyle name="Normal 7 2 10 2" xfId="1929"/>
    <cellStyle name="Normal 7 2 10 2 2" xfId="5622"/>
    <cellStyle name="Normal 7 2 10 2 2 2" xfId="21846"/>
    <cellStyle name="Normal 7 2 10 2 3" xfId="18162"/>
    <cellStyle name="Normal 7 2 10 3" xfId="4470"/>
    <cellStyle name="Normal 7 2 10 3 2" xfId="20696"/>
    <cellStyle name="Normal 7 2 10 4" xfId="17012"/>
    <cellStyle name="Normal 7 2 11" xfId="1441"/>
    <cellStyle name="Normal 7 2 11 2" xfId="5135"/>
    <cellStyle name="Normal 7 2 11 2 2" xfId="21360"/>
    <cellStyle name="Normal 7 2 11 3" xfId="17676"/>
    <cellStyle name="Normal 7 2 12" xfId="2417"/>
    <cellStyle name="Normal 7 2 12 2" xfId="6109"/>
    <cellStyle name="Normal 7 2 12 2 2" xfId="22333"/>
    <cellStyle name="Normal 7 2 12 3" xfId="18649"/>
    <cellStyle name="Normal 7 2 13" xfId="3872"/>
    <cellStyle name="Normal 7 2 13 2" xfId="20099"/>
    <cellStyle name="Normal 7 2 14" xfId="16415"/>
    <cellStyle name="Normal 7 2 2" xfId="134"/>
    <cellStyle name="Normal 7 2 2 2" xfId="341"/>
    <cellStyle name="Normal 7 2 2 2 2" xfId="956"/>
    <cellStyle name="Normal 7 2 2 2 2 2" xfId="2109"/>
    <cellStyle name="Normal 7 2 2 2 2 2 2" xfId="5802"/>
    <cellStyle name="Normal 7 2 2 2 2 2 2 2" xfId="22026"/>
    <cellStyle name="Normal 7 2 2 2 2 2 3" xfId="18342"/>
    <cellStyle name="Normal 7 2 2 2 2 3" xfId="4653"/>
    <cellStyle name="Normal 7 2 2 2 2 3 2" xfId="20879"/>
    <cellStyle name="Normal 7 2 2 2 2 4" xfId="17195"/>
    <cellStyle name="Normal 7 2 2 2 3" xfId="1621"/>
    <cellStyle name="Normal 7 2 2 2 3 2" xfId="5315"/>
    <cellStyle name="Normal 7 2 2 2 3 2 2" xfId="21540"/>
    <cellStyle name="Normal 7 2 2 2 3 3" xfId="17856"/>
    <cellStyle name="Normal 7 2 2 2 4" xfId="4078"/>
    <cellStyle name="Normal 7 2 2 2 4 2" xfId="20304"/>
    <cellStyle name="Normal 7 2 2 2 5" xfId="16620"/>
    <cellStyle name="Normal 7 2 2 3" xfId="565"/>
    <cellStyle name="Normal 7 2 2 3 2" xfId="1162"/>
    <cellStyle name="Normal 7 2 2 3 2 2" xfId="2271"/>
    <cellStyle name="Normal 7 2 2 3 2 2 2" xfId="5964"/>
    <cellStyle name="Normal 7 2 2 3 2 2 2 2" xfId="22188"/>
    <cellStyle name="Normal 7 2 2 3 2 2 3" xfId="18504"/>
    <cellStyle name="Normal 7 2 2 3 2 3" xfId="4859"/>
    <cellStyle name="Normal 7 2 2 3 2 3 2" xfId="21085"/>
    <cellStyle name="Normal 7 2 2 3 2 4" xfId="17401"/>
    <cellStyle name="Normal 7 2 2 3 3" xfId="1783"/>
    <cellStyle name="Normal 7 2 2 3 3 2" xfId="5477"/>
    <cellStyle name="Normal 7 2 2 3 3 2 2" xfId="21702"/>
    <cellStyle name="Normal 7 2 2 3 3 3" xfId="18018"/>
    <cellStyle name="Normal 7 2 2 3 4" xfId="4284"/>
    <cellStyle name="Normal 7 2 2 3 4 2" xfId="20510"/>
    <cellStyle name="Normal 7 2 2 3 5" xfId="16826"/>
    <cellStyle name="Normal 7 2 2 4" xfId="791"/>
    <cellStyle name="Normal 7 2 2 4 2" xfId="1947"/>
    <cellStyle name="Normal 7 2 2 4 2 2" xfId="5640"/>
    <cellStyle name="Normal 7 2 2 4 2 2 2" xfId="21864"/>
    <cellStyle name="Normal 7 2 2 4 2 3" xfId="18180"/>
    <cellStyle name="Normal 7 2 2 4 3" xfId="4488"/>
    <cellStyle name="Normal 7 2 2 4 3 2" xfId="20714"/>
    <cellStyle name="Normal 7 2 2 4 4" xfId="17030"/>
    <cellStyle name="Normal 7 2 2 5" xfId="1459"/>
    <cellStyle name="Normal 7 2 2 5 2" xfId="5153"/>
    <cellStyle name="Normal 7 2 2 5 2 2" xfId="21378"/>
    <cellStyle name="Normal 7 2 2 5 3" xfId="17694"/>
    <cellStyle name="Normal 7 2 2 6" xfId="2438"/>
    <cellStyle name="Normal 7 2 2 6 2" xfId="6129"/>
    <cellStyle name="Normal 7 2 2 6 2 2" xfId="22353"/>
    <cellStyle name="Normal 7 2 2 6 3" xfId="18669"/>
    <cellStyle name="Normal 7 2 2 7" xfId="3892"/>
    <cellStyle name="Normal 7 2 2 7 2" xfId="20119"/>
    <cellStyle name="Normal 7 2 2 8" xfId="16435"/>
    <cellStyle name="Normal 7 2 3" xfId="163"/>
    <cellStyle name="Normal 7 2 3 2" xfId="369"/>
    <cellStyle name="Normal 7 2 3 2 2" xfId="984"/>
    <cellStyle name="Normal 7 2 3 2 2 2" xfId="2133"/>
    <cellStyle name="Normal 7 2 3 2 2 2 2" xfId="5826"/>
    <cellStyle name="Normal 7 2 3 2 2 2 2 2" xfId="22050"/>
    <cellStyle name="Normal 7 2 3 2 2 2 3" xfId="18366"/>
    <cellStyle name="Normal 7 2 3 2 2 3" xfId="4681"/>
    <cellStyle name="Normal 7 2 3 2 2 3 2" xfId="20907"/>
    <cellStyle name="Normal 7 2 3 2 2 4" xfId="17223"/>
    <cellStyle name="Normal 7 2 3 2 3" xfId="1645"/>
    <cellStyle name="Normal 7 2 3 2 3 2" xfId="5339"/>
    <cellStyle name="Normal 7 2 3 2 3 2 2" xfId="21564"/>
    <cellStyle name="Normal 7 2 3 2 3 3" xfId="17880"/>
    <cellStyle name="Normal 7 2 3 2 4" xfId="4106"/>
    <cellStyle name="Normal 7 2 3 2 4 2" xfId="20332"/>
    <cellStyle name="Normal 7 2 3 2 5" xfId="16648"/>
    <cellStyle name="Normal 7 2 3 3" xfId="593"/>
    <cellStyle name="Normal 7 2 3 3 2" xfId="1190"/>
    <cellStyle name="Normal 7 2 3 3 2 2" xfId="2295"/>
    <cellStyle name="Normal 7 2 3 3 2 2 2" xfId="5988"/>
    <cellStyle name="Normal 7 2 3 3 2 2 2 2" xfId="22212"/>
    <cellStyle name="Normal 7 2 3 3 2 2 3" xfId="18528"/>
    <cellStyle name="Normal 7 2 3 3 2 3" xfId="4887"/>
    <cellStyle name="Normal 7 2 3 3 2 3 2" xfId="21113"/>
    <cellStyle name="Normal 7 2 3 3 2 4" xfId="17429"/>
    <cellStyle name="Normal 7 2 3 3 3" xfId="1807"/>
    <cellStyle name="Normal 7 2 3 3 3 2" xfId="5501"/>
    <cellStyle name="Normal 7 2 3 3 3 2 2" xfId="21726"/>
    <cellStyle name="Normal 7 2 3 3 3 3" xfId="18042"/>
    <cellStyle name="Normal 7 2 3 3 4" xfId="4312"/>
    <cellStyle name="Normal 7 2 3 3 4 2" xfId="20538"/>
    <cellStyle name="Normal 7 2 3 3 5" xfId="16854"/>
    <cellStyle name="Normal 7 2 3 4" xfId="815"/>
    <cellStyle name="Normal 7 2 3 4 2" xfId="1971"/>
    <cellStyle name="Normal 7 2 3 4 2 2" xfId="5664"/>
    <cellStyle name="Normal 7 2 3 4 2 2 2" xfId="21888"/>
    <cellStyle name="Normal 7 2 3 4 2 3" xfId="18204"/>
    <cellStyle name="Normal 7 2 3 4 3" xfId="4512"/>
    <cellStyle name="Normal 7 2 3 4 3 2" xfId="20738"/>
    <cellStyle name="Normal 7 2 3 4 4" xfId="17054"/>
    <cellStyle name="Normal 7 2 3 5" xfId="1483"/>
    <cellStyle name="Normal 7 2 3 5 2" xfId="5177"/>
    <cellStyle name="Normal 7 2 3 5 2 2" xfId="21402"/>
    <cellStyle name="Normal 7 2 3 5 3" xfId="17718"/>
    <cellStyle name="Normal 7 2 3 6" xfId="2467"/>
    <cellStyle name="Normal 7 2 3 6 2" xfId="6157"/>
    <cellStyle name="Normal 7 2 3 6 2 2" xfId="22381"/>
    <cellStyle name="Normal 7 2 3 6 3" xfId="18697"/>
    <cellStyle name="Normal 7 2 3 7" xfId="3920"/>
    <cellStyle name="Normal 7 2 3 7 2" xfId="20147"/>
    <cellStyle name="Normal 7 2 3 8" xfId="16463"/>
    <cellStyle name="Normal 7 2 4" xfId="191"/>
    <cellStyle name="Normal 7 2 4 2" xfId="397"/>
    <cellStyle name="Normal 7 2 4 2 2" xfId="1012"/>
    <cellStyle name="Normal 7 2 4 2 2 2" xfId="2157"/>
    <cellStyle name="Normal 7 2 4 2 2 2 2" xfId="5850"/>
    <cellStyle name="Normal 7 2 4 2 2 2 2 2" xfId="22074"/>
    <cellStyle name="Normal 7 2 4 2 2 2 3" xfId="18390"/>
    <cellStyle name="Normal 7 2 4 2 2 3" xfId="4709"/>
    <cellStyle name="Normal 7 2 4 2 2 3 2" xfId="20935"/>
    <cellStyle name="Normal 7 2 4 2 2 4" xfId="17251"/>
    <cellStyle name="Normal 7 2 4 2 3" xfId="1669"/>
    <cellStyle name="Normal 7 2 4 2 3 2" xfId="5363"/>
    <cellStyle name="Normal 7 2 4 2 3 2 2" xfId="21588"/>
    <cellStyle name="Normal 7 2 4 2 3 3" xfId="17904"/>
    <cellStyle name="Normal 7 2 4 2 4" xfId="4134"/>
    <cellStyle name="Normal 7 2 4 2 4 2" xfId="20360"/>
    <cellStyle name="Normal 7 2 4 2 5" xfId="16676"/>
    <cellStyle name="Normal 7 2 4 3" xfId="621"/>
    <cellStyle name="Normal 7 2 4 3 2" xfId="1218"/>
    <cellStyle name="Normal 7 2 4 3 2 2" xfId="2319"/>
    <cellStyle name="Normal 7 2 4 3 2 2 2" xfId="6012"/>
    <cellStyle name="Normal 7 2 4 3 2 2 2 2" xfId="22236"/>
    <cellStyle name="Normal 7 2 4 3 2 2 3" xfId="18552"/>
    <cellStyle name="Normal 7 2 4 3 2 3" xfId="4915"/>
    <cellStyle name="Normal 7 2 4 3 2 3 2" xfId="21141"/>
    <cellStyle name="Normal 7 2 4 3 2 4" xfId="17457"/>
    <cellStyle name="Normal 7 2 4 3 3" xfId="1831"/>
    <cellStyle name="Normal 7 2 4 3 3 2" xfId="5525"/>
    <cellStyle name="Normal 7 2 4 3 3 2 2" xfId="21750"/>
    <cellStyle name="Normal 7 2 4 3 3 3" xfId="18066"/>
    <cellStyle name="Normal 7 2 4 3 4" xfId="4340"/>
    <cellStyle name="Normal 7 2 4 3 4 2" xfId="20566"/>
    <cellStyle name="Normal 7 2 4 3 5" xfId="16882"/>
    <cellStyle name="Normal 7 2 4 4" xfId="839"/>
    <cellStyle name="Normal 7 2 4 4 2" xfId="1995"/>
    <cellStyle name="Normal 7 2 4 4 2 2" xfId="5688"/>
    <cellStyle name="Normal 7 2 4 4 2 2 2" xfId="21912"/>
    <cellStyle name="Normal 7 2 4 4 2 3" xfId="18228"/>
    <cellStyle name="Normal 7 2 4 4 3" xfId="4536"/>
    <cellStyle name="Normal 7 2 4 4 3 2" xfId="20762"/>
    <cellStyle name="Normal 7 2 4 4 4" xfId="17078"/>
    <cellStyle name="Normal 7 2 4 5" xfId="1507"/>
    <cellStyle name="Normal 7 2 4 5 2" xfId="5201"/>
    <cellStyle name="Normal 7 2 4 5 2 2" xfId="21426"/>
    <cellStyle name="Normal 7 2 4 5 3" xfId="17742"/>
    <cellStyle name="Normal 7 2 4 6" xfId="2495"/>
    <cellStyle name="Normal 7 2 4 6 2" xfId="6185"/>
    <cellStyle name="Normal 7 2 4 6 2 2" xfId="22409"/>
    <cellStyle name="Normal 7 2 4 6 3" xfId="18725"/>
    <cellStyle name="Normal 7 2 4 7" xfId="3948"/>
    <cellStyle name="Normal 7 2 4 7 2" xfId="20175"/>
    <cellStyle name="Normal 7 2 4 8" xfId="16491"/>
    <cellStyle name="Normal 7 2 5" xfId="221"/>
    <cellStyle name="Normal 7 2 5 2" xfId="427"/>
    <cellStyle name="Normal 7 2 5 2 2" xfId="1042"/>
    <cellStyle name="Normal 7 2 5 2 2 2" xfId="2181"/>
    <cellStyle name="Normal 7 2 5 2 2 2 2" xfId="5874"/>
    <cellStyle name="Normal 7 2 5 2 2 2 2 2" xfId="22098"/>
    <cellStyle name="Normal 7 2 5 2 2 2 3" xfId="18414"/>
    <cellStyle name="Normal 7 2 5 2 2 3" xfId="4739"/>
    <cellStyle name="Normal 7 2 5 2 2 3 2" xfId="20965"/>
    <cellStyle name="Normal 7 2 5 2 2 4" xfId="17281"/>
    <cellStyle name="Normal 7 2 5 2 3" xfId="1693"/>
    <cellStyle name="Normal 7 2 5 2 3 2" xfId="5387"/>
    <cellStyle name="Normal 7 2 5 2 3 2 2" xfId="21612"/>
    <cellStyle name="Normal 7 2 5 2 3 3" xfId="17928"/>
    <cellStyle name="Normal 7 2 5 2 4" xfId="4164"/>
    <cellStyle name="Normal 7 2 5 2 4 2" xfId="20390"/>
    <cellStyle name="Normal 7 2 5 2 5" xfId="16706"/>
    <cellStyle name="Normal 7 2 5 3" xfId="651"/>
    <cellStyle name="Normal 7 2 5 3 2" xfId="1248"/>
    <cellStyle name="Normal 7 2 5 3 2 2" xfId="2343"/>
    <cellStyle name="Normal 7 2 5 3 2 2 2" xfId="6036"/>
    <cellStyle name="Normal 7 2 5 3 2 2 2 2" xfId="22260"/>
    <cellStyle name="Normal 7 2 5 3 2 2 3" xfId="18576"/>
    <cellStyle name="Normal 7 2 5 3 2 3" xfId="4945"/>
    <cellStyle name="Normal 7 2 5 3 2 3 2" xfId="21171"/>
    <cellStyle name="Normal 7 2 5 3 2 4" xfId="17487"/>
    <cellStyle name="Normal 7 2 5 3 3" xfId="1855"/>
    <cellStyle name="Normal 7 2 5 3 3 2" xfId="5549"/>
    <cellStyle name="Normal 7 2 5 3 3 2 2" xfId="21774"/>
    <cellStyle name="Normal 7 2 5 3 3 3" xfId="18090"/>
    <cellStyle name="Normal 7 2 5 3 4" xfId="4370"/>
    <cellStyle name="Normal 7 2 5 3 4 2" xfId="20596"/>
    <cellStyle name="Normal 7 2 5 3 5" xfId="16912"/>
    <cellStyle name="Normal 7 2 5 4" xfId="863"/>
    <cellStyle name="Normal 7 2 5 4 2" xfId="2019"/>
    <cellStyle name="Normal 7 2 5 4 2 2" xfId="5712"/>
    <cellStyle name="Normal 7 2 5 4 2 2 2" xfId="21936"/>
    <cellStyle name="Normal 7 2 5 4 2 3" xfId="18252"/>
    <cellStyle name="Normal 7 2 5 4 3" xfId="4560"/>
    <cellStyle name="Normal 7 2 5 4 3 2" xfId="20786"/>
    <cellStyle name="Normal 7 2 5 4 4" xfId="17102"/>
    <cellStyle name="Normal 7 2 5 5" xfId="1531"/>
    <cellStyle name="Normal 7 2 5 5 2" xfId="5225"/>
    <cellStyle name="Normal 7 2 5 5 2 2" xfId="21450"/>
    <cellStyle name="Normal 7 2 5 5 3" xfId="17766"/>
    <cellStyle name="Normal 7 2 5 6" xfId="2525"/>
    <cellStyle name="Normal 7 2 5 6 2" xfId="6215"/>
    <cellStyle name="Normal 7 2 5 6 2 2" xfId="22439"/>
    <cellStyle name="Normal 7 2 5 6 3" xfId="18755"/>
    <cellStyle name="Normal 7 2 5 7" xfId="3978"/>
    <cellStyle name="Normal 7 2 5 7 2" xfId="20205"/>
    <cellStyle name="Normal 7 2 5 8" xfId="16521"/>
    <cellStyle name="Normal 7 2 6" xfId="256"/>
    <cellStyle name="Normal 7 2 6 2" xfId="453"/>
    <cellStyle name="Normal 7 2 6 2 2" xfId="1068"/>
    <cellStyle name="Normal 7 2 6 2 2 2" xfId="2205"/>
    <cellStyle name="Normal 7 2 6 2 2 2 2" xfId="5898"/>
    <cellStyle name="Normal 7 2 6 2 2 2 2 2" xfId="22122"/>
    <cellStyle name="Normal 7 2 6 2 2 2 3" xfId="18438"/>
    <cellStyle name="Normal 7 2 6 2 2 3" xfId="4765"/>
    <cellStyle name="Normal 7 2 6 2 2 3 2" xfId="20991"/>
    <cellStyle name="Normal 7 2 6 2 2 4" xfId="17307"/>
    <cellStyle name="Normal 7 2 6 2 3" xfId="1717"/>
    <cellStyle name="Normal 7 2 6 2 3 2" xfId="5411"/>
    <cellStyle name="Normal 7 2 6 2 3 2 2" xfId="21636"/>
    <cellStyle name="Normal 7 2 6 2 3 3" xfId="17952"/>
    <cellStyle name="Normal 7 2 6 2 4" xfId="4190"/>
    <cellStyle name="Normal 7 2 6 2 4 2" xfId="20416"/>
    <cellStyle name="Normal 7 2 6 2 5" xfId="16732"/>
    <cellStyle name="Normal 7 2 6 3" xfId="686"/>
    <cellStyle name="Normal 7 2 6 3 2" xfId="1274"/>
    <cellStyle name="Normal 7 2 6 3 2 2" xfId="2367"/>
    <cellStyle name="Normal 7 2 6 3 2 2 2" xfId="6060"/>
    <cellStyle name="Normal 7 2 6 3 2 2 2 2" xfId="22284"/>
    <cellStyle name="Normal 7 2 6 3 2 2 3" xfId="18600"/>
    <cellStyle name="Normal 7 2 6 3 2 3" xfId="4971"/>
    <cellStyle name="Normal 7 2 6 3 2 3 2" xfId="21197"/>
    <cellStyle name="Normal 7 2 6 3 2 4" xfId="17513"/>
    <cellStyle name="Normal 7 2 6 3 3" xfId="1879"/>
    <cellStyle name="Normal 7 2 6 3 3 2" xfId="5573"/>
    <cellStyle name="Normal 7 2 6 3 3 2 2" xfId="21798"/>
    <cellStyle name="Normal 7 2 6 3 3 3" xfId="18114"/>
    <cellStyle name="Normal 7 2 6 3 4" xfId="4396"/>
    <cellStyle name="Normal 7 2 6 3 4 2" xfId="20622"/>
    <cellStyle name="Normal 7 2 6 3 5" xfId="16938"/>
    <cellStyle name="Normal 7 2 6 4" xfId="887"/>
    <cellStyle name="Normal 7 2 6 4 2" xfId="2043"/>
    <cellStyle name="Normal 7 2 6 4 2 2" xfId="5736"/>
    <cellStyle name="Normal 7 2 6 4 2 2 2" xfId="21960"/>
    <cellStyle name="Normal 7 2 6 4 2 3" xfId="18276"/>
    <cellStyle name="Normal 7 2 6 4 3" xfId="4584"/>
    <cellStyle name="Normal 7 2 6 4 3 2" xfId="20810"/>
    <cellStyle name="Normal 7 2 6 4 4" xfId="17126"/>
    <cellStyle name="Normal 7 2 6 5" xfId="1555"/>
    <cellStyle name="Normal 7 2 6 5 2" xfId="5249"/>
    <cellStyle name="Normal 7 2 6 5 2 2" xfId="21474"/>
    <cellStyle name="Normal 7 2 6 5 3" xfId="17790"/>
    <cellStyle name="Normal 7 2 6 6" xfId="2551"/>
    <cellStyle name="Normal 7 2 6 6 2" xfId="6241"/>
    <cellStyle name="Normal 7 2 6 6 2 2" xfId="22465"/>
    <cellStyle name="Normal 7 2 6 6 3" xfId="18781"/>
    <cellStyle name="Normal 7 2 6 7" xfId="4004"/>
    <cellStyle name="Normal 7 2 6 7 2" xfId="20231"/>
    <cellStyle name="Normal 7 2 6 8" xfId="16547"/>
    <cellStyle name="Normal 7 2 7" xfId="294"/>
    <cellStyle name="Normal 7 2 7 2" xfId="481"/>
    <cellStyle name="Normal 7 2 7 2 2" xfId="1096"/>
    <cellStyle name="Normal 7 2 7 2 2 2" xfId="2229"/>
    <cellStyle name="Normal 7 2 7 2 2 2 2" xfId="5922"/>
    <cellStyle name="Normal 7 2 7 2 2 2 2 2" xfId="22146"/>
    <cellStyle name="Normal 7 2 7 2 2 2 3" xfId="18462"/>
    <cellStyle name="Normal 7 2 7 2 2 3" xfId="4793"/>
    <cellStyle name="Normal 7 2 7 2 2 3 2" xfId="21019"/>
    <cellStyle name="Normal 7 2 7 2 2 4" xfId="17335"/>
    <cellStyle name="Normal 7 2 7 2 3" xfId="1741"/>
    <cellStyle name="Normal 7 2 7 2 3 2" xfId="5435"/>
    <cellStyle name="Normal 7 2 7 2 3 2 2" xfId="21660"/>
    <cellStyle name="Normal 7 2 7 2 3 3" xfId="17976"/>
    <cellStyle name="Normal 7 2 7 2 4" xfId="4218"/>
    <cellStyle name="Normal 7 2 7 2 4 2" xfId="20444"/>
    <cellStyle name="Normal 7 2 7 2 5" xfId="16760"/>
    <cellStyle name="Normal 7 2 7 3" xfId="723"/>
    <cellStyle name="Normal 7 2 7 3 2" xfId="1302"/>
    <cellStyle name="Normal 7 2 7 3 2 2" xfId="2391"/>
    <cellStyle name="Normal 7 2 7 3 2 2 2" xfId="6084"/>
    <cellStyle name="Normal 7 2 7 3 2 2 2 2" xfId="22308"/>
    <cellStyle name="Normal 7 2 7 3 2 2 3" xfId="18624"/>
    <cellStyle name="Normal 7 2 7 3 2 3" xfId="4999"/>
    <cellStyle name="Normal 7 2 7 3 2 3 2" xfId="21225"/>
    <cellStyle name="Normal 7 2 7 3 2 4" xfId="17541"/>
    <cellStyle name="Normal 7 2 7 3 3" xfId="1903"/>
    <cellStyle name="Normal 7 2 7 3 3 2" xfId="5597"/>
    <cellStyle name="Normal 7 2 7 3 3 2 2" xfId="21822"/>
    <cellStyle name="Normal 7 2 7 3 3 3" xfId="18138"/>
    <cellStyle name="Normal 7 2 7 3 4" xfId="4424"/>
    <cellStyle name="Normal 7 2 7 3 4 2" xfId="20650"/>
    <cellStyle name="Normal 7 2 7 3 5" xfId="16966"/>
    <cellStyle name="Normal 7 2 7 4" xfId="911"/>
    <cellStyle name="Normal 7 2 7 4 2" xfId="2067"/>
    <cellStyle name="Normal 7 2 7 4 2 2" xfId="5760"/>
    <cellStyle name="Normal 7 2 7 4 2 2 2" xfId="21984"/>
    <cellStyle name="Normal 7 2 7 4 2 3" xfId="18300"/>
    <cellStyle name="Normal 7 2 7 4 3" xfId="4608"/>
    <cellStyle name="Normal 7 2 7 4 3 2" xfId="20834"/>
    <cellStyle name="Normal 7 2 7 4 4" xfId="17150"/>
    <cellStyle name="Normal 7 2 7 5" xfId="1579"/>
    <cellStyle name="Normal 7 2 7 5 2" xfId="5273"/>
    <cellStyle name="Normal 7 2 7 5 2 2" xfId="21498"/>
    <cellStyle name="Normal 7 2 7 5 3" xfId="17814"/>
    <cellStyle name="Normal 7 2 7 6" xfId="2580"/>
    <cellStyle name="Normal 7 2 7 6 2" xfId="6269"/>
    <cellStyle name="Normal 7 2 7 6 2 2" xfId="22493"/>
    <cellStyle name="Normal 7 2 7 6 3" xfId="18809"/>
    <cellStyle name="Normal 7 2 7 7" xfId="4032"/>
    <cellStyle name="Normal 7 2 7 7 2" xfId="20259"/>
    <cellStyle name="Normal 7 2 7 8" xfId="16575"/>
    <cellStyle name="Normal 7 2 8" xfId="320"/>
    <cellStyle name="Normal 7 2 8 2" xfId="936"/>
    <cellStyle name="Normal 7 2 8 2 2" xfId="2091"/>
    <cellStyle name="Normal 7 2 8 2 2 2" xfId="5784"/>
    <cellStyle name="Normal 7 2 8 2 2 2 2" xfId="22008"/>
    <cellStyle name="Normal 7 2 8 2 2 3" xfId="18324"/>
    <cellStyle name="Normal 7 2 8 2 3" xfId="4633"/>
    <cellStyle name="Normal 7 2 8 2 3 2" xfId="20859"/>
    <cellStyle name="Normal 7 2 8 2 4" xfId="17175"/>
    <cellStyle name="Normal 7 2 8 3" xfId="1603"/>
    <cellStyle name="Normal 7 2 8 3 2" xfId="5297"/>
    <cellStyle name="Normal 7 2 8 3 2 2" xfId="21522"/>
    <cellStyle name="Normal 7 2 8 3 3" xfId="17838"/>
    <cellStyle name="Normal 7 2 8 4" xfId="4057"/>
    <cellStyle name="Normal 7 2 8 4 2" xfId="20284"/>
    <cellStyle name="Normal 7 2 8 5" xfId="16600"/>
    <cellStyle name="Normal 7 2 9" xfId="536"/>
    <cellStyle name="Normal 7 2 9 2" xfId="1142"/>
    <cellStyle name="Normal 7 2 9 2 2" xfId="2253"/>
    <cellStyle name="Normal 7 2 9 2 2 2" xfId="5946"/>
    <cellStyle name="Normal 7 2 9 2 2 2 2" xfId="22170"/>
    <cellStyle name="Normal 7 2 9 2 2 3" xfId="18486"/>
    <cellStyle name="Normal 7 2 9 2 3" xfId="4839"/>
    <cellStyle name="Normal 7 2 9 2 3 2" xfId="21065"/>
    <cellStyle name="Normal 7 2 9 2 4" xfId="17381"/>
    <cellStyle name="Normal 7 2 9 3" xfId="1765"/>
    <cellStyle name="Normal 7 2 9 3 2" xfId="5459"/>
    <cellStyle name="Normal 7 2 9 3 2 2" xfId="21684"/>
    <cellStyle name="Normal 7 2 9 3 3" xfId="18000"/>
    <cellStyle name="Normal 7 2 9 4" xfId="4264"/>
    <cellStyle name="Normal 7 2 9 4 2" xfId="20490"/>
    <cellStyle name="Normal 7 2 9 5" xfId="16806"/>
    <cellStyle name="Normal 7 3" xfId="111"/>
    <cellStyle name="Normal 7 3 10" xfId="779"/>
    <cellStyle name="Normal 7 3 10 2" xfId="1935"/>
    <cellStyle name="Normal 7 3 10 2 2" xfId="5628"/>
    <cellStyle name="Normal 7 3 10 2 2 2" xfId="21852"/>
    <cellStyle name="Normal 7 3 10 2 3" xfId="18168"/>
    <cellStyle name="Normal 7 3 10 3" xfId="4476"/>
    <cellStyle name="Normal 7 3 10 3 2" xfId="20702"/>
    <cellStyle name="Normal 7 3 10 4" xfId="17018"/>
    <cellStyle name="Normal 7 3 11" xfId="1447"/>
    <cellStyle name="Normal 7 3 11 2" xfId="5141"/>
    <cellStyle name="Normal 7 3 11 2 2" xfId="21366"/>
    <cellStyle name="Normal 7 3 11 3" xfId="17682"/>
    <cellStyle name="Normal 7 3 12" xfId="2424"/>
    <cellStyle name="Normal 7 3 12 2" xfId="6116"/>
    <cellStyle name="Normal 7 3 12 2 2" xfId="22340"/>
    <cellStyle name="Normal 7 3 12 3" xfId="18656"/>
    <cellStyle name="Normal 7 3 13" xfId="3879"/>
    <cellStyle name="Normal 7 3 13 2" xfId="20106"/>
    <cellStyle name="Normal 7 3 14" xfId="16422"/>
    <cellStyle name="Normal 7 3 2" xfId="141"/>
    <cellStyle name="Normal 7 3 2 2" xfId="348"/>
    <cellStyle name="Normal 7 3 2 2 2" xfId="963"/>
    <cellStyle name="Normal 7 3 2 2 2 2" xfId="2115"/>
    <cellStyle name="Normal 7 3 2 2 2 2 2" xfId="5808"/>
    <cellStyle name="Normal 7 3 2 2 2 2 2 2" xfId="22032"/>
    <cellStyle name="Normal 7 3 2 2 2 2 3" xfId="18348"/>
    <cellStyle name="Normal 7 3 2 2 2 3" xfId="4660"/>
    <cellStyle name="Normal 7 3 2 2 2 3 2" xfId="20886"/>
    <cellStyle name="Normal 7 3 2 2 2 4" xfId="17202"/>
    <cellStyle name="Normal 7 3 2 2 3" xfId="1627"/>
    <cellStyle name="Normal 7 3 2 2 3 2" xfId="5321"/>
    <cellStyle name="Normal 7 3 2 2 3 2 2" xfId="21546"/>
    <cellStyle name="Normal 7 3 2 2 3 3" xfId="17862"/>
    <cellStyle name="Normal 7 3 2 2 4" xfId="4085"/>
    <cellStyle name="Normal 7 3 2 2 4 2" xfId="20311"/>
    <cellStyle name="Normal 7 3 2 2 5" xfId="16627"/>
    <cellStyle name="Normal 7 3 2 3" xfId="572"/>
    <cellStyle name="Normal 7 3 2 3 2" xfId="1169"/>
    <cellStyle name="Normal 7 3 2 3 2 2" xfId="2277"/>
    <cellStyle name="Normal 7 3 2 3 2 2 2" xfId="5970"/>
    <cellStyle name="Normal 7 3 2 3 2 2 2 2" xfId="22194"/>
    <cellStyle name="Normal 7 3 2 3 2 2 3" xfId="18510"/>
    <cellStyle name="Normal 7 3 2 3 2 3" xfId="4866"/>
    <cellStyle name="Normal 7 3 2 3 2 3 2" xfId="21092"/>
    <cellStyle name="Normal 7 3 2 3 2 4" xfId="17408"/>
    <cellStyle name="Normal 7 3 2 3 3" xfId="1789"/>
    <cellStyle name="Normal 7 3 2 3 3 2" xfId="5483"/>
    <cellStyle name="Normal 7 3 2 3 3 2 2" xfId="21708"/>
    <cellStyle name="Normal 7 3 2 3 3 3" xfId="18024"/>
    <cellStyle name="Normal 7 3 2 3 4" xfId="4291"/>
    <cellStyle name="Normal 7 3 2 3 4 2" xfId="20517"/>
    <cellStyle name="Normal 7 3 2 3 5" xfId="16833"/>
    <cellStyle name="Normal 7 3 2 4" xfId="797"/>
    <cellStyle name="Normal 7 3 2 4 2" xfId="1953"/>
    <cellStyle name="Normal 7 3 2 4 2 2" xfId="5646"/>
    <cellStyle name="Normal 7 3 2 4 2 2 2" xfId="21870"/>
    <cellStyle name="Normal 7 3 2 4 2 3" xfId="18186"/>
    <cellStyle name="Normal 7 3 2 4 3" xfId="4494"/>
    <cellStyle name="Normal 7 3 2 4 3 2" xfId="20720"/>
    <cellStyle name="Normal 7 3 2 4 4" xfId="17036"/>
    <cellStyle name="Normal 7 3 2 5" xfId="1465"/>
    <cellStyle name="Normal 7 3 2 5 2" xfId="5159"/>
    <cellStyle name="Normal 7 3 2 5 2 2" xfId="21384"/>
    <cellStyle name="Normal 7 3 2 5 3" xfId="17700"/>
    <cellStyle name="Normal 7 3 2 6" xfId="2445"/>
    <cellStyle name="Normal 7 3 2 6 2" xfId="6136"/>
    <cellStyle name="Normal 7 3 2 6 2 2" xfId="22360"/>
    <cellStyle name="Normal 7 3 2 6 3" xfId="18676"/>
    <cellStyle name="Normal 7 3 2 7" xfId="3899"/>
    <cellStyle name="Normal 7 3 2 7 2" xfId="20126"/>
    <cellStyle name="Normal 7 3 2 8" xfId="16442"/>
    <cellStyle name="Normal 7 3 3" xfId="170"/>
    <cellStyle name="Normal 7 3 3 2" xfId="376"/>
    <cellStyle name="Normal 7 3 3 2 2" xfId="991"/>
    <cellStyle name="Normal 7 3 3 2 2 2" xfId="2139"/>
    <cellStyle name="Normal 7 3 3 2 2 2 2" xfId="5832"/>
    <cellStyle name="Normal 7 3 3 2 2 2 2 2" xfId="22056"/>
    <cellStyle name="Normal 7 3 3 2 2 2 3" xfId="18372"/>
    <cellStyle name="Normal 7 3 3 2 2 3" xfId="4688"/>
    <cellStyle name="Normal 7 3 3 2 2 3 2" xfId="20914"/>
    <cellStyle name="Normal 7 3 3 2 2 4" xfId="17230"/>
    <cellStyle name="Normal 7 3 3 2 3" xfId="1651"/>
    <cellStyle name="Normal 7 3 3 2 3 2" xfId="5345"/>
    <cellStyle name="Normal 7 3 3 2 3 2 2" xfId="21570"/>
    <cellStyle name="Normal 7 3 3 2 3 3" xfId="17886"/>
    <cellStyle name="Normal 7 3 3 2 4" xfId="4113"/>
    <cellStyle name="Normal 7 3 3 2 4 2" xfId="20339"/>
    <cellStyle name="Normal 7 3 3 2 5" xfId="16655"/>
    <cellStyle name="Normal 7 3 3 3" xfId="600"/>
    <cellStyle name="Normal 7 3 3 3 2" xfId="1197"/>
    <cellStyle name="Normal 7 3 3 3 2 2" xfId="2301"/>
    <cellStyle name="Normal 7 3 3 3 2 2 2" xfId="5994"/>
    <cellStyle name="Normal 7 3 3 3 2 2 2 2" xfId="22218"/>
    <cellStyle name="Normal 7 3 3 3 2 2 3" xfId="18534"/>
    <cellStyle name="Normal 7 3 3 3 2 3" xfId="4894"/>
    <cellStyle name="Normal 7 3 3 3 2 3 2" xfId="21120"/>
    <cellStyle name="Normal 7 3 3 3 2 4" xfId="17436"/>
    <cellStyle name="Normal 7 3 3 3 3" xfId="1813"/>
    <cellStyle name="Normal 7 3 3 3 3 2" xfId="5507"/>
    <cellStyle name="Normal 7 3 3 3 3 2 2" xfId="21732"/>
    <cellStyle name="Normal 7 3 3 3 3 3" xfId="18048"/>
    <cellStyle name="Normal 7 3 3 3 4" xfId="4319"/>
    <cellStyle name="Normal 7 3 3 3 4 2" xfId="20545"/>
    <cellStyle name="Normal 7 3 3 3 5" xfId="16861"/>
    <cellStyle name="Normal 7 3 3 4" xfId="821"/>
    <cellStyle name="Normal 7 3 3 4 2" xfId="1977"/>
    <cellStyle name="Normal 7 3 3 4 2 2" xfId="5670"/>
    <cellStyle name="Normal 7 3 3 4 2 2 2" xfId="21894"/>
    <cellStyle name="Normal 7 3 3 4 2 3" xfId="18210"/>
    <cellStyle name="Normal 7 3 3 4 3" xfId="4518"/>
    <cellStyle name="Normal 7 3 3 4 3 2" xfId="20744"/>
    <cellStyle name="Normal 7 3 3 4 4" xfId="17060"/>
    <cellStyle name="Normal 7 3 3 5" xfId="1489"/>
    <cellStyle name="Normal 7 3 3 5 2" xfId="5183"/>
    <cellStyle name="Normal 7 3 3 5 2 2" xfId="21408"/>
    <cellStyle name="Normal 7 3 3 5 3" xfId="17724"/>
    <cellStyle name="Normal 7 3 3 6" xfId="2474"/>
    <cellStyle name="Normal 7 3 3 6 2" xfId="6164"/>
    <cellStyle name="Normal 7 3 3 6 2 2" xfId="22388"/>
    <cellStyle name="Normal 7 3 3 6 3" xfId="18704"/>
    <cellStyle name="Normal 7 3 3 7" xfId="3927"/>
    <cellStyle name="Normal 7 3 3 7 2" xfId="20154"/>
    <cellStyle name="Normal 7 3 3 8" xfId="16470"/>
    <cellStyle name="Normal 7 3 4" xfId="198"/>
    <cellStyle name="Normal 7 3 4 2" xfId="404"/>
    <cellStyle name="Normal 7 3 4 2 2" xfId="1019"/>
    <cellStyle name="Normal 7 3 4 2 2 2" xfId="2163"/>
    <cellStyle name="Normal 7 3 4 2 2 2 2" xfId="5856"/>
    <cellStyle name="Normal 7 3 4 2 2 2 2 2" xfId="22080"/>
    <cellStyle name="Normal 7 3 4 2 2 2 3" xfId="18396"/>
    <cellStyle name="Normal 7 3 4 2 2 3" xfId="4716"/>
    <cellStyle name="Normal 7 3 4 2 2 3 2" xfId="20942"/>
    <cellStyle name="Normal 7 3 4 2 2 4" xfId="17258"/>
    <cellStyle name="Normal 7 3 4 2 3" xfId="1675"/>
    <cellStyle name="Normal 7 3 4 2 3 2" xfId="5369"/>
    <cellStyle name="Normal 7 3 4 2 3 2 2" xfId="21594"/>
    <cellStyle name="Normal 7 3 4 2 3 3" xfId="17910"/>
    <cellStyle name="Normal 7 3 4 2 4" xfId="4141"/>
    <cellStyle name="Normal 7 3 4 2 4 2" xfId="20367"/>
    <cellStyle name="Normal 7 3 4 2 5" xfId="16683"/>
    <cellStyle name="Normal 7 3 4 3" xfId="628"/>
    <cellStyle name="Normal 7 3 4 3 2" xfId="1225"/>
    <cellStyle name="Normal 7 3 4 3 2 2" xfId="2325"/>
    <cellStyle name="Normal 7 3 4 3 2 2 2" xfId="6018"/>
    <cellStyle name="Normal 7 3 4 3 2 2 2 2" xfId="22242"/>
    <cellStyle name="Normal 7 3 4 3 2 2 3" xfId="18558"/>
    <cellStyle name="Normal 7 3 4 3 2 3" xfId="4922"/>
    <cellStyle name="Normal 7 3 4 3 2 3 2" xfId="21148"/>
    <cellStyle name="Normal 7 3 4 3 2 4" xfId="17464"/>
    <cellStyle name="Normal 7 3 4 3 3" xfId="1837"/>
    <cellStyle name="Normal 7 3 4 3 3 2" xfId="5531"/>
    <cellStyle name="Normal 7 3 4 3 3 2 2" xfId="21756"/>
    <cellStyle name="Normal 7 3 4 3 3 3" xfId="18072"/>
    <cellStyle name="Normal 7 3 4 3 4" xfId="4347"/>
    <cellStyle name="Normal 7 3 4 3 4 2" xfId="20573"/>
    <cellStyle name="Normal 7 3 4 3 5" xfId="16889"/>
    <cellStyle name="Normal 7 3 4 4" xfId="845"/>
    <cellStyle name="Normal 7 3 4 4 2" xfId="2001"/>
    <cellStyle name="Normal 7 3 4 4 2 2" xfId="5694"/>
    <cellStyle name="Normal 7 3 4 4 2 2 2" xfId="21918"/>
    <cellStyle name="Normal 7 3 4 4 2 3" xfId="18234"/>
    <cellStyle name="Normal 7 3 4 4 3" xfId="4542"/>
    <cellStyle name="Normal 7 3 4 4 3 2" xfId="20768"/>
    <cellStyle name="Normal 7 3 4 4 4" xfId="17084"/>
    <cellStyle name="Normal 7 3 4 5" xfId="1513"/>
    <cellStyle name="Normal 7 3 4 5 2" xfId="5207"/>
    <cellStyle name="Normal 7 3 4 5 2 2" xfId="21432"/>
    <cellStyle name="Normal 7 3 4 5 3" xfId="17748"/>
    <cellStyle name="Normal 7 3 4 6" xfId="2502"/>
    <cellStyle name="Normal 7 3 4 6 2" xfId="6192"/>
    <cellStyle name="Normal 7 3 4 6 2 2" xfId="22416"/>
    <cellStyle name="Normal 7 3 4 6 3" xfId="18732"/>
    <cellStyle name="Normal 7 3 4 7" xfId="3955"/>
    <cellStyle name="Normal 7 3 4 7 2" xfId="20182"/>
    <cellStyle name="Normal 7 3 4 8" xfId="16498"/>
    <cellStyle name="Normal 7 3 5" xfId="227"/>
    <cellStyle name="Normal 7 3 5 2" xfId="433"/>
    <cellStyle name="Normal 7 3 5 2 2" xfId="1048"/>
    <cellStyle name="Normal 7 3 5 2 2 2" xfId="2187"/>
    <cellStyle name="Normal 7 3 5 2 2 2 2" xfId="5880"/>
    <cellStyle name="Normal 7 3 5 2 2 2 2 2" xfId="22104"/>
    <cellStyle name="Normal 7 3 5 2 2 2 3" xfId="18420"/>
    <cellStyle name="Normal 7 3 5 2 2 3" xfId="4745"/>
    <cellStyle name="Normal 7 3 5 2 2 3 2" xfId="20971"/>
    <cellStyle name="Normal 7 3 5 2 2 4" xfId="17287"/>
    <cellStyle name="Normal 7 3 5 2 3" xfId="1699"/>
    <cellStyle name="Normal 7 3 5 2 3 2" xfId="5393"/>
    <cellStyle name="Normal 7 3 5 2 3 2 2" xfId="21618"/>
    <cellStyle name="Normal 7 3 5 2 3 3" xfId="17934"/>
    <cellStyle name="Normal 7 3 5 2 4" xfId="4170"/>
    <cellStyle name="Normal 7 3 5 2 4 2" xfId="20396"/>
    <cellStyle name="Normal 7 3 5 2 5" xfId="16712"/>
    <cellStyle name="Normal 7 3 5 3" xfId="657"/>
    <cellStyle name="Normal 7 3 5 3 2" xfId="1254"/>
    <cellStyle name="Normal 7 3 5 3 2 2" xfId="2349"/>
    <cellStyle name="Normal 7 3 5 3 2 2 2" xfId="6042"/>
    <cellStyle name="Normal 7 3 5 3 2 2 2 2" xfId="22266"/>
    <cellStyle name="Normal 7 3 5 3 2 2 3" xfId="18582"/>
    <cellStyle name="Normal 7 3 5 3 2 3" xfId="4951"/>
    <cellStyle name="Normal 7 3 5 3 2 3 2" xfId="21177"/>
    <cellStyle name="Normal 7 3 5 3 2 4" xfId="17493"/>
    <cellStyle name="Normal 7 3 5 3 3" xfId="1861"/>
    <cellStyle name="Normal 7 3 5 3 3 2" xfId="5555"/>
    <cellStyle name="Normal 7 3 5 3 3 2 2" xfId="21780"/>
    <cellStyle name="Normal 7 3 5 3 3 3" xfId="18096"/>
    <cellStyle name="Normal 7 3 5 3 4" xfId="4376"/>
    <cellStyle name="Normal 7 3 5 3 4 2" xfId="20602"/>
    <cellStyle name="Normal 7 3 5 3 5" xfId="16918"/>
    <cellStyle name="Normal 7 3 5 4" xfId="869"/>
    <cellStyle name="Normal 7 3 5 4 2" xfId="2025"/>
    <cellStyle name="Normal 7 3 5 4 2 2" xfId="5718"/>
    <cellStyle name="Normal 7 3 5 4 2 2 2" xfId="21942"/>
    <cellStyle name="Normal 7 3 5 4 2 3" xfId="18258"/>
    <cellStyle name="Normal 7 3 5 4 3" xfId="4566"/>
    <cellStyle name="Normal 7 3 5 4 3 2" xfId="20792"/>
    <cellStyle name="Normal 7 3 5 4 4" xfId="17108"/>
    <cellStyle name="Normal 7 3 5 5" xfId="1537"/>
    <cellStyle name="Normal 7 3 5 5 2" xfId="5231"/>
    <cellStyle name="Normal 7 3 5 5 2 2" xfId="21456"/>
    <cellStyle name="Normal 7 3 5 5 3" xfId="17772"/>
    <cellStyle name="Normal 7 3 5 6" xfId="2531"/>
    <cellStyle name="Normal 7 3 5 6 2" xfId="6221"/>
    <cellStyle name="Normal 7 3 5 6 2 2" xfId="22445"/>
    <cellStyle name="Normal 7 3 5 6 3" xfId="18761"/>
    <cellStyle name="Normal 7 3 5 7" xfId="3984"/>
    <cellStyle name="Normal 7 3 5 7 2" xfId="20211"/>
    <cellStyle name="Normal 7 3 5 8" xfId="16527"/>
    <cellStyle name="Normal 7 3 6" xfId="263"/>
    <cellStyle name="Normal 7 3 6 2" xfId="460"/>
    <cellStyle name="Normal 7 3 6 2 2" xfId="1075"/>
    <cellStyle name="Normal 7 3 6 2 2 2" xfId="2211"/>
    <cellStyle name="Normal 7 3 6 2 2 2 2" xfId="5904"/>
    <cellStyle name="Normal 7 3 6 2 2 2 2 2" xfId="22128"/>
    <cellStyle name="Normal 7 3 6 2 2 2 3" xfId="18444"/>
    <cellStyle name="Normal 7 3 6 2 2 3" xfId="4772"/>
    <cellStyle name="Normal 7 3 6 2 2 3 2" xfId="20998"/>
    <cellStyle name="Normal 7 3 6 2 2 4" xfId="17314"/>
    <cellStyle name="Normal 7 3 6 2 3" xfId="1723"/>
    <cellStyle name="Normal 7 3 6 2 3 2" xfId="5417"/>
    <cellStyle name="Normal 7 3 6 2 3 2 2" xfId="21642"/>
    <cellStyle name="Normal 7 3 6 2 3 3" xfId="17958"/>
    <cellStyle name="Normal 7 3 6 2 4" xfId="4197"/>
    <cellStyle name="Normal 7 3 6 2 4 2" xfId="20423"/>
    <cellStyle name="Normal 7 3 6 2 5" xfId="16739"/>
    <cellStyle name="Normal 7 3 6 3" xfId="693"/>
    <cellStyle name="Normal 7 3 6 3 2" xfId="1281"/>
    <cellStyle name="Normal 7 3 6 3 2 2" xfId="2373"/>
    <cellStyle name="Normal 7 3 6 3 2 2 2" xfId="6066"/>
    <cellStyle name="Normal 7 3 6 3 2 2 2 2" xfId="22290"/>
    <cellStyle name="Normal 7 3 6 3 2 2 3" xfId="18606"/>
    <cellStyle name="Normal 7 3 6 3 2 3" xfId="4978"/>
    <cellStyle name="Normal 7 3 6 3 2 3 2" xfId="21204"/>
    <cellStyle name="Normal 7 3 6 3 2 4" xfId="17520"/>
    <cellStyle name="Normal 7 3 6 3 3" xfId="1885"/>
    <cellStyle name="Normal 7 3 6 3 3 2" xfId="5579"/>
    <cellStyle name="Normal 7 3 6 3 3 2 2" xfId="21804"/>
    <cellStyle name="Normal 7 3 6 3 3 3" xfId="18120"/>
    <cellStyle name="Normal 7 3 6 3 4" xfId="4403"/>
    <cellStyle name="Normal 7 3 6 3 4 2" xfId="20629"/>
    <cellStyle name="Normal 7 3 6 3 5" xfId="16945"/>
    <cellStyle name="Normal 7 3 6 4" xfId="893"/>
    <cellStyle name="Normal 7 3 6 4 2" xfId="2049"/>
    <cellStyle name="Normal 7 3 6 4 2 2" xfId="5742"/>
    <cellStyle name="Normal 7 3 6 4 2 2 2" xfId="21966"/>
    <cellStyle name="Normal 7 3 6 4 2 3" xfId="18282"/>
    <cellStyle name="Normal 7 3 6 4 3" xfId="4590"/>
    <cellStyle name="Normal 7 3 6 4 3 2" xfId="20816"/>
    <cellStyle name="Normal 7 3 6 4 4" xfId="17132"/>
    <cellStyle name="Normal 7 3 6 5" xfId="1561"/>
    <cellStyle name="Normal 7 3 6 5 2" xfId="5255"/>
    <cellStyle name="Normal 7 3 6 5 2 2" xfId="21480"/>
    <cellStyle name="Normal 7 3 6 5 3" xfId="17796"/>
    <cellStyle name="Normal 7 3 6 6" xfId="2558"/>
    <cellStyle name="Normal 7 3 6 6 2" xfId="6248"/>
    <cellStyle name="Normal 7 3 6 6 2 2" xfId="22472"/>
    <cellStyle name="Normal 7 3 6 6 3" xfId="18788"/>
    <cellStyle name="Normal 7 3 6 7" xfId="4011"/>
    <cellStyle name="Normal 7 3 6 7 2" xfId="20238"/>
    <cellStyle name="Normal 7 3 6 8" xfId="16554"/>
    <cellStyle name="Normal 7 3 7" xfId="300"/>
    <cellStyle name="Normal 7 3 7 2" xfId="487"/>
    <cellStyle name="Normal 7 3 7 2 2" xfId="1102"/>
    <cellStyle name="Normal 7 3 7 2 2 2" xfId="2235"/>
    <cellStyle name="Normal 7 3 7 2 2 2 2" xfId="5928"/>
    <cellStyle name="Normal 7 3 7 2 2 2 2 2" xfId="22152"/>
    <cellStyle name="Normal 7 3 7 2 2 2 3" xfId="18468"/>
    <cellStyle name="Normal 7 3 7 2 2 3" xfId="4799"/>
    <cellStyle name="Normal 7 3 7 2 2 3 2" xfId="21025"/>
    <cellStyle name="Normal 7 3 7 2 2 4" xfId="17341"/>
    <cellStyle name="Normal 7 3 7 2 3" xfId="1747"/>
    <cellStyle name="Normal 7 3 7 2 3 2" xfId="5441"/>
    <cellStyle name="Normal 7 3 7 2 3 2 2" xfId="21666"/>
    <cellStyle name="Normal 7 3 7 2 3 3" xfId="17982"/>
    <cellStyle name="Normal 7 3 7 2 4" xfId="4224"/>
    <cellStyle name="Normal 7 3 7 2 4 2" xfId="20450"/>
    <cellStyle name="Normal 7 3 7 2 5" xfId="16766"/>
    <cellStyle name="Normal 7 3 7 3" xfId="729"/>
    <cellStyle name="Normal 7 3 7 3 2" xfId="1308"/>
    <cellStyle name="Normal 7 3 7 3 2 2" xfId="2397"/>
    <cellStyle name="Normal 7 3 7 3 2 2 2" xfId="6090"/>
    <cellStyle name="Normal 7 3 7 3 2 2 2 2" xfId="22314"/>
    <cellStyle name="Normal 7 3 7 3 2 2 3" xfId="18630"/>
    <cellStyle name="Normal 7 3 7 3 2 3" xfId="5005"/>
    <cellStyle name="Normal 7 3 7 3 2 3 2" xfId="21231"/>
    <cellStyle name="Normal 7 3 7 3 2 4" xfId="17547"/>
    <cellStyle name="Normal 7 3 7 3 3" xfId="1909"/>
    <cellStyle name="Normal 7 3 7 3 3 2" xfId="5603"/>
    <cellStyle name="Normal 7 3 7 3 3 2 2" xfId="21828"/>
    <cellStyle name="Normal 7 3 7 3 3 3" xfId="18144"/>
    <cellStyle name="Normal 7 3 7 3 4" xfId="4430"/>
    <cellStyle name="Normal 7 3 7 3 4 2" xfId="20656"/>
    <cellStyle name="Normal 7 3 7 3 5" xfId="16972"/>
    <cellStyle name="Normal 7 3 7 4" xfId="917"/>
    <cellStyle name="Normal 7 3 7 4 2" xfId="2073"/>
    <cellStyle name="Normal 7 3 7 4 2 2" xfId="5766"/>
    <cellStyle name="Normal 7 3 7 4 2 2 2" xfId="21990"/>
    <cellStyle name="Normal 7 3 7 4 2 3" xfId="18306"/>
    <cellStyle name="Normal 7 3 7 4 3" xfId="4614"/>
    <cellStyle name="Normal 7 3 7 4 3 2" xfId="20840"/>
    <cellStyle name="Normal 7 3 7 4 4" xfId="17156"/>
    <cellStyle name="Normal 7 3 7 5" xfId="1585"/>
    <cellStyle name="Normal 7 3 7 5 2" xfId="5279"/>
    <cellStyle name="Normal 7 3 7 5 2 2" xfId="21504"/>
    <cellStyle name="Normal 7 3 7 5 3" xfId="17820"/>
    <cellStyle name="Normal 7 3 7 6" xfId="2586"/>
    <cellStyle name="Normal 7 3 7 6 2" xfId="6275"/>
    <cellStyle name="Normal 7 3 7 6 2 2" xfId="22499"/>
    <cellStyle name="Normal 7 3 7 6 3" xfId="18815"/>
    <cellStyle name="Normal 7 3 7 7" xfId="4038"/>
    <cellStyle name="Normal 7 3 7 7 2" xfId="20265"/>
    <cellStyle name="Normal 7 3 7 8" xfId="16581"/>
    <cellStyle name="Normal 7 3 8" xfId="327"/>
    <cellStyle name="Normal 7 3 8 2" xfId="943"/>
    <cellStyle name="Normal 7 3 8 2 2" xfId="2097"/>
    <cellStyle name="Normal 7 3 8 2 2 2" xfId="5790"/>
    <cellStyle name="Normal 7 3 8 2 2 2 2" xfId="22014"/>
    <cellStyle name="Normal 7 3 8 2 2 3" xfId="18330"/>
    <cellStyle name="Normal 7 3 8 2 3" xfId="4640"/>
    <cellStyle name="Normal 7 3 8 2 3 2" xfId="20866"/>
    <cellStyle name="Normal 7 3 8 2 4" xfId="17182"/>
    <cellStyle name="Normal 7 3 8 3" xfId="1609"/>
    <cellStyle name="Normal 7 3 8 3 2" xfId="5303"/>
    <cellStyle name="Normal 7 3 8 3 2 2" xfId="21528"/>
    <cellStyle name="Normal 7 3 8 3 3" xfId="17844"/>
    <cellStyle name="Normal 7 3 8 4" xfId="4064"/>
    <cellStyle name="Normal 7 3 8 4 2" xfId="20291"/>
    <cellStyle name="Normal 7 3 8 5" xfId="16607"/>
    <cellStyle name="Normal 7 3 9" xfId="543"/>
    <cellStyle name="Normal 7 3 9 2" xfId="1149"/>
    <cellStyle name="Normal 7 3 9 2 2" xfId="2259"/>
    <cellStyle name="Normal 7 3 9 2 2 2" xfId="5952"/>
    <cellStyle name="Normal 7 3 9 2 2 2 2" xfId="22176"/>
    <cellStyle name="Normal 7 3 9 2 2 3" xfId="18492"/>
    <cellStyle name="Normal 7 3 9 2 3" xfId="4846"/>
    <cellStyle name="Normal 7 3 9 2 3 2" xfId="21072"/>
    <cellStyle name="Normal 7 3 9 2 4" xfId="17388"/>
    <cellStyle name="Normal 7 3 9 3" xfId="1771"/>
    <cellStyle name="Normal 7 3 9 3 2" xfId="5465"/>
    <cellStyle name="Normal 7 3 9 3 2 2" xfId="21690"/>
    <cellStyle name="Normal 7 3 9 3 3" xfId="18006"/>
    <cellStyle name="Normal 7 3 9 4" xfId="4271"/>
    <cellStyle name="Normal 7 3 9 4 2" xfId="20497"/>
    <cellStyle name="Normal 7 3 9 5" xfId="16813"/>
    <cellStyle name="Normal 7 4" xfId="147"/>
    <cellStyle name="Normal 7 4 10" xfId="1471"/>
    <cellStyle name="Normal 7 4 10 2" xfId="5165"/>
    <cellStyle name="Normal 7 4 10 2 2" xfId="21390"/>
    <cellStyle name="Normal 7 4 10 3" xfId="17706"/>
    <cellStyle name="Normal 7 4 11" xfId="2451"/>
    <cellStyle name="Normal 7 4 11 2" xfId="6142"/>
    <cellStyle name="Normal 7 4 11 2 2" xfId="22366"/>
    <cellStyle name="Normal 7 4 11 3" xfId="18682"/>
    <cellStyle name="Normal 7 4 12" xfId="3905"/>
    <cellStyle name="Normal 7 4 12 2" xfId="20132"/>
    <cellStyle name="Normal 7 4 13" xfId="16448"/>
    <cellStyle name="Normal 7 4 2" xfId="176"/>
    <cellStyle name="Normal 7 4 2 2" xfId="382"/>
    <cellStyle name="Normal 7 4 2 2 2" xfId="997"/>
    <cellStyle name="Normal 7 4 2 2 2 2" xfId="2145"/>
    <cellStyle name="Normal 7 4 2 2 2 2 2" xfId="5838"/>
    <cellStyle name="Normal 7 4 2 2 2 2 2 2" xfId="22062"/>
    <cellStyle name="Normal 7 4 2 2 2 2 3" xfId="18378"/>
    <cellStyle name="Normal 7 4 2 2 2 3" xfId="4694"/>
    <cellStyle name="Normal 7 4 2 2 2 3 2" xfId="20920"/>
    <cellStyle name="Normal 7 4 2 2 2 4" xfId="17236"/>
    <cellStyle name="Normal 7 4 2 2 3" xfId="1657"/>
    <cellStyle name="Normal 7 4 2 2 3 2" xfId="5351"/>
    <cellStyle name="Normal 7 4 2 2 3 2 2" xfId="21576"/>
    <cellStyle name="Normal 7 4 2 2 3 3" xfId="17892"/>
    <cellStyle name="Normal 7 4 2 2 4" xfId="4119"/>
    <cellStyle name="Normal 7 4 2 2 4 2" xfId="20345"/>
    <cellStyle name="Normal 7 4 2 2 5" xfId="16661"/>
    <cellStyle name="Normal 7 4 2 3" xfId="606"/>
    <cellStyle name="Normal 7 4 2 3 2" xfId="1203"/>
    <cellStyle name="Normal 7 4 2 3 2 2" xfId="2307"/>
    <cellStyle name="Normal 7 4 2 3 2 2 2" xfId="6000"/>
    <cellStyle name="Normal 7 4 2 3 2 2 2 2" xfId="22224"/>
    <cellStyle name="Normal 7 4 2 3 2 2 3" xfId="18540"/>
    <cellStyle name="Normal 7 4 2 3 2 3" xfId="4900"/>
    <cellStyle name="Normal 7 4 2 3 2 3 2" xfId="21126"/>
    <cellStyle name="Normal 7 4 2 3 2 4" xfId="17442"/>
    <cellStyle name="Normal 7 4 2 3 3" xfId="1819"/>
    <cellStyle name="Normal 7 4 2 3 3 2" xfId="5513"/>
    <cellStyle name="Normal 7 4 2 3 3 2 2" xfId="21738"/>
    <cellStyle name="Normal 7 4 2 3 3 3" xfId="18054"/>
    <cellStyle name="Normal 7 4 2 3 4" xfId="4325"/>
    <cellStyle name="Normal 7 4 2 3 4 2" xfId="20551"/>
    <cellStyle name="Normal 7 4 2 3 5" xfId="16867"/>
    <cellStyle name="Normal 7 4 2 4" xfId="827"/>
    <cellStyle name="Normal 7 4 2 4 2" xfId="1983"/>
    <cellStyle name="Normal 7 4 2 4 2 2" xfId="5676"/>
    <cellStyle name="Normal 7 4 2 4 2 2 2" xfId="21900"/>
    <cellStyle name="Normal 7 4 2 4 2 3" xfId="18216"/>
    <cellStyle name="Normal 7 4 2 4 3" xfId="4524"/>
    <cellStyle name="Normal 7 4 2 4 3 2" xfId="20750"/>
    <cellStyle name="Normal 7 4 2 4 4" xfId="17066"/>
    <cellStyle name="Normal 7 4 2 5" xfId="1495"/>
    <cellStyle name="Normal 7 4 2 5 2" xfId="5189"/>
    <cellStyle name="Normal 7 4 2 5 2 2" xfId="21414"/>
    <cellStyle name="Normal 7 4 2 5 3" xfId="17730"/>
    <cellStyle name="Normal 7 4 2 6" xfId="2480"/>
    <cellStyle name="Normal 7 4 2 6 2" xfId="6170"/>
    <cellStyle name="Normal 7 4 2 6 2 2" xfId="22394"/>
    <cellStyle name="Normal 7 4 2 6 3" xfId="18710"/>
    <cellStyle name="Normal 7 4 2 7" xfId="3933"/>
    <cellStyle name="Normal 7 4 2 7 2" xfId="20160"/>
    <cellStyle name="Normal 7 4 2 8" xfId="16476"/>
    <cellStyle name="Normal 7 4 3" xfId="204"/>
    <cellStyle name="Normal 7 4 3 2" xfId="410"/>
    <cellStyle name="Normal 7 4 3 2 2" xfId="1025"/>
    <cellStyle name="Normal 7 4 3 2 2 2" xfId="2169"/>
    <cellStyle name="Normal 7 4 3 2 2 2 2" xfId="5862"/>
    <cellStyle name="Normal 7 4 3 2 2 2 2 2" xfId="22086"/>
    <cellStyle name="Normal 7 4 3 2 2 2 3" xfId="18402"/>
    <cellStyle name="Normal 7 4 3 2 2 3" xfId="4722"/>
    <cellStyle name="Normal 7 4 3 2 2 3 2" xfId="20948"/>
    <cellStyle name="Normal 7 4 3 2 2 4" xfId="17264"/>
    <cellStyle name="Normal 7 4 3 2 3" xfId="1681"/>
    <cellStyle name="Normal 7 4 3 2 3 2" xfId="5375"/>
    <cellStyle name="Normal 7 4 3 2 3 2 2" xfId="21600"/>
    <cellStyle name="Normal 7 4 3 2 3 3" xfId="17916"/>
    <cellStyle name="Normal 7 4 3 2 4" xfId="4147"/>
    <cellStyle name="Normal 7 4 3 2 4 2" xfId="20373"/>
    <cellStyle name="Normal 7 4 3 2 5" xfId="16689"/>
    <cellStyle name="Normal 7 4 3 3" xfId="634"/>
    <cellStyle name="Normal 7 4 3 3 2" xfId="1231"/>
    <cellStyle name="Normal 7 4 3 3 2 2" xfId="2331"/>
    <cellStyle name="Normal 7 4 3 3 2 2 2" xfId="6024"/>
    <cellStyle name="Normal 7 4 3 3 2 2 2 2" xfId="22248"/>
    <cellStyle name="Normal 7 4 3 3 2 2 3" xfId="18564"/>
    <cellStyle name="Normal 7 4 3 3 2 3" xfId="4928"/>
    <cellStyle name="Normal 7 4 3 3 2 3 2" xfId="21154"/>
    <cellStyle name="Normal 7 4 3 3 2 4" xfId="17470"/>
    <cellStyle name="Normal 7 4 3 3 3" xfId="1843"/>
    <cellStyle name="Normal 7 4 3 3 3 2" xfId="5537"/>
    <cellStyle name="Normal 7 4 3 3 3 2 2" xfId="21762"/>
    <cellStyle name="Normal 7 4 3 3 3 3" xfId="18078"/>
    <cellStyle name="Normal 7 4 3 3 4" xfId="4353"/>
    <cellStyle name="Normal 7 4 3 3 4 2" xfId="20579"/>
    <cellStyle name="Normal 7 4 3 3 5" xfId="16895"/>
    <cellStyle name="Normal 7 4 3 4" xfId="851"/>
    <cellStyle name="Normal 7 4 3 4 2" xfId="2007"/>
    <cellStyle name="Normal 7 4 3 4 2 2" xfId="5700"/>
    <cellStyle name="Normal 7 4 3 4 2 2 2" xfId="21924"/>
    <cellStyle name="Normal 7 4 3 4 2 3" xfId="18240"/>
    <cellStyle name="Normal 7 4 3 4 3" xfId="4548"/>
    <cellStyle name="Normal 7 4 3 4 3 2" xfId="20774"/>
    <cellStyle name="Normal 7 4 3 4 4" xfId="17090"/>
    <cellStyle name="Normal 7 4 3 5" xfId="1519"/>
    <cellStyle name="Normal 7 4 3 5 2" xfId="5213"/>
    <cellStyle name="Normal 7 4 3 5 2 2" xfId="21438"/>
    <cellStyle name="Normal 7 4 3 5 3" xfId="17754"/>
    <cellStyle name="Normal 7 4 3 6" xfId="2508"/>
    <cellStyle name="Normal 7 4 3 6 2" xfId="6198"/>
    <cellStyle name="Normal 7 4 3 6 2 2" xfId="22422"/>
    <cellStyle name="Normal 7 4 3 6 3" xfId="18738"/>
    <cellStyle name="Normal 7 4 3 7" xfId="3961"/>
    <cellStyle name="Normal 7 4 3 7 2" xfId="20188"/>
    <cellStyle name="Normal 7 4 3 8" xfId="16504"/>
    <cellStyle name="Normal 7 4 4" xfId="233"/>
    <cellStyle name="Normal 7 4 4 2" xfId="439"/>
    <cellStyle name="Normal 7 4 4 2 2" xfId="1054"/>
    <cellStyle name="Normal 7 4 4 2 2 2" xfId="2193"/>
    <cellStyle name="Normal 7 4 4 2 2 2 2" xfId="5886"/>
    <cellStyle name="Normal 7 4 4 2 2 2 2 2" xfId="22110"/>
    <cellStyle name="Normal 7 4 4 2 2 2 3" xfId="18426"/>
    <cellStyle name="Normal 7 4 4 2 2 3" xfId="4751"/>
    <cellStyle name="Normal 7 4 4 2 2 3 2" xfId="20977"/>
    <cellStyle name="Normal 7 4 4 2 2 4" xfId="17293"/>
    <cellStyle name="Normal 7 4 4 2 3" xfId="1705"/>
    <cellStyle name="Normal 7 4 4 2 3 2" xfId="5399"/>
    <cellStyle name="Normal 7 4 4 2 3 2 2" xfId="21624"/>
    <cellStyle name="Normal 7 4 4 2 3 3" xfId="17940"/>
    <cellStyle name="Normal 7 4 4 2 4" xfId="4176"/>
    <cellStyle name="Normal 7 4 4 2 4 2" xfId="20402"/>
    <cellStyle name="Normal 7 4 4 2 5" xfId="16718"/>
    <cellStyle name="Normal 7 4 4 3" xfId="663"/>
    <cellStyle name="Normal 7 4 4 3 2" xfId="1260"/>
    <cellStyle name="Normal 7 4 4 3 2 2" xfId="2355"/>
    <cellStyle name="Normal 7 4 4 3 2 2 2" xfId="6048"/>
    <cellStyle name="Normal 7 4 4 3 2 2 2 2" xfId="22272"/>
    <cellStyle name="Normal 7 4 4 3 2 2 3" xfId="18588"/>
    <cellStyle name="Normal 7 4 4 3 2 3" xfId="4957"/>
    <cellStyle name="Normal 7 4 4 3 2 3 2" xfId="21183"/>
    <cellStyle name="Normal 7 4 4 3 2 4" xfId="17499"/>
    <cellStyle name="Normal 7 4 4 3 3" xfId="1867"/>
    <cellStyle name="Normal 7 4 4 3 3 2" xfId="5561"/>
    <cellStyle name="Normal 7 4 4 3 3 2 2" xfId="21786"/>
    <cellStyle name="Normal 7 4 4 3 3 3" xfId="18102"/>
    <cellStyle name="Normal 7 4 4 3 4" xfId="4382"/>
    <cellStyle name="Normal 7 4 4 3 4 2" xfId="20608"/>
    <cellStyle name="Normal 7 4 4 3 5" xfId="16924"/>
    <cellStyle name="Normal 7 4 4 4" xfId="875"/>
    <cellStyle name="Normal 7 4 4 4 2" xfId="2031"/>
    <cellStyle name="Normal 7 4 4 4 2 2" xfId="5724"/>
    <cellStyle name="Normal 7 4 4 4 2 2 2" xfId="21948"/>
    <cellStyle name="Normal 7 4 4 4 2 3" xfId="18264"/>
    <cellStyle name="Normal 7 4 4 4 3" xfId="4572"/>
    <cellStyle name="Normal 7 4 4 4 3 2" xfId="20798"/>
    <cellStyle name="Normal 7 4 4 4 4" xfId="17114"/>
    <cellStyle name="Normal 7 4 4 5" xfId="1543"/>
    <cellStyle name="Normal 7 4 4 5 2" xfId="5237"/>
    <cellStyle name="Normal 7 4 4 5 2 2" xfId="21462"/>
    <cellStyle name="Normal 7 4 4 5 3" xfId="17778"/>
    <cellStyle name="Normal 7 4 4 6" xfId="2537"/>
    <cellStyle name="Normal 7 4 4 6 2" xfId="6227"/>
    <cellStyle name="Normal 7 4 4 6 2 2" xfId="22451"/>
    <cellStyle name="Normal 7 4 4 6 3" xfId="18767"/>
    <cellStyle name="Normal 7 4 4 7" xfId="3990"/>
    <cellStyle name="Normal 7 4 4 7 2" xfId="20217"/>
    <cellStyle name="Normal 7 4 4 8" xfId="16533"/>
    <cellStyle name="Normal 7 4 5" xfId="278"/>
    <cellStyle name="Normal 7 4 5 2" xfId="466"/>
    <cellStyle name="Normal 7 4 5 2 2" xfId="1081"/>
    <cellStyle name="Normal 7 4 5 2 2 2" xfId="2217"/>
    <cellStyle name="Normal 7 4 5 2 2 2 2" xfId="5910"/>
    <cellStyle name="Normal 7 4 5 2 2 2 2 2" xfId="22134"/>
    <cellStyle name="Normal 7 4 5 2 2 2 3" xfId="18450"/>
    <cellStyle name="Normal 7 4 5 2 2 3" xfId="4778"/>
    <cellStyle name="Normal 7 4 5 2 2 3 2" xfId="21004"/>
    <cellStyle name="Normal 7 4 5 2 2 4" xfId="17320"/>
    <cellStyle name="Normal 7 4 5 2 3" xfId="1729"/>
    <cellStyle name="Normal 7 4 5 2 3 2" xfId="5423"/>
    <cellStyle name="Normal 7 4 5 2 3 2 2" xfId="21648"/>
    <cellStyle name="Normal 7 4 5 2 3 3" xfId="17964"/>
    <cellStyle name="Normal 7 4 5 2 4" xfId="4203"/>
    <cellStyle name="Normal 7 4 5 2 4 2" xfId="20429"/>
    <cellStyle name="Normal 7 4 5 2 5" xfId="16745"/>
    <cellStyle name="Normal 7 4 5 3" xfId="708"/>
    <cellStyle name="Normal 7 4 5 3 2" xfId="1287"/>
    <cellStyle name="Normal 7 4 5 3 2 2" xfId="2379"/>
    <cellStyle name="Normal 7 4 5 3 2 2 2" xfId="6072"/>
    <cellStyle name="Normal 7 4 5 3 2 2 2 2" xfId="22296"/>
    <cellStyle name="Normal 7 4 5 3 2 2 3" xfId="18612"/>
    <cellStyle name="Normal 7 4 5 3 2 3" xfId="4984"/>
    <cellStyle name="Normal 7 4 5 3 2 3 2" xfId="21210"/>
    <cellStyle name="Normal 7 4 5 3 2 4" xfId="17526"/>
    <cellStyle name="Normal 7 4 5 3 3" xfId="1891"/>
    <cellStyle name="Normal 7 4 5 3 3 2" xfId="5585"/>
    <cellStyle name="Normal 7 4 5 3 3 2 2" xfId="21810"/>
    <cellStyle name="Normal 7 4 5 3 3 3" xfId="18126"/>
    <cellStyle name="Normal 7 4 5 3 4" xfId="4409"/>
    <cellStyle name="Normal 7 4 5 3 4 2" xfId="20635"/>
    <cellStyle name="Normal 7 4 5 3 5" xfId="16951"/>
    <cellStyle name="Normal 7 4 5 4" xfId="899"/>
    <cellStyle name="Normal 7 4 5 4 2" xfId="2055"/>
    <cellStyle name="Normal 7 4 5 4 2 2" xfId="5748"/>
    <cellStyle name="Normal 7 4 5 4 2 2 2" xfId="21972"/>
    <cellStyle name="Normal 7 4 5 4 2 3" xfId="18288"/>
    <cellStyle name="Normal 7 4 5 4 3" xfId="4596"/>
    <cellStyle name="Normal 7 4 5 4 3 2" xfId="20822"/>
    <cellStyle name="Normal 7 4 5 4 4" xfId="17138"/>
    <cellStyle name="Normal 7 4 5 5" xfId="1567"/>
    <cellStyle name="Normal 7 4 5 5 2" xfId="5261"/>
    <cellStyle name="Normal 7 4 5 5 2 2" xfId="21486"/>
    <cellStyle name="Normal 7 4 5 5 3" xfId="17802"/>
    <cellStyle name="Normal 7 4 5 6" xfId="2564"/>
    <cellStyle name="Normal 7 4 5 6 2" xfId="6254"/>
    <cellStyle name="Normal 7 4 5 6 2 2" xfId="22478"/>
    <cellStyle name="Normal 7 4 5 6 3" xfId="18794"/>
    <cellStyle name="Normal 7 4 5 7" xfId="4017"/>
    <cellStyle name="Normal 7 4 5 7 2" xfId="20244"/>
    <cellStyle name="Normal 7 4 5 8" xfId="16560"/>
    <cellStyle name="Normal 7 4 6" xfId="306"/>
    <cellStyle name="Normal 7 4 6 2" xfId="493"/>
    <cellStyle name="Normal 7 4 6 2 2" xfId="1108"/>
    <cellStyle name="Normal 7 4 6 2 2 2" xfId="2241"/>
    <cellStyle name="Normal 7 4 6 2 2 2 2" xfId="5934"/>
    <cellStyle name="Normal 7 4 6 2 2 2 2 2" xfId="22158"/>
    <cellStyle name="Normal 7 4 6 2 2 2 3" xfId="18474"/>
    <cellStyle name="Normal 7 4 6 2 2 3" xfId="4805"/>
    <cellStyle name="Normal 7 4 6 2 2 3 2" xfId="21031"/>
    <cellStyle name="Normal 7 4 6 2 2 4" xfId="17347"/>
    <cellStyle name="Normal 7 4 6 2 3" xfId="1753"/>
    <cellStyle name="Normal 7 4 6 2 3 2" xfId="5447"/>
    <cellStyle name="Normal 7 4 6 2 3 2 2" xfId="21672"/>
    <cellStyle name="Normal 7 4 6 2 3 3" xfId="17988"/>
    <cellStyle name="Normal 7 4 6 2 4" xfId="4230"/>
    <cellStyle name="Normal 7 4 6 2 4 2" xfId="20456"/>
    <cellStyle name="Normal 7 4 6 2 5" xfId="16772"/>
    <cellStyle name="Normal 7 4 6 3" xfId="735"/>
    <cellStyle name="Normal 7 4 6 3 2" xfId="1314"/>
    <cellStyle name="Normal 7 4 6 3 2 2" xfId="2403"/>
    <cellStyle name="Normal 7 4 6 3 2 2 2" xfId="6096"/>
    <cellStyle name="Normal 7 4 6 3 2 2 2 2" xfId="22320"/>
    <cellStyle name="Normal 7 4 6 3 2 2 3" xfId="18636"/>
    <cellStyle name="Normal 7 4 6 3 2 3" xfId="5011"/>
    <cellStyle name="Normal 7 4 6 3 2 3 2" xfId="21237"/>
    <cellStyle name="Normal 7 4 6 3 2 4" xfId="17553"/>
    <cellStyle name="Normal 7 4 6 3 3" xfId="1915"/>
    <cellStyle name="Normal 7 4 6 3 3 2" xfId="5609"/>
    <cellStyle name="Normal 7 4 6 3 3 2 2" xfId="21834"/>
    <cellStyle name="Normal 7 4 6 3 3 3" xfId="18150"/>
    <cellStyle name="Normal 7 4 6 3 4" xfId="4436"/>
    <cellStyle name="Normal 7 4 6 3 4 2" xfId="20662"/>
    <cellStyle name="Normal 7 4 6 3 5" xfId="16978"/>
    <cellStyle name="Normal 7 4 6 4" xfId="923"/>
    <cellStyle name="Normal 7 4 6 4 2" xfId="2079"/>
    <cellStyle name="Normal 7 4 6 4 2 2" xfId="5772"/>
    <cellStyle name="Normal 7 4 6 4 2 2 2" xfId="21996"/>
    <cellStyle name="Normal 7 4 6 4 2 3" xfId="18312"/>
    <cellStyle name="Normal 7 4 6 4 3" xfId="4620"/>
    <cellStyle name="Normal 7 4 6 4 3 2" xfId="20846"/>
    <cellStyle name="Normal 7 4 6 4 4" xfId="17162"/>
    <cellStyle name="Normal 7 4 6 5" xfId="1591"/>
    <cellStyle name="Normal 7 4 6 5 2" xfId="5285"/>
    <cellStyle name="Normal 7 4 6 5 2 2" xfId="21510"/>
    <cellStyle name="Normal 7 4 6 5 3" xfId="17826"/>
    <cellStyle name="Normal 7 4 6 6" xfId="2592"/>
    <cellStyle name="Normal 7 4 6 6 2" xfId="6281"/>
    <cellStyle name="Normal 7 4 6 6 2 2" xfId="22505"/>
    <cellStyle name="Normal 7 4 6 6 3" xfId="18821"/>
    <cellStyle name="Normal 7 4 6 7" xfId="4044"/>
    <cellStyle name="Normal 7 4 6 7 2" xfId="20271"/>
    <cellStyle name="Normal 7 4 6 8" xfId="16587"/>
    <cellStyle name="Normal 7 4 7" xfId="354"/>
    <cellStyle name="Normal 7 4 7 2" xfId="969"/>
    <cellStyle name="Normal 7 4 7 2 2" xfId="2121"/>
    <cellStyle name="Normal 7 4 7 2 2 2" xfId="5814"/>
    <cellStyle name="Normal 7 4 7 2 2 2 2" xfId="22038"/>
    <cellStyle name="Normal 7 4 7 2 2 3" xfId="18354"/>
    <cellStyle name="Normal 7 4 7 2 3" xfId="4666"/>
    <cellStyle name="Normal 7 4 7 2 3 2" xfId="20892"/>
    <cellStyle name="Normal 7 4 7 2 4" xfId="17208"/>
    <cellStyle name="Normal 7 4 7 3" xfId="1633"/>
    <cellStyle name="Normal 7 4 7 3 2" xfId="5327"/>
    <cellStyle name="Normal 7 4 7 3 2 2" xfId="21552"/>
    <cellStyle name="Normal 7 4 7 3 3" xfId="17868"/>
    <cellStyle name="Normal 7 4 7 4" xfId="4091"/>
    <cellStyle name="Normal 7 4 7 4 2" xfId="20317"/>
    <cellStyle name="Normal 7 4 7 5" xfId="16633"/>
    <cellStyle name="Normal 7 4 8" xfId="578"/>
    <cellStyle name="Normal 7 4 8 2" xfId="1175"/>
    <cellStyle name="Normal 7 4 8 2 2" xfId="2283"/>
    <cellStyle name="Normal 7 4 8 2 2 2" xfId="5976"/>
    <cellStyle name="Normal 7 4 8 2 2 2 2" xfId="22200"/>
    <cellStyle name="Normal 7 4 8 2 2 3" xfId="18516"/>
    <cellStyle name="Normal 7 4 8 2 3" xfId="4872"/>
    <cellStyle name="Normal 7 4 8 2 3 2" xfId="21098"/>
    <cellStyle name="Normal 7 4 8 2 4" xfId="17414"/>
    <cellStyle name="Normal 7 4 8 3" xfId="1795"/>
    <cellStyle name="Normal 7 4 8 3 2" xfId="5489"/>
    <cellStyle name="Normal 7 4 8 3 2 2" xfId="21714"/>
    <cellStyle name="Normal 7 4 8 3 3" xfId="18030"/>
    <cellStyle name="Normal 7 4 8 4" xfId="4297"/>
    <cellStyle name="Normal 7 4 8 4 2" xfId="20523"/>
    <cellStyle name="Normal 7 4 8 5" xfId="16839"/>
    <cellStyle name="Normal 7 4 9" xfId="803"/>
    <cellStyle name="Normal 7 4 9 2" xfId="1959"/>
    <cellStyle name="Normal 7 4 9 2 2" xfId="5652"/>
    <cellStyle name="Normal 7 4 9 2 2 2" xfId="21876"/>
    <cellStyle name="Normal 7 4 9 2 3" xfId="18192"/>
    <cellStyle name="Normal 7 4 9 3" xfId="4500"/>
    <cellStyle name="Normal 7 4 9 3 2" xfId="20726"/>
    <cellStyle name="Normal 7 4 9 4" xfId="17042"/>
    <cellStyle name="Normal 7 5" xfId="126"/>
    <cellStyle name="Normal 7 5 2" xfId="333"/>
    <cellStyle name="Normal 7 5 2 2" xfId="949"/>
    <cellStyle name="Normal 7 5 2 2 2" xfId="2103"/>
    <cellStyle name="Normal 7 5 2 2 2 2" xfId="5796"/>
    <cellStyle name="Normal 7 5 2 2 2 2 2" xfId="22020"/>
    <cellStyle name="Normal 7 5 2 2 2 3" xfId="18336"/>
    <cellStyle name="Normal 7 5 2 2 3" xfId="4646"/>
    <cellStyle name="Normal 7 5 2 2 3 2" xfId="20872"/>
    <cellStyle name="Normal 7 5 2 2 4" xfId="17188"/>
    <cellStyle name="Normal 7 5 2 3" xfId="1615"/>
    <cellStyle name="Normal 7 5 2 3 2" xfId="5309"/>
    <cellStyle name="Normal 7 5 2 3 2 2" xfId="21534"/>
    <cellStyle name="Normal 7 5 2 3 3" xfId="17850"/>
    <cellStyle name="Normal 7 5 2 4" xfId="4070"/>
    <cellStyle name="Normal 7 5 2 4 2" xfId="20297"/>
    <cellStyle name="Normal 7 5 2 5" xfId="16613"/>
    <cellStyle name="Normal 7 5 3" xfId="558"/>
    <cellStyle name="Normal 7 5 3 2" xfId="1155"/>
    <cellStyle name="Normal 7 5 3 2 2" xfId="2265"/>
    <cellStyle name="Normal 7 5 3 2 2 2" xfId="5958"/>
    <cellStyle name="Normal 7 5 3 2 2 2 2" xfId="22182"/>
    <cellStyle name="Normal 7 5 3 2 2 3" xfId="18498"/>
    <cellStyle name="Normal 7 5 3 2 3" xfId="4852"/>
    <cellStyle name="Normal 7 5 3 2 3 2" xfId="21078"/>
    <cellStyle name="Normal 7 5 3 2 4" xfId="17394"/>
    <cellStyle name="Normal 7 5 3 3" xfId="1777"/>
    <cellStyle name="Normal 7 5 3 3 2" xfId="5471"/>
    <cellStyle name="Normal 7 5 3 3 2 2" xfId="21696"/>
    <cellStyle name="Normal 7 5 3 3 3" xfId="18012"/>
    <cellStyle name="Normal 7 5 3 4" xfId="4277"/>
    <cellStyle name="Normal 7 5 3 4 2" xfId="20503"/>
    <cellStyle name="Normal 7 5 3 5" xfId="16819"/>
    <cellStyle name="Normal 7 5 4" xfId="785"/>
    <cellStyle name="Normal 7 5 4 2" xfId="1941"/>
    <cellStyle name="Normal 7 5 4 2 2" xfId="5634"/>
    <cellStyle name="Normal 7 5 4 2 2 2" xfId="21858"/>
    <cellStyle name="Normal 7 5 4 2 3" xfId="18174"/>
    <cellStyle name="Normal 7 5 4 3" xfId="4482"/>
    <cellStyle name="Normal 7 5 4 3 2" xfId="20708"/>
    <cellStyle name="Normal 7 5 4 4" xfId="17024"/>
    <cellStyle name="Normal 7 5 5" xfId="1453"/>
    <cellStyle name="Normal 7 5 5 2" xfId="5147"/>
    <cellStyle name="Normal 7 5 5 2 2" xfId="21372"/>
    <cellStyle name="Normal 7 5 5 3" xfId="17688"/>
    <cellStyle name="Normal 7 5 6" xfId="2430"/>
    <cellStyle name="Normal 7 5 6 2" xfId="6122"/>
    <cellStyle name="Normal 7 5 6 2 2" xfId="22346"/>
    <cellStyle name="Normal 7 5 6 3" xfId="18662"/>
    <cellStyle name="Normal 7 5 7" xfId="3885"/>
    <cellStyle name="Normal 7 5 7 2" xfId="20112"/>
    <cellStyle name="Normal 7 5 8" xfId="16428"/>
    <cellStyle name="Normal 7 6" xfId="157"/>
    <cellStyle name="Normal 7 6 2" xfId="363"/>
    <cellStyle name="Normal 7 6 2 2" xfId="978"/>
    <cellStyle name="Normal 7 6 2 2 2" xfId="2127"/>
    <cellStyle name="Normal 7 6 2 2 2 2" xfId="5820"/>
    <cellStyle name="Normal 7 6 2 2 2 2 2" xfId="22044"/>
    <cellStyle name="Normal 7 6 2 2 2 3" xfId="18360"/>
    <cellStyle name="Normal 7 6 2 2 3" xfId="4675"/>
    <cellStyle name="Normal 7 6 2 2 3 2" xfId="20901"/>
    <cellStyle name="Normal 7 6 2 2 4" xfId="17217"/>
    <cellStyle name="Normal 7 6 2 3" xfId="1639"/>
    <cellStyle name="Normal 7 6 2 3 2" xfId="5333"/>
    <cellStyle name="Normal 7 6 2 3 2 2" xfId="21558"/>
    <cellStyle name="Normal 7 6 2 3 3" xfId="17874"/>
    <cellStyle name="Normal 7 6 2 4" xfId="4100"/>
    <cellStyle name="Normal 7 6 2 4 2" xfId="20326"/>
    <cellStyle name="Normal 7 6 2 5" xfId="16642"/>
    <cellStyle name="Normal 7 6 3" xfId="587"/>
    <cellStyle name="Normal 7 6 3 2" xfId="1184"/>
    <cellStyle name="Normal 7 6 3 2 2" xfId="2289"/>
    <cellStyle name="Normal 7 6 3 2 2 2" xfId="5982"/>
    <cellStyle name="Normal 7 6 3 2 2 2 2" xfId="22206"/>
    <cellStyle name="Normal 7 6 3 2 2 3" xfId="18522"/>
    <cellStyle name="Normal 7 6 3 2 3" xfId="4881"/>
    <cellStyle name="Normal 7 6 3 2 3 2" xfId="21107"/>
    <cellStyle name="Normal 7 6 3 2 4" xfId="17423"/>
    <cellStyle name="Normal 7 6 3 3" xfId="1801"/>
    <cellStyle name="Normal 7 6 3 3 2" xfId="5495"/>
    <cellStyle name="Normal 7 6 3 3 2 2" xfId="21720"/>
    <cellStyle name="Normal 7 6 3 3 3" xfId="18036"/>
    <cellStyle name="Normal 7 6 3 4" xfId="4306"/>
    <cellStyle name="Normal 7 6 3 4 2" xfId="20532"/>
    <cellStyle name="Normal 7 6 3 5" xfId="16848"/>
    <cellStyle name="Normal 7 6 4" xfId="809"/>
    <cellStyle name="Normal 7 6 4 2" xfId="1965"/>
    <cellStyle name="Normal 7 6 4 2 2" xfId="5658"/>
    <cellStyle name="Normal 7 6 4 2 2 2" xfId="21882"/>
    <cellStyle name="Normal 7 6 4 2 3" xfId="18198"/>
    <cellStyle name="Normal 7 6 4 3" xfId="4506"/>
    <cellStyle name="Normal 7 6 4 3 2" xfId="20732"/>
    <cellStyle name="Normal 7 6 4 4" xfId="17048"/>
    <cellStyle name="Normal 7 6 5" xfId="1477"/>
    <cellStyle name="Normal 7 6 5 2" xfId="5171"/>
    <cellStyle name="Normal 7 6 5 2 2" xfId="21396"/>
    <cellStyle name="Normal 7 6 5 3" xfId="17712"/>
    <cellStyle name="Normal 7 6 6" xfId="2461"/>
    <cellStyle name="Normal 7 6 6 2" xfId="6151"/>
    <cellStyle name="Normal 7 6 6 2 2" xfId="22375"/>
    <cellStyle name="Normal 7 6 6 3" xfId="18691"/>
    <cellStyle name="Normal 7 6 7" xfId="3914"/>
    <cellStyle name="Normal 7 6 7 2" xfId="20141"/>
    <cellStyle name="Normal 7 6 8" xfId="16457"/>
    <cellStyle name="Normal 7 7" xfId="185"/>
    <cellStyle name="Normal 7 7 2" xfId="391"/>
    <cellStyle name="Normal 7 7 2 2" xfId="1006"/>
    <cellStyle name="Normal 7 7 2 2 2" xfId="2151"/>
    <cellStyle name="Normal 7 7 2 2 2 2" xfId="5844"/>
    <cellStyle name="Normal 7 7 2 2 2 2 2" xfId="22068"/>
    <cellStyle name="Normal 7 7 2 2 2 3" xfId="18384"/>
    <cellStyle name="Normal 7 7 2 2 3" xfId="4703"/>
    <cellStyle name="Normal 7 7 2 2 3 2" xfId="20929"/>
    <cellStyle name="Normal 7 7 2 2 4" xfId="17245"/>
    <cellStyle name="Normal 7 7 2 3" xfId="1663"/>
    <cellStyle name="Normal 7 7 2 3 2" xfId="5357"/>
    <cellStyle name="Normal 7 7 2 3 2 2" xfId="21582"/>
    <cellStyle name="Normal 7 7 2 3 3" xfId="17898"/>
    <cellStyle name="Normal 7 7 2 4" xfId="4128"/>
    <cellStyle name="Normal 7 7 2 4 2" xfId="20354"/>
    <cellStyle name="Normal 7 7 2 5" xfId="16670"/>
    <cellStyle name="Normal 7 7 3" xfId="615"/>
    <cellStyle name="Normal 7 7 3 2" xfId="1212"/>
    <cellStyle name="Normal 7 7 3 2 2" xfId="2313"/>
    <cellStyle name="Normal 7 7 3 2 2 2" xfId="6006"/>
    <cellStyle name="Normal 7 7 3 2 2 2 2" xfId="22230"/>
    <cellStyle name="Normal 7 7 3 2 2 3" xfId="18546"/>
    <cellStyle name="Normal 7 7 3 2 3" xfId="4909"/>
    <cellStyle name="Normal 7 7 3 2 3 2" xfId="21135"/>
    <cellStyle name="Normal 7 7 3 2 4" xfId="17451"/>
    <cellStyle name="Normal 7 7 3 3" xfId="1825"/>
    <cellStyle name="Normal 7 7 3 3 2" xfId="5519"/>
    <cellStyle name="Normal 7 7 3 3 2 2" xfId="21744"/>
    <cellStyle name="Normal 7 7 3 3 3" xfId="18060"/>
    <cellStyle name="Normal 7 7 3 4" xfId="4334"/>
    <cellStyle name="Normal 7 7 3 4 2" xfId="20560"/>
    <cellStyle name="Normal 7 7 3 5" xfId="16876"/>
    <cellStyle name="Normal 7 7 4" xfId="833"/>
    <cellStyle name="Normal 7 7 4 2" xfId="1989"/>
    <cellStyle name="Normal 7 7 4 2 2" xfId="5682"/>
    <cellStyle name="Normal 7 7 4 2 2 2" xfId="21906"/>
    <cellStyle name="Normal 7 7 4 2 3" xfId="18222"/>
    <cellStyle name="Normal 7 7 4 3" xfId="4530"/>
    <cellStyle name="Normal 7 7 4 3 2" xfId="20756"/>
    <cellStyle name="Normal 7 7 4 4" xfId="17072"/>
    <cellStyle name="Normal 7 7 5" xfId="1501"/>
    <cellStyle name="Normal 7 7 5 2" xfId="5195"/>
    <cellStyle name="Normal 7 7 5 2 2" xfId="21420"/>
    <cellStyle name="Normal 7 7 5 3" xfId="17736"/>
    <cellStyle name="Normal 7 7 6" xfId="2489"/>
    <cellStyle name="Normal 7 7 6 2" xfId="6179"/>
    <cellStyle name="Normal 7 7 6 2 2" xfId="22403"/>
    <cellStyle name="Normal 7 7 6 3" xfId="18719"/>
    <cellStyle name="Normal 7 7 7" xfId="3942"/>
    <cellStyle name="Normal 7 7 7 2" xfId="20169"/>
    <cellStyle name="Normal 7 7 8" xfId="16485"/>
    <cellStyle name="Normal 7 8" xfId="213"/>
    <cellStyle name="Normal 7 8 2" xfId="419"/>
    <cellStyle name="Normal 7 8 2 2" xfId="1034"/>
    <cellStyle name="Normal 7 8 2 2 2" xfId="2175"/>
    <cellStyle name="Normal 7 8 2 2 2 2" xfId="5868"/>
    <cellStyle name="Normal 7 8 2 2 2 2 2" xfId="22092"/>
    <cellStyle name="Normal 7 8 2 2 2 3" xfId="18408"/>
    <cellStyle name="Normal 7 8 2 2 3" xfId="4731"/>
    <cellStyle name="Normal 7 8 2 2 3 2" xfId="20957"/>
    <cellStyle name="Normal 7 8 2 2 4" xfId="17273"/>
    <cellStyle name="Normal 7 8 2 3" xfId="1687"/>
    <cellStyle name="Normal 7 8 2 3 2" xfId="5381"/>
    <cellStyle name="Normal 7 8 2 3 2 2" xfId="21606"/>
    <cellStyle name="Normal 7 8 2 3 3" xfId="17922"/>
    <cellStyle name="Normal 7 8 2 4" xfId="4156"/>
    <cellStyle name="Normal 7 8 2 4 2" xfId="20382"/>
    <cellStyle name="Normal 7 8 2 5" xfId="16698"/>
    <cellStyle name="Normal 7 8 3" xfId="643"/>
    <cellStyle name="Normal 7 8 3 2" xfId="1240"/>
    <cellStyle name="Normal 7 8 3 2 2" xfId="2337"/>
    <cellStyle name="Normal 7 8 3 2 2 2" xfId="6030"/>
    <cellStyle name="Normal 7 8 3 2 2 2 2" xfId="22254"/>
    <cellStyle name="Normal 7 8 3 2 2 3" xfId="18570"/>
    <cellStyle name="Normal 7 8 3 2 3" xfId="4937"/>
    <cellStyle name="Normal 7 8 3 2 3 2" xfId="21163"/>
    <cellStyle name="Normal 7 8 3 2 4" xfId="17479"/>
    <cellStyle name="Normal 7 8 3 3" xfId="1849"/>
    <cellStyle name="Normal 7 8 3 3 2" xfId="5543"/>
    <cellStyle name="Normal 7 8 3 3 2 2" xfId="21768"/>
    <cellStyle name="Normal 7 8 3 3 3" xfId="18084"/>
    <cellStyle name="Normal 7 8 3 4" xfId="4362"/>
    <cellStyle name="Normal 7 8 3 4 2" xfId="20588"/>
    <cellStyle name="Normal 7 8 3 5" xfId="16904"/>
    <cellStyle name="Normal 7 8 4" xfId="857"/>
    <cellStyle name="Normal 7 8 4 2" xfId="2013"/>
    <cellStyle name="Normal 7 8 4 2 2" xfId="5706"/>
    <cellStyle name="Normal 7 8 4 2 2 2" xfId="21930"/>
    <cellStyle name="Normal 7 8 4 2 3" xfId="18246"/>
    <cellStyle name="Normal 7 8 4 3" xfId="4554"/>
    <cellStyle name="Normal 7 8 4 3 2" xfId="20780"/>
    <cellStyle name="Normal 7 8 4 4" xfId="17096"/>
    <cellStyle name="Normal 7 8 5" xfId="1525"/>
    <cellStyle name="Normal 7 8 5 2" xfId="5219"/>
    <cellStyle name="Normal 7 8 5 2 2" xfId="21444"/>
    <cellStyle name="Normal 7 8 5 3" xfId="17760"/>
    <cellStyle name="Normal 7 8 6" xfId="2517"/>
    <cellStyle name="Normal 7 8 6 2" xfId="6207"/>
    <cellStyle name="Normal 7 8 6 2 2" xfId="22431"/>
    <cellStyle name="Normal 7 8 6 3" xfId="18747"/>
    <cellStyle name="Normal 7 8 7" xfId="3970"/>
    <cellStyle name="Normal 7 8 7 2" xfId="20197"/>
    <cellStyle name="Normal 7 8 8" xfId="16513"/>
    <cellStyle name="Normal 7 9" xfId="241"/>
    <cellStyle name="Normal 7 9 2" xfId="447"/>
    <cellStyle name="Normal 7 9 2 2" xfId="1062"/>
    <cellStyle name="Normal 7 9 2 2 2" xfId="2199"/>
    <cellStyle name="Normal 7 9 2 2 2 2" xfId="5892"/>
    <cellStyle name="Normal 7 9 2 2 2 2 2" xfId="22116"/>
    <cellStyle name="Normal 7 9 2 2 2 3" xfId="18432"/>
    <cellStyle name="Normal 7 9 2 2 3" xfId="4759"/>
    <cellStyle name="Normal 7 9 2 2 3 2" xfId="20985"/>
    <cellStyle name="Normal 7 9 2 2 4" xfId="17301"/>
    <cellStyle name="Normal 7 9 2 3" xfId="1711"/>
    <cellStyle name="Normal 7 9 2 3 2" xfId="5405"/>
    <cellStyle name="Normal 7 9 2 3 2 2" xfId="21630"/>
    <cellStyle name="Normal 7 9 2 3 3" xfId="17946"/>
    <cellStyle name="Normal 7 9 2 4" xfId="4184"/>
    <cellStyle name="Normal 7 9 2 4 2" xfId="20410"/>
    <cellStyle name="Normal 7 9 2 5" xfId="16726"/>
    <cellStyle name="Normal 7 9 3" xfId="671"/>
    <cellStyle name="Normal 7 9 3 2" xfId="1268"/>
    <cellStyle name="Normal 7 9 3 2 2" xfId="2361"/>
    <cellStyle name="Normal 7 9 3 2 2 2" xfId="6054"/>
    <cellStyle name="Normal 7 9 3 2 2 2 2" xfId="22278"/>
    <cellStyle name="Normal 7 9 3 2 2 3" xfId="18594"/>
    <cellStyle name="Normal 7 9 3 2 3" xfId="4965"/>
    <cellStyle name="Normal 7 9 3 2 3 2" xfId="21191"/>
    <cellStyle name="Normal 7 9 3 2 4" xfId="17507"/>
    <cellStyle name="Normal 7 9 3 3" xfId="1873"/>
    <cellStyle name="Normal 7 9 3 3 2" xfId="5567"/>
    <cellStyle name="Normal 7 9 3 3 2 2" xfId="21792"/>
    <cellStyle name="Normal 7 9 3 3 3" xfId="18108"/>
    <cellStyle name="Normal 7 9 3 4" xfId="4390"/>
    <cellStyle name="Normal 7 9 3 4 2" xfId="20616"/>
    <cellStyle name="Normal 7 9 3 5" xfId="16932"/>
    <cellStyle name="Normal 7 9 4" xfId="881"/>
    <cellStyle name="Normal 7 9 4 2" xfId="2037"/>
    <cellStyle name="Normal 7 9 4 2 2" xfId="5730"/>
    <cellStyle name="Normal 7 9 4 2 2 2" xfId="21954"/>
    <cellStyle name="Normal 7 9 4 2 3" xfId="18270"/>
    <cellStyle name="Normal 7 9 4 3" xfId="4578"/>
    <cellStyle name="Normal 7 9 4 3 2" xfId="20804"/>
    <cellStyle name="Normal 7 9 4 4" xfId="17120"/>
    <cellStyle name="Normal 7 9 5" xfId="1549"/>
    <cellStyle name="Normal 7 9 5 2" xfId="5243"/>
    <cellStyle name="Normal 7 9 5 2 2" xfId="21468"/>
    <cellStyle name="Normal 7 9 5 3" xfId="17784"/>
    <cellStyle name="Normal 7 9 6" xfId="2545"/>
    <cellStyle name="Normal 7 9 6 2" xfId="6235"/>
    <cellStyle name="Normal 7 9 6 2 2" xfId="22459"/>
    <cellStyle name="Normal 7 9 6 3" xfId="18775"/>
    <cellStyle name="Normal 7 9 7" xfId="3998"/>
    <cellStyle name="Normal 7 9 7 2" xfId="20225"/>
    <cellStyle name="Normal 7 9 8" xfId="16541"/>
    <cellStyle name="Normal 8" xfId="21"/>
    <cellStyle name="Normal 8 2" xfId="101"/>
    <cellStyle name="Normal 9" xfId="3"/>
    <cellStyle name="Normal 9 2" xfId="102"/>
    <cellStyle name="Pourcentage 2" xfId="104"/>
    <cellStyle name="Pourcentage 3" xfId="768"/>
    <cellStyle name="Pourcentage 4" xfId="1436"/>
    <cellStyle name="Pourcentage 5" xfId="26"/>
    <cellStyle name="Satisfaisant 2" xfId="61"/>
    <cellStyle name="Sortie 2" xfId="62"/>
    <cellStyle name="Sortie 2 2" xfId="120"/>
    <cellStyle name="Sortie 2 2 2" xfId="272"/>
    <cellStyle name="Sortie 2 2 2 2" xfId="702"/>
    <cellStyle name="Sortie 2 2 3" xfId="552"/>
    <cellStyle name="Sortie 2 3" xfId="250"/>
    <cellStyle name="Sortie 2 3 2" xfId="680"/>
    <cellStyle name="Sortie 2 4" xfId="529"/>
    <cellStyle name="Sortie 3" xfId="90"/>
    <cellStyle name="Sortie 3 2" xfId="124"/>
    <cellStyle name="Sortie 3 2 2" xfId="276"/>
    <cellStyle name="Sortie 3 2 2 2" xfId="706"/>
    <cellStyle name="Sortie 3 2 3" xfId="556"/>
    <cellStyle name="Sortie 3 3" xfId="254"/>
    <cellStyle name="Sortie 3 3 2" xfId="684"/>
    <cellStyle name="Sortie 3 4" xfId="534"/>
    <cellStyle name="Texte explicatif 2" xfId="63"/>
    <cellStyle name="Titre 1" xfId="64"/>
    <cellStyle name="Titre 1 2" xfId="91"/>
    <cellStyle name="Titre 1 2" xfId="65"/>
    <cellStyle name="Titre 1 3" xfId="92"/>
    <cellStyle name="Titre 2 2" xfId="66"/>
    <cellStyle name="Titre 2 3" xfId="93"/>
    <cellStyle name="Titre 3 2" xfId="67"/>
    <cellStyle name="Titre 3 3" xfId="94"/>
    <cellStyle name="Titre 4 2" xfId="68"/>
    <cellStyle name="Titre 4 3" xfId="95"/>
    <cellStyle name="Total 2" xfId="69"/>
    <cellStyle name="Total 2 2" xfId="121"/>
    <cellStyle name="Total 2 2 2" xfId="273"/>
    <cellStyle name="Total 2 2 2 2" xfId="703"/>
    <cellStyle name="Total 2 2 3" xfId="553"/>
    <cellStyle name="Total 2 3" xfId="251"/>
    <cellStyle name="Total 2 3 2" xfId="681"/>
    <cellStyle name="Total 2 4" xfId="530"/>
    <cellStyle name="Total 3" xfId="96"/>
    <cellStyle name="Total 3 2" xfId="125"/>
    <cellStyle name="Total 3 2 2" xfId="277"/>
    <cellStyle name="Total 3 2 2 2" xfId="707"/>
    <cellStyle name="Total 3 2 3" xfId="557"/>
    <cellStyle name="Total 3 3" xfId="255"/>
    <cellStyle name="Total 3 3 2" xfId="685"/>
    <cellStyle name="Total 3 4" xfId="535"/>
    <cellStyle name="Vérification 2" xfId="70"/>
    <cellStyle name="Vérification 2 10" xfId="6656"/>
    <cellStyle name="Vérification 2 10 2" xfId="22880"/>
    <cellStyle name="Vérification 2 10 2 2" xfId="34887"/>
    <cellStyle name="Vérification 2 10 3" xfId="11440"/>
    <cellStyle name="Vérification 2 10 4" xfId="27661"/>
    <cellStyle name="Vérification 2 11" xfId="16414"/>
    <cellStyle name="Vérification 2 11 2" xfId="32628"/>
    <cellStyle name="Vérification 2 12" xfId="26625"/>
    <cellStyle name="Vérification 2 2" xfId="110"/>
    <cellStyle name="Vérification 2 2 10" xfId="285"/>
    <cellStyle name="Vérification 2 2 10 10" xfId="4024"/>
    <cellStyle name="Vérification 2 2 10 10 2" xfId="6764"/>
    <cellStyle name="Vérification 2 2 10 10 2 2" xfId="9087"/>
    <cellStyle name="Vérification 2 2 10 10 2 2 2" xfId="25311"/>
    <cellStyle name="Vérification 2 2 10 10 2 2 2 2" xfId="37318"/>
    <cellStyle name="Vérification 2 2 10 10 2 2 3" xfId="15094"/>
    <cellStyle name="Vérification 2 2 10 10 2 2 4" xfId="31315"/>
    <cellStyle name="Vérification 2 2 10 10 2 3" xfId="22988"/>
    <cellStyle name="Vérification 2 2 10 10 2 3 2" xfId="34995"/>
    <cellStyle name="Vérification 2 2 10 10 2 4" xfId="12791"/>
    <cellStyle name="Vérification 2 2 10 10 2 5" xfId="29012"/>
    <cellStyle name="Vérification 2 2 10 10 3" xfId="7250"/>
    <cellStyle name="Vérification 2 2 10 10 3 2" xfId="23474"/>
    <cellStyle name="Vérification 2 2 10 10 3 2 2" xfId="35481"/>
    <cellStyle name="Vérification 2 2 10 10 3 3" xfId="13634"/>
    <cellStyle name="Vérification 2 2 10 10 3 4" xfId="29855"/>
    <cellStyle name="Vérification 2 2 10 10 4" xfId="20251"/>
    <cellStyle name="Vérification 2 2 10 10 4 2" xfId="34226"/>
    <cellStyle name="Vérification 2 2 10 10 5" xfId="10766"/>
    <cellStyle name="Vérification 2 2 10 10 6" xfId="26989"/>
    <cellStyle name="Vérification 2 2 10 11" xfId="3028"/>
    <cellStyle name="Vérification 2 2 10 11 2" xfId="8108"/>
    <cellStyle name="Vérification 2 2 10 11 2 2" xfId="24332"/>
    <cellStyle name="Vérification 2 2 10 11 2 2 2" xfId="36339"/>
    <cellStyle name="Vérification 2 2 10 11 2 3" xfId="14115"/>
    <cellStyle name="Vérification 2 2 10 11 2 4" xfId="30336"/>
    <cellStyle name="Vérification 2 2 10 11 3" xfId="9754"/>
    <cellStyle name="Vérification 2 2 10 11 3 2" xfId="25978"/>
    <cellStyle name="Vérification 2 2 10 11 3 2 2" xfId="37985"/>
    <cellStyle name="Vérification 2 2 10 11 3 3" xfId="15761"/>
    <cellStyle name="Vérification 2 2 10 11 3 4" xfId="31982"/>
    <cellStyle name="Vérification 2 2 10 11 4" xfId="19256"/>
    <cellStyle name="Vérification 2 2 10 11 4 2" xfId="33370"/>
    <cellStyle name="Vérification 2 2 10 11 5" xfId="11663"/>
    <cellStyle name="Vérification 2 2 10 11 6" xfId="27884"/>
    <cellStyle name="Vérification 2 2 10 12" xfId="3349"/>
    <cellStyle name="Vérification 2 2 10 12 2" xfId="8331"/>
    <cellStyle name="Vérification 2 2 10 12 2 2" xfId="24555"/>
    <cellStyle name="Vérification 2 2 10 12 2 2 2" xfId="36562"/>
    <cellStyle name="Vérification 2 2 10 12 2 3" xfId="14338"/>
    <cellStyle name="Vérification 2 2 10 12 2 4" xfId="30559"/>
    <cellStyle name="Vérification 2 2 10 12 3" xfId="19577"/>
    <cellStyle name="Vérification 2 2 10 12 3 2" xfId="33691"/>
    <cellStyle name="Vérification 2 2 10 12 4" xfId="11886"/>
    <cellStyle name="Vérification 2 2 10 12 5" xfId="28107"/>
    <cellStyle name="Vérification 2 2 10 13" xfId="7191"/>
    <cellStyle name="Vérification 2 2 10 13 2" xfId="23415"/>
    <cellStyle name="Vérification 2 2 10 13 2 2" xfId="35422"/>
    <cellStyle name="Vérification 2 2 10 13 3" xfId="13575"/>
    <cellStyle name="Vérification 2 2 10 13 4" xfId="29796"/>
    <cellStyle name="Vérification 2 2 10 14" xfId="16567"/>
    <cellStyle name="Vérification 2 2 10 14 2" xfId="32649"/>
    <cellStyle name="Vérification 2 2 10 15" xfId="10421"/>
    <cellStyle name="Vérification 2 2 10 16" xfId="26646"/>
    <cellStyle name="Vérification 2 2 10 2" xfId="473"/>
    <cellStyle name="Vérification 2 2 10 2 10" xfId="10444"/>
    <cellStyle name="Vérification 2 2 10 2 11" xfId="26669"/>
    <cellStyle name="Vérification 2 2 10 2 2" xfId="1363"/>
    <cellStyle name="Vérification 2 2 10 2 2 2" xfId="2841"/>
    <cellStyle name="Vérification 2 2 10 2 2 2 2" xfId="6529"/>
    <cellStyle name="Vérification 2 2 10 2 2 2 2 2" xfId="8910"/>
    <cellStyle name="Vérification 2 2 10 2 2 2 2 2 2" xfId="25134"/>
    <cellStyle name="Vérification 2 2 10 2 2 2 2 2 2 2" xfId="37141"/>
    <cellStyle name="Vérification 2 2 10 2 2 2 2 2 3" xfId="14917"/>
    <cellStyle name="Vérification 2 2 10 2 2 2 2 2 4" xfId="31138"/>
    <cellStyle name="Vérification 2 2 10 2 2 2 2 3" xfId="10288"/>
    <cellStyle name="Vérification 2 2 10 2 2 2 2 3 2" xfId="26512"/>
    <cellStyle name="Vérification 2 2 10 2 2 2 2 3 2 2" xfId="38519"/>
    <cellStyle name="Vérification 2 2 10 2 2 2 2 3 3" xfId="16295"/>
    <cellStyle name="Vérification 2 2 10 2 2 2 2 3 4" xfId="32516"/>
    <cellStyle name="Vérification 2 2 10 2 2 2 2 4" xfId="22753"/>
    <cellStyle name="Vérification 2 2 10 2 2 2 2 4 2" xfId="34760"/>
    <cellStyle name="Vérification 2 2 10 2 2 2 2 5" xfId="12614"/>
    <cellStyle name="Vérification 2 2 10 2 2 2 2 6" xfId="28835"/>
    <cellStyle name="Vérification 2 2 10 2 2 2 3" xfId="7577"/>
    <cellStyle name="Vérification 2 2 10 2 2 2 3 2" xfId="9621"/>
    <cellStyle name="Vérification 2 2 10 2 2 2 3 2 2" xfId="25845"/>
    <cellStyle name="Vérification 2 2 10 2 2 2 3 2 2 2" xfId="37852"/>
    <cellStyle name="Vérification 2 2 10 2 2 2 3 2 3" xfId="15628"/>
    <cellStyle name="Vérification 2 2 10 2 2 2 3 2 4" xfId="31849"/>
    <cellStyle name="Vérification 2 2 10 2 2 2 3 3" xfId="23801"/>
    <cellStyle name="Vérification 2 2 10 2 2 2 3 3 2" xfId="35808"/>
    <cellStyle name="Vérification 2 2 10 2 2 2 3 4" xfId="13325"/>
    <cellStyle name="Vérification 2 2 10 2 2 2 3 5" xfId="29546"/>
    <cellStyle name="Vérification 2 2 10 2 2 2 4" xfId="7954"/>
    <cellStyle name="Vérification 2 2 10 2 2 2 4 2" xfId="24178"/>
    <cellStyle name="Vérification 2 2 10 2 2 2 4 2 2" xfId="36185"/>
    <cellStyle name="Vérification 2 2 10 2 2 2 4 3" xfId="13961"/>
    <cellStyle name="Vérification 2 2 10 2 2 2 4 4" xfId="30182"/>
    <cellStyle name="Vérification 2 2 10 2 2 2 5" xfId="19069"/>
    <cellStyle name="Vérification 2 2 10 2 2 2 5 2" xfId="33183"/>
    <cellStyle name="Vérification 2 2 10 2 2 2 6" xfId="11310"/>
    <cellStyle name="Vérification 2 2 10 2 2 2 7" xfId="27531"/>
    <cellStyle name="Vérification 2 2 10 2 2 3" xfId="5060"/>
    <cellStyle name="Vérification 2 2 10 2 2 3 2" xfId="7087"/>
    <cellStyle name="Vérification 2 2 10 2 2 3 2 2" xfId="9288"/>
    <cellStyle name="Vérification 2 2 10 2 2 3 2 2 2" xfId="25512"/>
    <cellStyle name="Vérification 2 2 10 2 2 3 2 2 2 2" xfId="37519"/>
    <cellStyle name="Vérification 2 2 10 2 2 3 2 2 3" xfId="15295"/>
    <cellStyle name="Vérification 2 2 10 2 2 3 2 2 4" xfId="31516"/>
    <cellStyle name="Vérification 2 2 10 2 2 3 2 3" xfId="23311"/>
    <cellStyle name="Vérification 2 2 10 2 2 3 2 3 2" xfId="35318"/>
    <cellStyle name="Vérification 2 2 10 2 2 3 2 4" xfId="12992"/>
    <cellStyle name="Vérification 2 2 10 2 2 3 2 5" xfId="29213"/>
    <cellStyle name="Vérification 2 2 10 2 2 3 3" xfId="3812"/>
    <cellStyle name="Vérification 2 2 10 2 2 3 3 2" xfId="20040"/>
    <cellStyle name="Vérification 2 2 10 2 2 3 3 2 2" xfId="34154"/>
    <cellStyle name="Vérification 2 2 10 2 2 3 3 3" xfId="12317"/>
    <cellStyle name="Vérification 2 2 10 2 2 3 3 4" xfId="28538"/>
    <cellStyle name="Vérification 2 2 10 2 2 3 4" xfId="21286"/>
    <cellStyle name="Vérification 2 2 10 2 2 3 4 2" xfId="34427"/>
    <cellStyle name="Vérification 2 2 10 2 2 3 5" xfId="10974"/>
    <cellStyle name="Vérification 2 2 10 2 2 3 6" xfId="27197"/>
    <cellStyle name="Vérification 2 2 10 2 2 4" xfId="3451"/>
    <cellStyle name="Vérification 2 2 10 2 2 4 2" xfId="8418"/>
    <cellStyle name="Vérification 2 2 10 2 2 4 2 2" xfId="24642"/>
    <cellStyle name="Vérification 2 2 10 2 2 4 2 2 2" xfId="36649"/>
    <cellStyle name="Vérification 2 2 10 2 2 4 2 3" xfId="14425"/>
    <cellStyle name="Vérification 2 2 10 2 2 4 2 4" xfId="30646"/>
    <cellStyle name="Vérification 2 2 10 2 2 4 3" xfId="9955"/>
    <cellStyle name="Vérification 2 2 10 2 2 4 3 2" xfId="26179"/>
    <cellStyle name="Vérification 2 2 10 2 2 4 3 2 2" xfId="38186"/>
    <cellStyle name="Vérification 2 2 10 2 2 4 3 3" xfId="15962"/>
    <cellStyle name="Vérification 2 2 10 2 2 4 3 4" xfId="32183"/>
    <cellStyle name="Vérification 2 2 10 2 2 4 4" xfId="19679"/>
    <cellStyle name="Vérification 2 2 10 2 2 4 4 2" xfId="33793"/>
    <cellStyle name="Vérification 2 2 10 2 2 4 5" xfId="11973"/>
    <cellStyle name="Vérification 2 2 10 2 2 4 6" xfId="28194"/>
    <cellStyle name="Vérification 2 2 10 2 2 5" xfId="3350"/>
    <cellStyle name="Vérification 2 2 10 2 2 5 2" xfId="8332"/>
    <cellStyle name="Vérification 2 2 10 2 2 5 2 2" xfId="24556"/>
    <cellStyle name="Vérification 2 2 10 2 2 5 2 2 2" xfId="36563"/>
    <cellStyle name="Vérification 2 2 10 2 2 5 2 3" xfId="14339"/>
    <cellStyle name="Vérification 2 2 10 2 2 5 2 4" xfId="30560"/>
    <cellStyle name="Vérification 2 2 10 2 2 5 3" xfId="19578"/>
    <cellStyle name="Vérification 2 2 10 2 2 5 3 2" xfId="33692"/>
    <cellStyle name="Vérification 2 2 10 2 2 5 4" xfId="11887"/>
    <cellStyle name="Vérification 2 2 10 2 2 5 5" xfId="28108"/>
    <cellStyle name="Vérification 2 2 10 2 2 6" xfId="6918"/>
    <cellStyle name="Vérification 2 2 10 2 2 6 2" xfId="23142"/>
    <cellStyle name="Vérification 2 2 10 2 2 6 2 2" xfId="35149"/>
    <cellStyle name="Vérification 2 2 10 2 2 6 3" xfId="13472"/>
    <cellStyle name="Vérification 2 2 10 2 2 6 4" xfId="29693"/>
    <cellStyle name="Vérification 2 2 10 2 2 7" xfId="17602"/>
    <cellStyle name="Vérification 2 2 10 2 2 7 2" xfId="32850"/>
    <cellStyle name="Vérification 2 2 10 2 2 8" xfId="10622"/>
    <cellStyle name="Vérification 2 2 10 2 2 9" xfId="26847"/>
    <cellStyle name="Vérification 2 2 10 2 3" xfId="1088"/>
    <cellStyle name="Vérification 2 2 10 2 3 2" xfId="2752"/>
    <cellStyle name="Vérification 2 2 10 2 3 2 2" xfId="6440"/>
    <cellStyle name="Vérification 2 2 10 2 3 2 2 2" xfId="8821"/>
    <cellStyle name="Vérification 2 2 10 2 3 2 2 2 2" xfId="25045"/>
    <cellStyle name="Vérification 2 2 10 2 3 2 2 2 2 2" xfId="37052"/>
    <cellStyle name="Vérification 2 2 10 2 3 2 2 2 3" xfId="14828"/>
    <cellStyle name="Vérification 2 2 10 2 3 2 2 2 4" xfId="31049"/>
    <cellStyle name="Vérification 2 2 10 2 3 2 2 3" xfId="10199"/>
    <cellStyle name="Vérification 2 2 10 2 3 2 2 3 2" xfId="26423"/>
    <cellStyle name="Vérification 2 2 10 2 3 2 2 3 2 2" xfId="38430"/>
    <cellStyle name="Vérification 2 2 10 2 3 2 2 3 3" xfId="16206"/>
    <cellStyle name="Vérification 2 2 10 2 3 2 2 3 4" xfId="32427"/>
    <cellStyle name="Vérification 2 2 10 2 3 2 2 4" xfId="22664"/>
    <cellStyle name="Vérification 2 2 10 2 3 2 2 4 2" xfId="34671"/>
    <cellStyle name="Vérification 2 2 10 2 3 2 2 5" xfId="12525"/>
    <cellStyle name="Vérification 2 2 10 2 3 2 2 6" xfId="28746"/>
    <cellStyle name="Vérification 2 2 10 2 3 2 3" xfId="7488"/>
    <cellStyle name="Vérification 2 2 10 2 3 2 3 2" xfId="9532"/>
    <cellStyle name="Vérification 2 2 10 2 3 2 3 2 2" xfId="25756"/>
    <cellStyle name="Vérification 2 2 10 2 3 2 3 2 2 2" xfId="37763"/>
    <cellStyle name="Vérification 2 2 10 2 3 2 3 2 3" xfId="15539"/>
    <cellStyle name="Vérification 2 2 10 2 3 2 3 2 4" xfId="31760"/>
    <cellStyle name="Vérification 2 2 10 2 3 2 3 3" xfId="23712"/>
    <cellStyle name="Vérification 2 2 10 2 3 2 3 3 2" xfId="35719"/>
    <cellStyle name="Vérification 2 2 10 2 3 2 3 4" xfId="13236"/>
    <cellStyle name="Vérification 2 2 10 2 3 2 3 5" xfId="29457"/>
    <cellStyle name="Vérification 2 2 10 2 3 2 4" xfId="7865"/>
    <cellStyle name="Vérification 2 2 10 2 3 2 4 2" xfId="24089"/>
    <cellStyle name="Vérification 2 2 10 2 3 2 4 2 2" xfId="36096"/>
    <cellStyle name="Vérification 2 2 10 2 3 2 4 3" xfId="13872"/>
    <cellStyle name="Vérification 2 2 10 2 3 2 4 4" xfId="30093"/>
    <cellStyle name="Vérification 2 2 10 2 3 2 5" xfId="18980"/>
    <cellStyle name="Vérification 2 2 10 2 3 2 5 2" xfId="33094"/>
    <cellStyle name="Vérification 2 2 10 2 3 2 6" xfId="11221"/>
    <cellStyle name="Vérification 2 2 10 2 3 2 7" xfId="27442"/>
    <cellStyle name="Vérification 2 2 10 2 3 3" xfId="4785"/>
    <cellStyle name="Vérification 2 2 10 2 3 3 2" xfId="6976"/>
    <cellStyle name="Vérification 2 2 10 2 3 3 2 2" xfId="9199"/>
    <cellStyle name="Vérification 2 2 10 2 3 3 2 2 2" xfId="25423"/>
    <cellStyle name="Vérification 2 2 10 2 3 3 2 2 2 2" xfId="37430"/>
    <cellStyle name="Vérification 2 2 10 2 3 3 2 2 3" xfId="15206"/>
    <cellStyle name="Vérification 2 2 10 2 3 3 2 2 4" xfId="31427"/>
    <cellStyle name="Vérification 2 2 10 2 3 3 2 3" xfId="23200"/>
    <cellStyle name="Vérification 2 2 10 2 3 3 2 3 2" xfId="35207"/>
    <cellStyle name="Vérification 2 2 10 2 3 3 2 4" xfId="12903"/>
    <cellStyle name="Vérification 2 2 10 2 3 3 2 5" xfId="29124"/>
    <cellStyle name="Vérification 2 2 10 2 3 3 3" xfId="6768"/>
    <cellStyle name="Vérification 2 2 10 2 3 3 3 2" xfId="22992"/>
    <cellStyle name="Vérification 2 2 10 2 3 3 3 2 2" xfId="34999"/>
    <cellStyle name="Vérification 2 2 10 2 3 3 3 3" xfId="13492"/>
    <cellStyle name="Vérification 2 2 10 2 3 3 3 4" xfId="29713"/>
    <cellStyle name="Vérification 2 2 10 2 3 3 4" xfId="21011"/>
    <cellStyle name="Vérification 2 2 10 2 3 3 4 2" xfId="34338"/>
    <cellStyle name="Vérification 2 2 10 2 3 3 5" xfId="10885"/>
    <cellStyle name="Vérification 2 2 10 2 3 3 6" xfId="27108"/>
    <cellStyle name="Vérification 2 2 10 2 3 4" xfId="3316"/>
    <cellStyle name="Vérification 2 2 10 2 3 4 2" xfId="8301"/>
    <cellStyle name="Vérification 2 2 10 2 3 4 2 2" xfId="24525"/>
    <cellStyle name="Vérification 2 2 10 2 3 4 2 2 2" xfId="36532"/>
    <cellStyle name="Vérification 2 2 10 2 3 4 2 3" xfId="14308"/>
    <cellStyle name="Vérification 2 2 10 2 3 4 2 4" xfId="30529"/>
    <cellStyle name="Vérification 2 2 10 2 3 4 3" xfId="9866"/>
    <cellStyle name="Vérification 2 2 10 2 3 4 3 2" xfId="26090"/>
    <cellStyle name="Vérification 2 2 10 2 3 4 3 2 2" xfId="38097"/>
    <cellStyle name="Vérification 2 2 10 2 3 4 3 3" xfId="15873"/>
    <cellStyle name="Vérification 2 2 10 2 3 4 3 4" xfId="32094"/>
    <cellStyle name="Vérification 2 2 10 2 3 4 4" xfId="19544"/>
    <cellStyle name="Vérification 2 2 10 2 3 4 4 2" xfId="33658"/>
    <cellStyle name="Vérification 2 2 10 2 3 4 5" xfId="11856"/>
    <cellStyle name="Vérification 2 2 10 2 3 4 6" xfId="28077"/>
    <cellStyle name="Vérification 2 2 10 2 3 5" xfId="3735"/>
    <cellStyle name="Vérification 2 2 10 2 3 5 2" xfId="8608"/>
    <cellStyle name="Vérification 2 2 10 2 3 5 2 2" xfId="24832"/>
    <cellStyle name="Vérification 2 2 10 2 3 5 2 2 2" xfId="36839"/>
    <cellStyle name="Vérification 2 2 10 2 3 5 2 3" xfId="14615"/>
    <cellStyle name="Vérification 2 2 10 2 3 5 2 4" xfId="30836"/>
    <cellStyle name="Vérification 2 2 10 2 3 5 3" xfId="19963"/>
    <cellStyle name="Vérification 2 2 10 2 3 5 3 2" xfId="34077"/>
    <cellStyle name="Vérification 2 2 10 2 3 5 4" xfId="12163"/>
    <cellStyle name="Vérification 2 2 10 2 3 5 5" xfId="28384"/>
    <cellStyle name="Vérification 2 2 10 2 3 6" xfId="3646"/>
    <cellStyle name="Vérification 2 2 10 2 3 6 2" xfId="19874"/>
    <cellStyle name="Vérification 2 2 10 2 3 6 2 2" xfId="33988"/>
    <cellStyle name="Vérification 2 2 10 2 3 6 3" xfId="13464"/>
    <cellStyle name="Vérification 2 2 10 2 3 6 4" xfId="29685"/>
    <cellStyle name="Vérification 2 2 10 2 3 7" xfId="17327"/>
    <cellStyle name="Vérification 2 2 10 2 3 7 2" xfId="32761"/>
    <cellStyle name="Vérification 2 2 10 2 3 8" xfId="10533"/>
    <cellStyle name="Vérification 2 2 10 2 3 9" xfId="26758"/>
    <cellStyle name="Vérification 2 2 10 2 4" xfId="2663"/>
    <cellStyle name="Vérification 2 2 10 2 4 2" xfId="6351"/>
    <cellStyle name="Vérification 2 2 10 2 4 2 2" xfId="8732"/>
    <cellStyle name="Vérification 2 2 10 2 4 2 2 2" xfId="24956"/>
    <cellStyle name="Vérification 2 2 10 2 4 2 2 2 2" xfId="36963"/>
    <cellStyle name="Vérification 2 2 10 2 4 2 2 3" xfId="14739"/>
    <cellStyle name="Vérification 2 2 10 2 4 2 2 4" xfId="30960"/>
    <cellStyle name="Vérification 2 2 10 2 4 2 3" xfId="10110"/>
    <cellStyle name="Vérification 2 2 10 2 4 2 3 2" xfId="26334"/>
    <cellStyle name="Vérification 2 2 10 2 4 2 3 2 2" xfId="38341"/>
    <cellStyle name="Vérification 2 2 10 2 4 2 3 3" xfId="16117"/>
    <cellStyle name="Vérification 2 2 10 2 4 2 3 4" xfId="32338"/>
    <cellStyle name="Vérification 2 2 10 2 4 2 4" xfId="22575"/>
    <cellStyle name="Vérification 2 2 10 2 4 2 4 2" xfId="34582"/>
    <cellStyle name="Vérification 2 2 10 2 4 2 5" xfId="12436"/>
    <cellStyle name="Vérification 2 2 10 2 4 2 6" xfId="28657"/>
    <cellStyle name="Vérification 2 2 10 2 4 3" xfId="7399"/>
    <cellStyle name="Vérification 2 2 10 2 4 3 2" xfId="9443"/>
    <cellStyle name="Vérification 2 2 10 2 4 3 2 2" xfId="25667"/>
    <cellStyle name="Vérification 2 2 10 2 4 3 2 2 2" xfId="37674"/>
    <cellStyle name="Vérification 2 2 10 2 4 3 2 3" xfId="15450"/>
    <cellStyle name="Vérification 2 2 10 2 4 3 2 4" xfId="31671"/>
    <cellStyle name="Vérification 2 2 10 2 4 3 3" xfId="23623"/>
    <cellStyle name="Vérification 2 2 10 2 4 3 3 2" xfId="35630"/>
    <cellStyle name="Vérification 2 2 10 2 4 3 4" xfId="13147"/>
    <cellStyle name="Vérification 2 2 10 2 4 3 5" xfId="29368"/>
    <cellStyle name="Vérification 2 2 10 2 4 4" xfId="7776"/>
    <cellStyle name="Vérification 2 2 10 2 4 4 2" xfId="24000"/>
    <cellStyle name="Vérification 2 2 10 2 4 4 2 2" xfId="36007"/>
    <cellStyle name="Vérification 2 2 10 2 4 4 3" xfId="13783"/>
    <cellStyle name="Vérification 2 2 10 2 4 4 4" xfId="30004"/>
    <cellStyle name="Vérification 2 2 10 2 4 5" xfId="18891"/>
    <cellStyle name="Vérification 2 2 10 2 4 5 2" xfId="33005"/>
    <cellStyle name="Vérification 2 2 10 2 4 6" xfId="11132"/>
    <cellStyle name="Vérification 2 2 10 2 4 7" xfId="27353"/>
    <cellStyle name="Vérification 2 2 10 2 5" xfId="4210"/>
    <cellStyle name="Vérification 2 2 10 2 5 2" xfId="6813"/>
    <cellStyle name="Vérification 2 2 10 2 5 2 2" xfId="9110"/>
    <cellStyle name="Vérification 2 2 10 2 5 2 2 2" xfId="25334"/>
    <cellStyle name="Vérification 2 2 10 2 5 2 2 2 2" xfId="37341"/>
    <cellStyle name="Vérification 2 2 10 2 5 2 2 3" xfId="15117"/>
    <cellStyle name="Vérification 2 2 10 2 5 2 2 4" xfId="31338"/>
    <cellStyle name="Vérification 2 2 10 2 5 2 3" xfId="23037"/>
    <cellStyle name="Vérification 2 2 10 2 5 2 3 2" xfId="35044"/>
    <cellStyle name="Vérification 2 2 10 2 5 2 4" xfId="12814"/>
    <cellStyle name="Vérification 2 2 10 2 5 2 5" xfId="29035"/>
    <cellStyle name="Vérification 2 2 10 2 5 3" xfId="6641"/>
    <cellStyle name="Vérification 2 2 10 2 5 3 2" xfId="22865"/>
    <cellStyle name="Vérification 2 2 10 2 5 3 2 2" xfId="34872"/>
    <cellStyle name="Vérification 2 2 10 2 5 3 3" xfId="11552"/>
    <cellStyle name="Vérification 2 2 10 2 5 3 4" xfId="27773"/>
    <cellStyle name="Vérification 2 2 10 2 5 4" xfId="20436"/>
    <cellStyle name="Vérification 2 2 10 2 5 4 2" xfId="34249"/>
    <cellStyle name="Vérification 2 2 10 2 5 5" xfId="10789"/>
    <cellStyle name="Vérification 2 2 10 2 5 6" xfId="27012"/>
    <cellStyle name="Vérification 2 2 10 2 6" xfId="3097"/>
    <cellStyle name="Vérification 2 2 10 2 6 2" xfId="8150"/>
    <cellStyle name="Vérification 2 2 10 2 6 2 2" xfId="24374"/>
    <cellStyle name="Vérification 2 2 10 2 6 2 2 2" xfId="36381"/>
    <cellStyle name="Vérification 2 2 10 2 6 2 3" xfId="14157"/>
    <cellStyle name="Vérification 2 2 10 2 6 2 4" xfId="30378"/>
    <cellStyle name="Vérification 2 2 10 2 6 3" xfId="9777"/>
    <cellStyle name="Vérification 2 2 10 2 6 3 2" xfId="26001"/>
    <cellStyle name="Vérification 2 2 10 2 6 3 2 2" xfId="38008"/>
    <cellStyle name="Vérification 2 2 10 2 6 3 3" xfId="15784"/>
    <cellStyle name="Vérification 2 2 10 2 6 3 4" xfId="32005"/>
    <cellStyle name="Vérification 2 2 10 2 6 4" xfId="19325"/>
    <cellStyle name="Vérification 2 2 10 2 6 4 2" xfId="33439"/>
    <cellStyle name="Vérification 2 2 10 2 6 5" xfId="11705"/>
    <cellStyle name="Vérification 2 2 10 2 6 6" xfId="27926"/>
    <cellStyle name="Vérification 2 2 10 2 7" xfId="3697"/>
    <cellStyle name="Vérification 2 2 10 2 7 2" xfId="8584"/>
    <cellStyle name="Vérification 2 2 10 2 7 2 2" xfId="24808"/>
    <cellStyle name="Vérification 2 2 10 2 7 2 2 2" xfId="36815"/>
    <cellStyle name="Vérification 2 2 10 2 7 2 3" xfId="14591"/>
    <cellStyle name="Vérification 2 2 10 2 7 2 4" xfId="30812"/>
    <cellStyle name="Vérification 2 2 10 2 7 3" xfId="19925"/>
    <cellStyle name="Vérification 2 2 10 2 7 3 2" xfId="34039"/>
    <cellStyle name="Vérification 2 2 10 2 7 4" xfId="12139"/>
    <cellStyle name="Vérification 2 2 10 2 7 5" xfId="28360"/>
    <cellStyle name="Vérification 2 2 10 2 8" xfId="6665"/>
    <cellStyle name="Vérification 2 2 10 2 8 2" xfId="22889"/>
    <cellStyle name="Vérification 2 2 10 2 8 2 2" xfId="34896"/>
    <cellStyle name="Vérification 2 2 10 2 8 3" xfId="11515"/>
    <cellStyle name="Vérification 2 2 10 2 8 4" xfId="27736"/>
    <cellStyle name="Vérification 2 2 10 2 9" xfId="16752"/>
    <cellStyle name="Vérification 2 2 10 2 9 2" xfId="32672"/>
    <cellStyle name="Vérification 2 2 10 3" xfId="518"/>
    <cellStyle name="Vérification 2 2 10 3 10" xfId="10465"/>
    <cellStyle name="Vérification 2 2 10 3 11" xfId="26690"/>
    <cellStyle name="Vérification 2 2 10 3 2" xfId="1384"/>
    <cellStyle name="Vérification 2 2 10 3 2 2" xfId="2862"/>
    <cellStyle name="Vérification 2 2 10 3 2 2 2" xfId="6550"/>
    <cellStyle name="Vérification 2 2 10 3 2 2 2 2" xfId="8931"/>
    <cellStyle name="Vérification 2 2 10 3 2 2 2 2 2" xfId="25155"/>
    <cellStyle name="Vérification 2 2 10 3 2 2 2 2 2 2" xfId="37162"/>
    <cellStyle name="Vérification 2 2 10 3 2 2 2 2 3" xfId="14938"/>
    <cellStyle name="Vérification 2 2 10 3 2 2 2 2 4" xfId="31159"/>
    <cellStyle name="Vérification 2 2 10 3 2 2 2 3" xfId="10309"/>
    <cellStyle name="Vérification 2 2 10 3 2 2 2 3 2" xfId="26533"/>
    <cellStyle name="Vérification 2 2 10 3 2 2 2 3 2 2" xfId="38540"/>
    <cellStyle name="Vérification 2 2 10 3 2 2 2 3 3" xfId="16316"/>
    <cellStyle name="Vérification 2 2 10 3 2 2 2 3 4" xfId="32537"/>
    <cellStyle name="Vérification 2 2 10 3 2 2 2 4" xfId="22774"/>
    <cellStyle name="Vérification 2 2 10 3 2 2 2 4 2" xfId="34781"/>
    <cellStyle name="Vérification 2 2 10 3 2 2 2 5" xfId="12635"/>
    <cellStyle name="Vérification 2 2 10 3 2 2 2 6" xfId="28856"/>
    <cellStyle name="Vérification 2 2 10 3 2 2 3" xfId="7598"/>
    <cellStyle name="Vérification 2 2 10 3 2 2 3 2" xfId="9642"/>
    <cellStyle name="Vérification 2 2 10 3 2 2 3 2 2" xfId="25866"/>
    <cellStyle name="Vérification 2 2 10 3 2 2 3 2 2 2" xfId="37873"/>
    <cellStyle name="Vérification 2 2 10 3 2 2 3 2 3" xfId="15649"/>
    <cellStyle name="Vérification 2 2 10 3 2 2 3 2 4" xfId="31870"/>
    <cellStyle name="Vérification 2 2 10 3 2 2 3 3" xfId="23822"/>
    <cellStyle name="Vérification 2 2 10 3 2 2 3 3 2" xfId="35829"/>
    <cellStyle name="Vérification 2 2 10 3 2 2 3 4" xfId="13346"/>
    <cellStyle name="Vérification 2 2 10 3 2 2 3 5" xfId="29567"/>
    <cellStyle name="Vérification 2 2 10 3 2 2 4" xfId="7975"/>
    <cellStyle name="Vérification 2 2 10 3 2 2 4 2" xfId="24199"/>
    <cellStyle name="Vérification 2 2 10 3 2 2 4 2 2" xfId="36206"/>
    <cellStyle name="Vérification 2 2 10 3 2 2 4 3" xfId="13982"/>
    <cellStyle name="Vérification 2 2 10 3 2 2 4 4" xfId="30203"/>
    <cellStyle name="Vérification 2 2 10 3 2 2 5" xfId="19090"/>
    <cellStyle name="Vérification 2 2 10 3 2 2 5 2" xfId="33204"/>
    <cellStyle name="Vérification 2 2 10 3 2 2 6" xfId="11331"/>
    <cellStyle name="Vérification 2 2 10 3 2 2 7" xfId="27552"/>
    <cellStyle name="Vérification 2 2 10 3 2 3" xfId="5081"/>
    <cellStyle name="Vérification 2 2 10 3 2 3 2" xfId="7108"/>
    <cellStyle name="Vérification 2 2 10 3 2 3 2 2" xfId="9309"/>
    <cellStyle name="Vérification 2 2 10 3 2 3 2 2 2" xfId="25533"/>
    <cellStyle name="Vérification 2 2 10 3 2 3 2 2 2 2" xfId="37540"/>
    <cellStyle name="Vérification 2 2 10 3 2 3 2 2 3" xfId="15316"/>
    <cellStyle name="Vérification 2 2 10 3 2 3 2 2 4" xfId="31537"/>
    <cellStyle name="Vérification 2 2 10 3 2 3 2 3" xfId="23332"/>
    <cellStyle name="Vérification 2 2 10 3 2 3 2 3 2" xfId="35339"/>
    <cellStyle name="Vérification 2 2 10 3 2 3 2 4" xfId="13013"/>
    <cellStyle name="Vérification 2 2 10 3 2 3 2 5" xfId="29234"/>
    <cellStyle name="Vérification 2 2 10 3 2 3 3" xfId="7233"/>
    <cellStyle name="Vérification 2 2 10 3 2 3 3 2" xfId="23457"/>
    <cellStyle name="Vérification 2 2 10 3 2 3 3 2 2" xfId="35464"/>
    <cellStyle name="Vérification 2 2 10 3 2 3 3 3" xfId="13617"/>
    <cellStyle name="Vérification 2 2 10 3 2 3 3 4" xfId="29838"/>
    <cellStyle name="Vérification 2 2 10 3 2 3 4" xfId="21307"/>
    <cellStyle name="Vérification 2 2 10 3 2 3 4 2" xfId="34448"/>
    <cellStyle name="Vérification 2 2 10 3 2 3 5" xfId="10995"/>
    <cellStyle name="Vérification 2 2 10 3 2 3 6" xfId="27218"/>
    <cellStyle name="Vérification 2 2 10 3 2 4" xfId="3472"/>
    <cellStyle name="Vérification 2 2 10 3 2 4 2" xfId="8439"/>
    <cellStyle name="Vérification 2 2 10 3 2 4 2 2" xfId="24663"/>
    <cellStyle name="Vérification 2 2 10 3 2 4 2 2 2" xfId="36670"/>
    <cellStyle name="Vérification 2 2 10 3 2 4 2 3" xfId="14446"/>
    <cellStyle name="Vérification 2 2 10 3 2 4 2 4" xfId="30667"/>
    <cellStyle name="Vérification 2 2 10 3 2 4 3" xfId="9976"/>
    <cellStyle name="Vérification 2 2 10 3 2 4 3 2" xfId="26200"/>
    <cellStyle name="Vérification 2 2 10 3 2 4 3 2 2" xfId="38207"/>
    <cellStyle name="Vérification 2 2 10 3 2 4 3 3" xfId="15983"/>
    <cellStyle name="Vérification 2 2 10 3 2 4 3 4" xfId="32204"/>
    <cellStyle name="Vérification 2 2 10 3 2 4 4" xfId="19700"/>
    <cellStyle name="Vérification 2 2 10 3 2 4 4 2" xfId="33814"/>
    <cellStyle name="Vérification 2 2 10 3 2 4 5" xfId="11994"/>
    <cellStyle name="Vérification 2 2 10 3 2 4 6" xfId="28215"/>
    <cellStyle name="Vérification 2 2 10 3 2 5" xfId="3670"/>
    <cellStyle name="Vérification 2 2 10 3 2 5 2" xfId="8566"/>
    <cellStyle name="Vérification 2 2 10 3 2 5 2 2" xfId="24790"/>
    <cellStyle name="Vérification 2 2 10 3 2 5 2 2 2" xfId="36797"/>
    <cellStyle name="Vérification 2 2 10 3 2 5 2 3" xfId="14573"/>
    <cellStyle name="Vérification 2 2 10 3 2 5 2 4" xfId="30794"/>
    <cellStyle name="Vérification 2 2 10 3 2 5 3" xfId="19898"/>
    <cellStyle name="Vérification 2 2 10 3 2 5 3 2" xfId="34012"/>
    <cellStyle name="Vérification 2 2 10 3 2 5 4" xfId="12121"/>
    <cellStyle name="Vérification 2 2 10 3 2 5 5" xfId="28342"/>
    <cellStyle name="Vérification 2 2 10 3 2 6" xfId="6728"/>
    <cellStyle name="Vérification 2 2 10 3 2 6 2" xfId="22952"/>
    <cellStyle name="Vérification 2 2 10 3 2 6 2 2" xfId="34959"/>
    <cellStyle name="Vérification 2 2 10 3 2 6 3" xfId="12337"/>
    <cellStyle name="Vérification 2 2 10 3 2 6 4" xfId="28558"/>
    <cellStyle name="Vérification 2 2 10 3 2 7" xfId="17623"/>
    <cellStyle name="Vérification 2 2 10 3 2 7 2" xfId="32871"/>
    <cellStyle name="Vérification 2 2 10 3 2 8" xfId="10643"/>
    <cellStyle name="Vérification 2 2 10 3 2 9" xfId="26868"/>
    <cellStyle name="Vérification 2 2 10 3 3" xfId="1133"/>
    <cellStyle name="Vérification 2 2 10 3 3 2" xfId="2773"/>
    <cellStyle name="Vérification 2 2 10 3 3 2 2" xfId="6461"/>
    <cellStyle name="Vérification 2 2 10 3 3 2 2 2" xfId="8842"/>
    <cellStyle name="Vérification 2 2 10 3 3 2 2 2 2" xfId="25066"/>
    <cellStyle name="Vérification 2 2 10 3 3 2 2 2 2 2" xfId="37073"/>
    <cellStyle name="Vérification 2 2 10 3 3 2 2 2 3" xfId="14849"/>
    <cellStyle name="Vérification 2 2 10 3 3 2 2 2 4" xfId="31070"/>
    <cellStyle name="Vérification 2 2 10 3 3 2 2 3" xfId="10220"/>
    <cellStyle name="Vérification 2 2 10 3 3 2 2 3 2" xfId="26444"/>
    <cellStyle name="Vérification 2 2 10 3 3 2 2 3 2 2" xfId="38451"/>
    <cellStyle name="Vérification 2 2 10 3 3 2 2 3 3" xfId="16227"/>
    <cellStyle name="Vérification 2 2 10 3 3 2 2 3 4" xfId="32448"/>
    <cellStyle name="Vérification 2 2 10 3 3 2 2 4" xfId="22685"/>
    <cellStyle name="Vérification 2 2 10 3 3 2 2 4 2" xfId="34692"/>
    <cellStyle name="Vérification 2 2 10 3 3 2 2 5" xfId="12546"/>
    <cellStyle name="Vérification 2 2 10 3 3 2 2 6" xfId="28767"/>
    <cellStyle name="Vérification 2 2 10 3 3 2 3" xfId="7509"/>
    <cellStyle name="Vérification 2 2 10 3 3 2 3 2" xfId="9553"/>
    <cellStyle name="Vérification 2 2 10 3 3 2 3 2 2" xfId="25777"/>
    <cellStyle name="Vérification 2 2 10 3 3 2 3 2 2 2" xfId="37784"/>
    <cellStyle name="Vérification 2 2 10 3 3 2 3 2 3" xfId="15560"/>
    <cellStyle name="Vérification 2 2 10 3 3 2 3 2 4" xfId="31781"/>
    <cellStyle name="Vérification 2 2 10 3 3 2 3 3" xfId="23733"/>
    <cellStyle name="Vérification 2 2 10 3 3 2 3 3 2" xfId="35740"/>
    <cellStyle name="Vérification 2 2 10 3 3 2 3 4" xfId="13257"/>
    <cellStyle name="Vérification 2 2 10 3 3 2 3 5" xfId="29478"/>
    <cellStyle name="Vérification 2 2 10 3 3 2 4" xfId="7886"/>
    <cellStyle name="Vérification 2 2 10 3 3 2 4 2" xfId="24110"/>
    <cellStyle name="Vérification 2 2 10 3 3 2 4 2 2" xfId="36117"/>
    <cellStyle name="Vérification 2 2 10 3 3 2 4 3" xfId="13893"/>
    <cellStyle name="Vérification 2 2 10 3 3 2 4 4" xfId="30114"/>
    <cellStyle name="Vérification 2 2 10 3 3 2 5" xfId="19001"/>
    <cellStyle name="Vérification 2 2 10 3 3 2 5 2" xfId="33115"/>
    <cellStyle name="Vérification 2 2 10 3 3 2 6" xfId="11242"/>
    <cellStyle name="Vérification 2 2 10 3 3 2 7" xfId="27463"/>
    <cellStyle name="Vérification 2 2 10 3 3 3" xfId="4830"/>
    <cellStyle name="Vérification 2 2 10 3 3 3 2" xfId="7000"/>
    <cellStyle name="Vérification 2 2 10 3 3 3 2 2" xfId="9220"/>
    <cellStyle name="Vérification 2 2 10 3 3 3 2 2 2" xfId="25444"/>
    <cellStyle name="Vérification 2 2 10 3 3 3 2 2 2 2" xfId="37451"/>
    <cellStyle name="Vérification 2 2 10 3 3 3 2 2 3" xfId="15227"/>
    <cellStyle name="Vérification 2 2 10 3 3 3 2 2 4" xfId="31448"/>
    <cellStyle name="Vérification 2 2 10 3 3 3 2 3" xfId="23224"/>
    <cellStyle name="Vérification 2 2 10 3 3 3 2 3 2" xfId="35231"/>
    <cellStyle name="Vérification 2 2 10 3 3 3 2 4" xfId="12924"/>
    <cellStyle name="Vérification 2 2 10 3 3 3 2 5" xfId="29145"/>
    <cellStyle name="Vérification 2 2 10 3 3 3 3" xfId="6877"/>
    <cellStyle name="Vérification 2 2 10 3 3 3 3 2" xfId="23101"/>
    <cellStyle name="Vérification 2 2 10 3 3 3 3 2 2" xfId="35108"/>
    <cellStyle name="Vérification 2 2 10 3 3 3 3 3" xfId="13471"/>
    <cellStyle name="Vérification 2 2 10 3 3 3 3 4" xfId="29692"/>
    <cellStyle name="Vérification 2 2 10 3 3 3 4" xfId="21056"/>
    <cellStyle name="Vérification 2 2 10 3 3 3 4 2" xfId="34359"/>
    <cellStyle name="Vérification 2 2 10 3 3 3 5" xfId="10906"/>
    <cellStyle name="Vérification 2 2 10 3 3 3 6" xfId="27129"/>
    <cellStyle name="Vérification 2 2 10 3 3 4" xfId="3344"/>
    <cellStyle name="Vérification 2 2 10 3 3 4 2" xfId="8327"/>
    <cellStyle name="Vérification 2 2 10 3 3 4 2 2" xfId="24551"/>
    <cellStyle name="Vérification 2 2 10 3 3 4 2 2 2" xfId="36558"/>
    <cellStyle name="Vérification 2 2 10 3 3 4 2 3" xfId="14334"/>
    <cellStyle name="Vérification 2 2 10 3 3 4 2 4" xfId="30555"/>
    <cellStyle name="Vérification 2 2 10 3 3 4 3" xfId="9887"/>
    <cellStyle name="Vérification 2 2 10 3 3 4 3 2" xfId="26111"/>
    <cellStyle name="Vérification 2 2 10 3 3 4 3 2 2" xfId="38118"/>
    <cellStyle name="Vérification 2 2 10 3 3 4 3 3" xfId="15894"/>
    <cellStyle name="Vérification 2 2 10 3 3 4 3 4" xfId="32115"/>
    <cellStyle name="Vérification 2 2 10 3 3 4 4" xfId="19572"/>
    <cellStyle name="Vérification 2 2 10 3 3 4 4 2" xfId="33686"/>
    <cellStyle name="Vérification 2 2 10 3 3 4 5" xfId="11882"/>
    <cellStyle name="Vérification 2 2 10 3 3 4 6" xfId="28103"/>
    <cellStyle name="Vérification 2 2 10 3 3 5" xfId="3394"/>
    <cellStyle name="Vérification 2 2 10 3 3 5 2" xfId="8364"/>
    <cellStyle name="Vérification 2 2 10 3 3 5 2 2" xfId="24588"/>
    <cellStyle name="Vérification 2 2 10 3 3 5 2 2 2" xfId="36595"/>
    <cellStyle name="Vérification 2 2 10 3 3 5 2 3" xfId="14371"/>
    <cellStyle name="Vérification 2 2 10 3 3 5 2 4" xfId="30592"/>
    <cellStyle name="Vérification 2 2 10 3 3 5 3" xfId="19622"/>
    <cellStyle name="Vérification 2 2 10 3 3 5 3 2" xfId="33736"/>
    <cellStyle name="Vérification 2 2 10 3 3 5 4" xfId="11919"/>
    <cellStyle name="Vérification 2 2 10 3 3 5 5" xfId="28140"/>
    <cellStyle name="Vérification 2 2 10 3 3 6" xfId="6873"/>
    <cellStyle name="Vérification 2 2 10 3 3 6 2" xfId="23097"/>
    <cellStyle name="Vérification 2 2 10 3 3 6 2 2" xfId="35104"/>
    <cellStyle name="Vérification 2 2 10 3 3 6 3" xfId="12311"/>
    <cellStyle name="Vérification 2 2 10 3 3 6 4" xfId="28532"/>
    <cellStyle name="Vérification 2 2 10 3 3 7" xfId="17372"/>
    <cellStyle name="Vérification 2 2 10 3 3 7 2" xfId="32782"/>
    <cellStyle name="Vérification 2 2 10 3 3 8" xfId="10554"/>
    <cellStyle name="Vérification 2 2 10 3 3 9" xfId="26779"/>
    <cellStyle name="Vérification 2 2 10 3 4" xfId="2684"/>
    <cellStyle name="Vérification 2 2 10 3 4 2" xfId="6372"/>
    <cellStyle name="Vérification 2 2 10 3 4 2 2" xfId="8753"/>
    <cellStyle name="Vérification 2 2 10 3 4 2 2 2" xfId="24977"/>
    <cellStyle name="Vérification 2 2 10 3 4 2 2 2 2" xfId="36984"/>
    <cellStyle name="Vérification 2 2 10 3 4 2 2 3" xfId="14760"/>
    <cellStyle name="Vérification 2 2 10 3 4 2 2 4" xfId="30981"/>
    <cellStyle name="Vérification 2 2 10 3 4 2 3" xfId="10131"/>
    <cellStyle name="Vérification 2 2 10 3 4 2 3 2" xfId="26355"/>
    <cellStyle name="Vérification 2 2 10 3 4 2 3 2 2" xfId="38362"/>
    <cellStyle name="Vérification 2 2 10 3 4 2 3 3" xfId="16138"/>
    <cellStyle name="Vérification 2 2 10 3 4 2 3 4" xfId="32359"/>
    <cellStyle name="Vérification 2 2 10 3 4 2 4" xfId="22596"/>
    <cellStyle name="Vérification 2 2 10 3 4 2 4 2" xfId="34603"/>
    <cellStyle name="Vérification 2 2 10 3 4 2 5" xfId="12457"/>
    <cellStyle name="Vérification 2 2 10 3 4 2 6" xfId="28678"/>
    <cellStyle name="Vérification 2 2 10 3 4 3" xfId="7420"/>
    <cellStyle name="Vérification 2 2 10 3 4 3 2" xfId="9464"/>
    <cellStyle name="Vérification 2 2 10 3 4 3 2 2" xfId="25688"/>
    <cellStyle name="Vérification 2 2 10 3 4 3 2 2 2" xfId="37695"/>
    <cellStyle name="Vérification 2 2 10 3 4 3 2 3" xfId="15471"/>
    <cellStyle name="Vérification 2 2 10 3 4 3 2 4" xfId="31692"/>
    <cellStyle name="Vérification 2 2 10 3 4 3 3" xfId="23644"/>
    <cellStyle name="Vérification 2 2 10 3 4 3 3 2" xfId="35651"/>
    <cellStyle name="Vérification 2 2 10 3 4 3 4" xfId="13168"/>
    <cellStyle name="Vérification 2 2 10 3 4 3 5" xfId="29389"/>
    <cellStyle name="Vérification 2 2 10 3 4 4" xfId="7797"/>
    <cellStyle name="Vérification 2 2 10 3 4 4 2" xfId="24021"/>
    <cellStyle name="Vérification 2 2 10 3 4 4 2 2" xfId="36028"/>
    <cellStyle name="Vérification 2 2 10 3 4 4 3" xfId="13804"/>
    <cellStyle name="Vérification 2 2 10 3 4 4 4" xfId="30025"/>
    <cellStyle name="Vérification 2 2 10 3 4 5" xfId="18912"/>
    <cellStyle name="Vérification 2 2 10 3 4 5 2" xfId="33026"/>
    <cellStyle name="Vérification 2 2 10 3 4 6" xfId="11153"/>
    <cellStyle name="Vérification 2 2 10 3 4 7" xfId="27374"/>
    <cellStyle name="Vérification 2 2 10 3 5" xfId="4255"/>
    <cellStyle name="Vérification 2 2 10 3 5 2" xfId="6835"/>
    <cellStyle name="Vérification 2 2 10 3 5 2 2" xfId="9131"/>
    <cellStyle name="Vérification 2 2 10 3 5 2 2 2" xfId="25355"/>
    <cellStyle name="Vérification 2 2 10 3 5 2 2 2 2" xfId="37362"/>
    <cellStyle name="Vérification 2 2 10 3 5 2 2 3" xfId="15138"/>
    <cellStyle name="Vérification 2 2 10 3 5 2 2 4" xfId="31359"/>
    <cellStyle name="Vérification 2 2 10 3 5 2 3" xfId="23059"/>
    <cellStyle name="Vérification 2 2 10 3 5 2 3 2" xfId="35066"/>
    <cellStyle name="Vérification 2 2 10 3 5 2 4" xfId="12835"/>
    <cellStyle name="Vérification 2 2 10 3 5 2 5" xfId="29056"/>
    <cellStyle name="Vérification 2 2 10 3 5 3" xfId="7011"/>
    <cellStyle name="Vérification 2 2 10 3 5 3 2" xfId="23235"/>
    <cellStyle name="Vérification 2 2 10 3 5 3 2 2" xfId="35242"/>
    <cellStyle name="Vérification 2 2 10 3 5 3 3" xfId="13499"/>
    <cellStyle name="Vérification 2 2 10 3 5 3 4" xfId="29720"/>
    <cellStyle name="Vérification 2 2 10 3 5 4" xfId="20481"/>
    <cellStyle name="Vérification 2 2 10 3 5 4 2" xfId="34270"/>
    <cellStyle name="Vérification 2 2 10 3 5 5" xfId="10810"/>
    <cellStyle name="Vérification 2 2 10 3 5 6" xfId="27033"/>
    <cellStyle name="Vérification 2 2 10 3 6" xfId="3123"/>
    <cellStyle name="Vérification 2 2 10 3 6 2" xfId="8175"/>
    <cellStyle name="Vérification 2 2 10 3 6 2 2" xfId="24399"/>
    <cellStyle name="Vérification 2 2 10 3 6 2 2 2" xfId="36406"/>
    <cellStyle name="Vérification 2 2 10 3 6 2 3" xfId="14182"/>
    <cellStyle name="Vérification 2 2 10 3 6 2 4" xfId="30403"/>
    <cellStyle name="Vérification 2 2 10 3 6 3" xfId="9798"/>
    <cellStyle name="Vérification 2 2 10 3 6 3 2" xfId="26022"/>
    <cellStyle name="Vérification 2 2 10 3 6 3 2 2" xfId="38029"/>
    <cellStyle name="Vérification 2 2 10 3 6 3 3" xfId="15805"/>
    <cellStyle name="Vérification 2 2 10 3 6 3 4" xfId="32026"/>
    <cellStyle name="Vérification 2 2 10 3 6 4" xfId="19351"/>
    <cellStyle name="Vérification 2 2 10 3 6 4 2" xfId="33465"/>
    <cellStyle name="Vérification 2 2 10 3 6 5" xfId="11730"/>
    <cellStyle name="Vérification 2 2 10 3 6 6" xfId="27951"/>
    <cellStyle name="Vérification 2 2 10 3 7" xfId="3767"/>
    <cellStyle name="Vérification 2 2 10 3 7 2" xfId="8620"/>
    <cellStyle name="Vérification 2 2 10 3 7 2 2" xfId="24844"/>
    <cellStyle name="Vérification 2 2 10 3 7 2 2 2" xfId="36851"/>
    <cellStyle name="Vérification 2 2 10 3 7 2 3" xfId="14627"/>
    <cellStyle name="Vérification 2 2 10 3 7 2 4" xfId="30848"/>
    <cellStyle name="Vérification 2 2 10 3 7 3" xfId="19995"/>
    <cellStyle name="Vérification 2 2 10 3 7 3 2" xfId="34109"/>
    <cellStyle name="Vérification 2 2 10 3 7 4" xfId="12175"/>
    <cellStyle name="Vérification 2 2 10 3 7 5" xfId="28396"/>
    <cellStyle name="Vérification 2 2 10 3 8" xfId="6933"/>
    <cellStyle name="Vérification 2 2 10 3 8 2" xfId="23157"/>
    <cellStyle name="Vérification 2 2 10 3 8 2 2" xfId="35164"/>
    <cellStyle name="Vérification 2 2 10 3 8 3" xfId="12269"/>
    <cellStyle name="Vérification 2 2 10 3 8 4" xfId="28490"/>
    <cellStyle name="Vérification 2 2 10 3 9" xfId="16797"/>
    <cellStyle name="Vérification 2 2 10 3 9 2" xfId="32693"/>
    <cellStyle name="Vérification 2 2 10 4" xfId="715"/>
    <cellStyle name="Vérification 2 2 10 4 10" xfId="10488"/>
    <cellStyle name="Vérification 2 2 10 4 11" xfId="26713"/>
    <cellStyle name="Vérification 2 2 10 4 2" xfId="1407"/>
    <cellStyle name="Vérification 2 2 10 4 2 2" xfId="2885"/>
    <cellStyle name="Vérification 2 2 10 4 2 2 2" xfId="6573"/>
    <cellStyle name="Vérification 2 2 10 4 2 2 2 2" xfId="8954"/>
    <cellStyle name="Vérification 2 2 10 4 2 2 2 2 2" xfId="25178"/>
    <cellStyle name="Vérification 2 2 10 4 2 2 2 2 2 2" xfId="37185"/>
    <cellStyle name="Vérification 2 2 10 4 2 2 2 2 3" xfId="14961"/>
    <cellStyle name="Vérification 2 2 10 4 2 2 2 2 4" xfId="31182"/>
    <cellStyle name="Vérification 2 2 10 4 2 2 2 3" xfId="10332"/>
    <cellStyle name="Vérification 2 2 10 4 2 2 2 3 2" xfId="26556"/>
    <cellStyle name="Vérification 2 2 10 4 2 2 2 3 2 2" xfId="38563"/>
    <cellStyle name="Vérification 2 2 10 4 2 2 2 3 3" xfId="16339"/>
    <cellStyle name="Vérification 2 2 10 4 2 2 2 3 4" xfId="32560"/>
    <cellStyle name="Vérification 2 2 10 4 2 2 2 4" xfId="22797"/>
    <cellStyle name="Vérification 2 2 10 4 2 2 2 4 2" xfId="34804"/>
    <cellStyle name="Vérification 2 2 10 4 2 2 2 5" xfId="12658"/>
    <cellStyle name="Vérification 2 2 10 4 2 2 2 6" xfId="28879"/>
    <cellStyle name="Vérification 2 2 10 4 2 2 3" xfId="7621"/>
    <cellStyle name="Vérification 2 2 10 4 2 2 3 2" xfId="9665"/>
    <cellStyle name="Vérification 2 2 10 4 2 2 3 2 2" xfId="25889"/>
    <cellStyle name="Vérification 2 2 10 4 2 2 3 2 2 2" xfId="37896"/>
    <cellStyle name="Vérification 2 2 10 4 2 2 3 2 3" xfId="15672"/>
    <cellStyle name="Vérification 2 2 10 4 2 2 3 2 4" xfId="31893"/>
    <cellStyle name="Vérification 2 2 10 4 2 2 3 3" xfId="23845"/>
    <cellStyle name="Vérification 2 2 10 4 2 2 3 3 2" xfId="35852"/>
    <cellStyle name="Vérification 2 2 10 4 2 2 3 4" xfId="13369"/>
    <cellStyle name="Vérification 2 2 10 4 2 2 3 5" xfId="29590"/>
    <cellStyle name="Vérification 2 2 10 4 2 2 4" xfId="7998"/>
    <cellStyle name="Vérification 2 2 10 4 2 2 4 2" xfId="24222"/>
    <cellStyle name="Vérification 2 2 10 4 2 2 4 2 2" xfId="36229"/>
    <cellStyle name="Vérification 2 2 10 4 2 2 4 3" xfId="14005"/>
    <cellStyle name="Vérification 2 2 10 4 2 2 4 4" xfId="30226"/>
    <cellStyle name="Vérification 2 2 10 4 2 2 5" xfId="19113"/>
    <cellStyle name="Vérification 2 2 10 4 2 2 5 2" xfId="33227"/>
    <cellStyle name="Vérification 2 2 10 4 2 2 6" xfId="11354"/>
    <cellStyle name="Vérification 2 2 10 4 2 2 7" xfId="27575"/>
    <cellStyle name="Vérification 2 2 10 4 2 3" xfId="5104"/>
    <cellStyle name="Vérification 2 2 10 4 2 3 2" xfId="7131"/>
    <cellStyle name="Vérification 2 2 10 4 2 3 2 2" xfId="9332"/>
    <cellStyle name="Vérification 2 2 10 4 2 3 2 2 2" xfId="25556"/>
    <cellStyle name="Vérification 2 2 10 4 2 3 2 2 2 2" xfId="37563"/>
    <cellStyle name="Vérification 2 2 10 4 2 3 2 2 3" xfId="15339"/>
    <cellStyle name="Vérification 2 2 10 4 2 3 2 2 4" xfId="31560"/>
    <cellStyle name="Vérification 2 2 10 4 2 3 2 3" xfId="23355"/>
    <cellStyle name="Vérification 2 2 10 4 2 3 2 3 2" xfId="35362"/>
    <cellStyle name="Vérification 2 2 10 4 2 3 2 4" xfId="13036"/>
    <cellStyle name="Vérification 2 2 10 4 2 3 2 5" xfId="29257"/>
    <cellStyle name="Vérification 2 2 10 4 2 3 3" xfId="7164"/>
    <cellStyle name="Vérification 2 2 10 4 2 3 3 2" xfId="23388"/>
    <cellStyle name="Vérification 2 2 10 4 2 3 3 2 2" xfId="35395"/>
    <cellStyle name="Vérification 2 2 10 4 2 3 3 3" xfId="13548"/>
    <cellStyle name="Vérification 2 2 10 4 2 3 3 4" xfId="29769"/>
    <cellStyle name="Vérification 2 2 10 4 2 3 4" xfId="21330"/>
    <cellStyle name="Vérification 2 2 10 4 2 3 4 2" xfId="34471"/>
    <cellStyle name="Vérification 2 2 10 4 2 3 5" xfId="11018"/>
    <cellStyle name="Vérification 2 2 10 4 2 3 6" xfId="27241"/>
    <cellStyle name="Vérification 2 2 10 4 2 4" xfId="3495"/>
    <cellStyle name="Vérification 2 2 10 4 2 4 2" xfId="8462"/>
    <cellStyle name="Vérification 2 2 10 4 2 4 2 2" xfId="24686"/>
    <cellStyle name="Vérification 2 2 10 4 2 4 2 2 2" xfId="36693"/>
    <cellStyle name="Vérification 2 2 10 4 2 4 2 3" xfId="14469"/>
    <cellStyle name="Vérification 2 2 10 4 2 4 2 4" xfId="30690"/>
    <cellStyle name="Vérification 2 2 10 4 2 4 3" xfId="9999"/>
    <cellStyle name="Vérification 2 2 10 4 2 4 3 2" xfId="26223"/>
    <cellStyle name="Vérification 2 2 10 4 2 4 3 2 2" xfId="38230"/>
    <cellStyle name="Vérification 2 2 10 4 2 4 3 3" xfId="16006"/>
    <cellStyle name="Vérification 2 2 10 4 2 4 3 4" xfId="32227"/>
    <cellStyle name="Vérification 2 2 10 4 2 4 4" xfId="19723"/>
    <cellStyle name="Vérification 2 2 10 4 2 4 4 2" xfId="33837"/>
    <cellStyle name="Vérification 2 2 10 4 2 4 5" xfId="12017"/>
    <cellStyle name="Vérification 2 2 10 4 2 4 6" xfId="28238"/>
    <cellStyle name="Vérification 2 2 10 4 2 5" xfId="3015"/>
    <cellStyle name="Vérification 2 2 10 4 2 5 2" xfId="8100"/>
    <cellStyle name="Vérification 2 2 10 4 2 5 2 2" xfId="24324"/>
    <cellStyle name="Vérification 2 2 10 4 2 5 2 2 2" xfId="36331"/>
    <cellStyle name="Vérification 2 2 10 4 2 5 2 3" xfId="14107"/>
    <cellStyle name="Vérification 2 2 10 4 2 5 2 4" xfId="30328"/>
    <cellStyle name="Vérification 2 2 10 4 2 5 3" xfId="19243"/>
    <cellStyle name="Vérification 2 2 10 4 2 5 3 2" xfId="33357"/>
    <cellStyle name="Vérification 2 2 10 4 2 5 4" xfId="11655"/>
    <cellStyle name="Vérification 2 2 10 4 2 5 5" xfId="27876"/>
    <cellStyle name="Vérification 2 2 10 4 2 6" xfId="3580"/>
    <cellStyle name="Vérification 2 2 10 4 2 6 2" xfId="19808"/>
    <cellStyle name="Vérification 2 2 10 4 2 6 2 2" xfId="33922"/>
    <cellStyle name="Vérification 2 2 10 4 2 6 3" xfId="11605"/>
    <cellStyle name="Vérification 2 2 10 4 2 6 4" xfId="27826"/>
    <cellStyle name="Vérification 2 2 10 4 2 7" xfId="17646"/>
    <cellStyle name="Vérification 2 2 10 4 2 7 2" xfId="32894"/>
    <cellStyle name="Vérification 2 2 10 4 2 8" xfId="10666"/>
    <cellStyle name="Vérification 2 2 10 4 2 9" xfId="26891"/>
    <cellStyle name="Vérification 2 2 10 4 3" xfId="1294"/>
    <cellStyle name="Vérification 2 2 10 4 3 2" xfId="2796"/>
    <cellStyle name="Vérification 2 2 10 4 3 2 2" xfId="6484"/>
    <cellStyle name="Vérification 2 2 10 4 3 2 2 2" xfId="8865"/>
    <cellStyle name="Vérification 2 2 10 4 3 2 2 2 2" xfId="25089"/>
    <cellStyle name="Vérification 2 2 10 4 3 2 2 2 2 2" xfId="37096"/>
    <cellStyle name="Vérification 2 2 10 4 3 2 2 2 3" xfId="14872"/>
    <cellStyle name="Vérification 2 2 10 4 3 2 2 2 4" xfId="31093"/>
    <cellStyle name="Vérification 2 2 10 4 3 2 2 3" xfId="10243"/>
    <cellStyle name="Vérification 2 2 10 4 3 2 2 3 2" xfId="26467"/>
    <cellStyle name="Vérification 2 2 10 4 3 2 2 3 2 2" xfId="38474"/>
    <cellStyle name="Vérification 2 2 10 4 3 2 2 3 3" xfId="16250"/>
    <cellStyle name="Vérification 2 2 10 4 3 2 2 3 4" xfId="32471"/>
    <cellStyle name="Vérification 2 2 10 4 3 2 2 4" xfId="22708"/>
    <cellStyle name="Vérification 2 2 10 4 3 2 2 4 2" xfId="34715"/>
    <cellStyle name="Vérification 2 2 10 4 3 2 2 5" xfId="12569"/>
    <cellStyle name="Vérification 2 2 10 4 3 2 2 6" xfId="28790"/>
    <cellStyle name="Vérification 2 2 10 4 3 2 3" xfId="7532"/>
    <cellStyle name="Vérification 2 2 10 4 3 2 3 2" xfId="9576"/>
    <cellStyle name="Vérification 2 2 10 4 3 2 3 2 2" xfId="25800"/>
    <cellStyle name="Vérification 2 2 10 4 3 2 3 2 2 2" xfId="37807"/>
    <cellStyle name="Vérification 2 2 10 4 3 2 3 2 3" xfId="15583"/>
    <cellStyle name="Vérification 2 2 10 4 3 2 3 2 4" xfId="31804"/>
    <cellStyle name="Vérification 2 2 10 4 3 2 3 3" xfId="23756"/>
    <cellStyle name="Vérification 2 2 10 4 3 2 3 3 2" xfId="35763"/>
    <cellStyle name="Vérification 2 2 10 4 3 2 3 4" xfId="13280"/>
    <cellStyle name="Vérification 2 2 10 4 3 2 3 5" xfId="29501"/>
    <cellStyle name="Vérification 2 2 10 4 3 2 4" xfId="7909"/>
    <cellStyle name="Vérification 2 2 10 4 3 2 4 2" xfId="24133"/>
    <cellStyle name="Vérification 2 2 10 4 3 2 4 2 2" xfId="36140"/>
    <cellStyle name="Vérification 2 2 10 4 3 2 4 3" xfId="13916"/>
    <cellStyle name="Vérification 2 2 10 4 3 2 4 4" xfId="30137"/>
    <cellStyle name="Vérification 2 2 10 4 3 2 5" xfId="19024"/>
    <cellStyle name="Vérification 2 2 10 4 3 2 5 2" xfId="33138"/>
    <cellStyle name="Vérification 2 2 10 4 3 2 6" xfId="11265"/>
    <cellStyle name="Vérification 2 2 10 4 3 2 7" xfId="27486"/>
    <cellStyle name="Vérification 2 2 10 4 3 3" xfId="4991"/>
    <cellStyle name="Vérification 2 2 10 4 3 3 2" xfId="7039"/>
    <cellStyle name="Vérification 2 2 10 4 3 3 2 2" xfId="9243"/>
    <cellStyle name="Vérification 2 2 10 4 3 3 2 2 2" xfId="25467"/>
    <cellStyle name="Vérification 2 2 10 4 3 3 2 2 2 2" xfId="37474"/>
    <cellStyle name="Vérification 2 2 10 4 3 3 2 2 3" xfId="15250"/>
    <cellStyle name="Vérification 2 2 10 4 3 3 2 2 4" xfId="31471"/>
    <cellStyle name="Vérification 2 2 10 4 3 3 2 3" xfId="23263"/>
    <cellStyle name="Vérification 2 2 10 4 3 3 2 3 2" xfId="35270"/>
    <cellStyle name="Vérification 2 2 10 4 3 3 2 4" xfId="12947"/>
    <cellStyle name="Vérification 2 2 10 4 3 3 2 5" xfId="29168"/>
    <cellStyle name="Vérification 2 2 10 4 3 3 3" xfId="6980"/>
    <cellStyle name="Vérification 2 2 10 4 3 3 3 2" xfId="23204"/>
    <cellStyle name="Vérification 2 2 10 4 3 3 3 2 2" xfId="35211"/>
    <cellStyle name="Vérification 2 2 10 4 3 3 3 3" xfId="12282"/>
    <cellStyle name="Vérification 2 2 10 4 3 3 3 4" xfId="28503"/>
    <cellStyle name="Vérification 2 2 10 4 3 3 4" xfId="21217"/>
    <cellStyle name="Vérification 2 2 10 4 3 3 4 2" xfId="34382"/>
    <cellStyle name="Vérification 2 2 10 4 3 3 5" xfId="10929"/>
    <cellStyle name="Vérification 2 2 10 4 3 3 6" xfId="27152"/>
    <cellStyle name="Vérification 2 2 10 4 3 4" xfId="3401"/>
    <cellStyle name="Vérification 2 2 10 4 3 4 2" xfId="8370"/>
    <cellStyle name="Vérification 2 2 10 4 3 4 2 2" xfId="24594"/>
    <cellStyle name="Vérification 2 2 10 4 3 4 2 2 2" xfId="36601"/>
    <cellStyle name="Vérification 2 2 10 4 3 4 2 3" xfId="14377"/>
    <cellStyle name="Vérification 2 2 10 4 3 4 2 4" xfId="30598"/>
    <cellStyle name="Vérification 2 2 10 4 3 4 3" xfId="9910"/>
    <cellStyle name="Vérification 2 2 10 4 3 4 3 2" xfId="26134"/>
    <cellStyle name="Vérification 2 2 10 4 3 4 3 2 2" xfId="38141"/>
    <cellStyle name="Vérification 2 2 10 4 3 4 3 3" xfId="15917"/>
    <cellStyle name="Vérification 2 2 10 4 3 4 3 4" xfId="32138"/>
    <cellStyle name="Vérification 2 2 10 4 3 4 4" xfId="19629"/>
    <cellStyle name="Vérification 2 2 10 4 3 4 4 2" xfId="33743"/>
    <cellStyle name="Vérification 2 2 10 4 3 4 5" xfId="11925"/>
    <cellStyle name="Vérification 2 2 10 4 3 4 6" xfId="28146"/>
    <cellStyle name="Vérification 2 2 10 4 3 5" xfId="3251"/>
    <cellStyle name="Vérification 2 2 10 4 3 5 2" xfId="8255"/>
    <cellStyle name="Vérification 2 2 10 4 3 5 2 2" xfId="24479"/>
    <cellStyle name="Vérification 2 2 10 4 3 5 2 2 2" xfId="36486"/>
    <cellStyle name="Vérification 2 2 10 4 3 5 2 3" xfId="14262"/>
    <cellStyle name="Vérification 2 2 10 4 3 5 2 4" xfId="30483"/>
    <cellStyle name="Vérification 2 2 10 4 3 5 3" xfId="19479"/>
    <cellStyle name="Vérification 2 2 10 4 3 5 3 2" xfId="33593"/>
    <cellStyle name="Vérification 2 2 10 4 3 5 4" xfId="11810"/>
    <cellStyle name="Vérification 2 2 10 4 3 5 5" xfId="28031"/>
    <cellStyle name="Vérification 2 2 10 4 3 6" xfId="6652"/>
    <cellStyle name="Vérification 2 2 10 4 3 6 2" xfId="22876"/>
    <cellStyle name="Vérification 2 2 10 4 3 6 2 2" xfId="34883"/>
    <cellStyle name="Vérification 2 2 10 4 3 6 3" xfId="13502"/>
    <cellStyle name="Vérification 2 2 10 4 3 6 4" xfId="29723"/>
    <cellStyle name="Vérification 2 2 10 4 3 7" xfId="17533"/>
    <cellStyle name="Vérification 2 2 10 4 3 7 2" xfId="32805"/>
    <cellStyle name="Vérification 2 2 10 4 3 8" xfId="10577"/>
    <cellStyle name="Vérification 2 2 10 4 3 9" xfId="26802"/>
    <cellStyle name="Vérification 2 2 10 4 4" xfId="2707"/>
    <cellStyle name="Vérification 2 2 10 4 4 2" xfId="6395"/>
    <cellStyle name="Vérification 2 2 10 4 4 2 2" xfId="8776"/>
    <cellStyle name="Vérification 2 2 10 4 4 2 2 2" xfId="25000"/>
    <cellStyle name="Vérification 2 2 10 4 4 2 2 2 2" xfId="37007"/>
    <cellStyle name="Vérification 2 2 10 4 4 2 2 3" xfId="14783"/>
    <cellStyle name="Vérification 2 2 10 4 4 2 2 4" xfId="31004"/>
    <cellStyle name="Vérification 2 2 10 4 4 2 3" xfId="10154"/>
    <cellStyle name="Vérification 2 2 10 4 4 2 3 2" xfId="26378"/>
    <cellStyle name="Vérification 2 2 10 4 4 2 3 2 2" xfId="38385"/>
    <cellStyle name="Vérification 2 2 10 4 4 2 3 3" xfId="16161"/>
    <cellStyle name="Vérification 2 2 10 4 4 2 3 4" xfId="32382"/>
    <cellStyle name="Vérification 2 2 10 4 4 2 4" xfId="22619"/>
    <cellStyle name="Vérification 2 2 10 4 4 2 4 2" xfId="34626"/>
    <cellStyle name="Vérification 2 2 10 4 4 2 5" xfId="12480"/>
    <cellStyle name="Vérification 2 2 10 4 4 2 6" xfId="28701"/>
    <cellStyle name="Vérification 2 2 10 4 4 3" xfId="7443"/>
    <cellStyle name="Vérification 2 2 10 4 4 3 2" xfId="9487"/>
    <cellStyle name="Vérification 2 2 10 4 4 3 2 2" xfId="25711"/>
    <cellStyle name="Vérification 2 2 10 4 4 3 2 2 2" xfId="37718"/>
    <cellStyle name="Vérification 2 2 10 4 4 3 2 3" xfId="15494"/>
    <cellStyle name="Vérification 2 2 10 4 4 3 2 4" xfId="31715"/>
    <cellStyle name="Vérification 2 2 10 4 4 3 3" xfId="23667"/>
    <cellStyle name="Vérification 2 2 10 4 4 3 3 2" xfId="35674"/>
    <cellStyle name="Vérification 2 2 10 4 4 3 4" xfId="13191"/>
    <cellStyle name="Vérification 2 2 10 4 4 3 5" xfId="29412"/>
    <cellStyle name="Vérification 2 2 10 4 4 4" xfId="7820"/>
    <cellStyle name="Vérification 2 2 10 4 4 4 2" xfId="24044"/>
    <cellStyle name="Vérification 2 2 10 4 4 4 2 2" xfId="36051"/>
    <cellStyle name="Vérification 2 2 10 4 4 4 3" xfId="13827"/>
    <cellStyle name="Vérification 2 2 10 4 4 4 4" xfId="30048"/>
    <cellStyle name="Vérification 2 2 10 4 4 5" xfId="18935"/>
    <cellStyle name="Vérification 2 2 10 4 4 5 2" xfId="33049"/>
    <cellStyle name="Vérification 2 2 10 4 4 6" xfId="11176"/>
    <cellStyle name="Vérification 2 2 10 4 4 7" xfId="27397"/>
    <cellStyle name="Vérification 2 2 10 4 5" xfId="4416"/>
    <cellStyle name="Vérification 2 2 10 4 5 2" xfId="6884"/>
    <cellStyle name="Vérification 2 2 10 4 5 2 2" xfId="9154"/>
    <cellStyle name="Vérification 2 2 10 4 5 2 2 2" xfId="25378"/>
    <cellStyle name="Vérification 2 2 10 4 5 2 2 2 2" xfId="37385"/>
    <cellStyle name="Vérification 2 2 10 4 5 2 2 3" xfId="15161"/>
    <cellStyle name="Vérification 2 2 10 4 5 2 2 4" xfId="31382"/>
    <cellStyle name="Vérification 2 2 10 4 5 2 3" xfId="23108"/>
    <cellStyle name="Vérification 2 2 10 4 5 2 3 2" xfId="35115"/>
    <cellStyle name="Vérification 2 2 10 4 5 2 4" xfId="12858"/>
    <cellStyle name="Vérification 2 2 10 4 5 2 5" xfId="29079"/>
    <cellStyle name="Vérification 2 2 10 4 5 3" xfId="7247"/>
    <cellStyle name="Vérification 2 2 10 4 5 3 2" xfId="23471"/>
    <cellStyle name="Vérification 2 2 10 4 5 3 2 2" xfId="35478"/>
    <cellStyle name="Vérification 2 2 10 4 5 3 3" xfId="13631"/>
    <cellStyle name="Vérification 2 2 10 4 5 3 4" xfId="29852"/>
    <cellStyle name="Vérification 2 2 10 4 5 4" xfId="20642"/>
    <cellStyle name="Vérification 2 2 10 4 5 4 2" xfId="34293"/>
    <cellStyle name="Vérification 2 2 10 4 5 5" xfId="10839"/>
    <cellStyle name="Vérification 2 2 10 4 5 6" xfId="27062"/>
    <cellStyle name="Vérification 2 2 10 4 6" xfId="3191"/>
    <cellStyle name="Vérification 2 2 10 4 6 2" xfId="8213"/>
    <cellStyle name="Vérification 2 2 10 4 6 2 2" xfId="24437"/>
    <cellStyle name="Vérification 2 2 10 4 6 2 2 2" xfId="36444"/>
    <cellStyle name="Vérification 2 2 10 4 6 2 3" xfId="14220"/>
    <cellStyle name="Vérification 2 2 10 4 6 2 4" xfId="30441"/>
    <cellStyle name="Vérification 2 2 10 4 6 3" xfId="9821"/>
    <cellStyle name="Vérification 2 2 10 4 6 3 2" xfId="26045"/>
    <cellStyle name="Vérification 2 2 10 4 6 3 2 2" xfId="38052"/>
    <cellStyle name="Vérification 2 2 10 4 6 3 3" xfId="15828"/>
    <cellStyle name="Vérification 2 2 10 4 6 3 4" xfId="32049"/>
    <cellStyle name="Vérification 2 2 10 4 6 4" xfId="19419"/>
    <cellStyle name="Vérification 2 2 10 4 6 4 2" xfId="33533"/>
    <cellStyle name="Vérification 2 2 10 4 6 5" xfId="11768"/>
    <cellStyle name="Vérification 2 2 10 4 6 6" xfId="27989"/>
    <cellStyle name="Vérification 2 2 10 4 7" xfId="3702"/>
    <cellStyle name="Vérification 2 2 10 4 7 2" xfId="8589"/>
    <cellStyle name="Vérification 2 2 10 4 7 2 2" xfId="24813"/>
    <cellStyle name="Vérification 2 2 10 4 7 2 2 2" xfId="36820"/>
    <cellStyle name="Vérification 2 2 10 4 7 2 3" xfId="14596"/>
    <cellStyle name="Vérification 2 2 10 4 7 2 4" xfId="30817"/>
    <cellStyle name="Vérification 2 2 10 4 7 3" xfId="19930"/>
    <cellStyle name="Vérification 2 2 10 4 7 3 2" xfId="34044"/>
    <cellStyle name="Vérification 2 2 10 4 7 4" xfId="12144"/>
    <cellStyle name="Vérification 2 2 10 4 7 5" xfId="28365"/>
    <cellStyle name="Vérification 2 2 10 4 8" xfId="7333"/>
    <cellStyle name="Vérification 2 2 10 4 8 2" xfId="23557"/>
    <cellStyle name="Vérification 2 2 10 4 8 2 2" xfId="35564"/>
    <cellStyle name="Vérification 2 2 10 4 8 3" xfId="13694"/>
    <cellStyle name="Vérification 2 2 10 4 8 4" xfId="29915"/>
    <cellStyle name="Vérification 2 2 10 4 9" xfId="16958"/>
    <cellStyle name="Vérification 2 2 10 4 9 2" xfId="32716"/>
    <cellStyle name="Vérification 2 2 10 5" xfId="761"/>
    <cellStyle name="Vérification 2 2 10 5 10" xfId="26735"/>
    <cellStyle name="Vérification 2 2 10 5 2" xfId="1429"/>
    <cellStyle name="Vérification 2 2 10 5 2 2" xfId="2907"/>
    <cellStyle name="Vérification 2 2 10 5 2 2 2" xfId="6595"/>
    <cellStyle name="Vérification 2 2 10 5 2 2 2 2" xfId="8976"/>
    <cellStyle name="Vérification 2 2 10 5 2 2 2 2 2" xfId="25200"/>
    <cellStyle name="Vérification 2 2 10 5 2 2 2 2 2 2" xfId="37207"/>
    <cellStyle name="Vérification 2 2 10 5 2 2 2 2 3" xfId="14983"/>
    <cellStyle name="Vérification 2 2 10 5 2 2 2 2 4" xfId="31204"/>
    <cellStyle name="Vérification 2 2 10 5 2 2 2 3" xfId="10354"/>
    <cellStyle name="Vérification 2 2 10 5 2 2 2 3 2" xfId="26578"/>
    <cellStyle name="Vérification 2 2 10 5 2 2 2 3 2 2" xfId="38585"/>
    <cellStyle name="Vérification 2 2 10 5 2 2 2 3 3" xfId="16361"/>
    <cellStyle name="Vérification 2 2 10 5 2 2 2 3 4" xfId="32582"/>
    <cellStyle name="Vérification 2 2 10 5 2 2 2 4" xfId="22819"/>
    <cellStyle name="Vérification 2 2 10 5 2 2 2 4 2" xfId="34826"/>
    <cellStyle name="Vérification 2 2 10 5 2 2 2 5" xfId="12680"/>
    <cellStyle name="Vérification 2 2 10 5 2 2 2 6" xfId="28901"/>
    <cellStyle name="Vérification 2 2 10 5 2 2 3" xfId="7643"/>
    <cellStyle name="Vérification 2 2 10 5 2 2 3 2" xfId="9687"/>
    <cellStyle name="Vérification 2 2 10 5 2 2 3 2 2" xfId="25911"/>
    <cellStyle name="Vérification 2 2 10 5 2 2 3 2 2 2" xfId="37918"/>
    <cellStyle name="Vérification 2 2 10 5 2 2 3 2 3" xfId="15694"/>
    <cellStyle name="Vérification 2 2 10 5 2 2 3 2 4" xfId="31915"/>
    <cellStyle name="Vérification 2 2 10 5 2 2 3 3" xfId="23867"/>
    <cellStyle name="Vérification 2 2 10 5 2 2 3 3 2" xfId="35874"/>
    <cellStyle name="Vérification 2 2 10 5 2 2 3 4" xfId="13391"/>
    <cellStyle name="Vérification 2 2 10 5 2 2 3 5" xfId="29612"/>
    <cellStyle name="Vérification 2 2 10 5 2 2 4" xfId="8020"/>
    <cellStyle name="Vérification 2 2 10 5 2 2 4 2" xfId="24244"/>
    <cellStyle name="Vérification 2 2 10 5 2 2 4 2 2" xfId="36251"/>
    <cellStyle name="Vérification 2 2 10 5 2 2 4 3" xfId="14027"/>
    <cellStyle name="Vérification 2 2 10 5 2 2 4 4" xfId="30248"/>
    <cellStyle name="Vérification 2 2 10 5 2 2 5" xfId="19135"/>
    <cellStyle name="Vérification 2 2 10 5 2 2 5 2" xfId="33249"/>
    <cellStyle name="Vérification 2 2 10 5 2 2 6" xfId="11376"/>
    <cellStyle name="Vérification 2 2 10 5 2 2 7" xfId="27597"/>
    <cellStyle name="Vérification 2 2 10 5 2 3" xfId="5126"/>
    <cellStyle name="Vérification 2 2 10 5 2 3 2" xfId="7153"/>
    <cellStyle name="Vérification 2 2 10 5 2 3 2 2" xfId="9354"/>
    <cellStyle name="Vérification 2 2 10 5 2 3 2 2 2" xfId="25578"/>
    <cellStyle name="Vérification 2 2 10 5 2 3 2 2 2 2" xfId="37585"/>
    <cellStyle name="Vérification 2 2 10 5 2 3 2 2 3" xfId="15361"/>
    <cellStyle name="Vérification 2 2 10 5 2 3 2 2 4" xfId="31582"/>
    <cellStyle name="Vérification 2 2 10 5 2 3 2 3" xfId="23377"/>
    <cellStyle name="Vérification 2 2 10 5 2 3 2 3 2" xfId="35384"/>
    <cellStyle name="Vérification 2 2 10 5 2 3 2 4" xfId="13058"/>
    <cellStyle name="Vérification 2 2 10 5 2 3 2 5" xfId="29279"/>
    <cellStyle name="Vérification 2 2 10 5 2 3 3" xfId="7176"/>
    <cellStyle name="Vérification 2 2 10 5 2 3 3 2" xfId="23400"/>
    <cellStyle name="Vérification 2 2 10 5 2 3 3 2 2" xfId="35407"/>
    <cellStyle name="Vérification 2 2 10 5 2 3 3 3" xfId="13560"/>
    <cellStyle name="Vérification 2 2 10 5 2 3 3 4" xfId="29781"/>
    <cellStyle name="Vérification 2 2 10 5 2 3 4" xfId="21352"/>
    <cellStyle name="Vérification 2 2 10 5 2 3 4 2" xfId="34493"/>
    <cellStyle name="Vérification 2 2 10 5 2 3 5" xfId="11040"/>
    <cellStyle name="Vérification 2 2 10 5 2 3 6" xfId="27263"/>
    <cellStyle name="Vérification 2 2 10 5 2 4" xfId="3517"/>
    <cellStyle name="Vérification 2 2 10 5 2 4 2" xfId="8484"/>
    <cellStyle name="Vérification 2 2 10 5 2 4 2 2" xfId="24708"/>
    <cellStyle name="Vérification 2 2 10 5 2 4 2 2 2" xfId="36715"/>
    <cellStyle name="Vérification 2 2 10 5 2 4 2 3" xfId="14491"/>
    <cellStyle name="Vérification 2 2 10 5 2 4 2 4" xfId="30712"/>
    <cellStyle name="Vérification 2 2 10 5 2 4 3" xfId="10021"/>
    <cellStyle name="Vérification 2 2 10 5 2 4 3 2" xfId="26245"/>
    <cellStyle name="Vérification 2 2 10 5 2 4 3 2 2" xfId="38252"/>
    <cellStyle name="Vérification 2 2 10 5 2 4 3 3" xfId="16028"/>
    <cellStyle name="Vérification 2 2 10 5 2 4 3 4" xfId="32249"/>
    <cellStyle name="Vérification 2 2 10 5 2 4 4" xfId="19745"/>
    <cellStyle name="Vérification 2 2 10 5 2 4 4 2" xfId="33859"/>
    <cellStyle name="Vérification 2 2 10 5 2 4 5" xfId="12039"/>
    <cellStyle name="Vérification 2 2 10 5 2 4 6" xfId="28260"/>
    <cellStyle name="Vérification 2 2 10 5 2 5" xfId="3563"/>
    <cellStyle name="Vérification 2 2 10 5 2 5 2" xfId="8511"/>
    <cellStyle name="Vérification 2 2 10 5 2 5 2 2" xfId="24735"/>
    <cellStyle name="Vérification 2 2 10 5 2 5 2 2 2" xfId="36742"/>
    <cellStyle name="Vérification 2 2 10 5 2 5 2 3" xfId="14518"/>
    <cellStyle name="Vérification 2 2 10 5 2 5 2 4" xfId="30739"/>
    <cellStyle name="Vérification 2 2 10 5 2 5 3" xfId="19791"/>
    <cellStyle name="Vérification 2 2 10 5 2 5 3 2" xfId="33905"/>
    <cellStyle name="Vérification 2 2 10 5 2 5 4" xfId="12066"/>
    <cellStyle name="Vérification 2 2 10 5 2 5 5" xfId="28287"/>
    <cellStyle name="Vérification 2 2 10 5 2 6" xfId="6837"/>
    <cellStyle name="Vérification 2 2 10 5 2 6 2" xfId="23061"/>
    <cellStyle name="Vérification 2 2 10 5 2 6 2 2" xfId="35068"/>
    <cellStyle name="Vérification 2 2 10 5 2 6 3" xfId="11067"/>
    <cellStyle name="Vérification 2 2 10 5 2 6 4" xfId="27288"/>
    <cellStyle name="Vérification 2 2 10 5 2 7" xfId="17668"/>
    <cellStyle name="Vérification 2 2 10 5 2 7 2" xfId="32916"/>
    <cellStyle name="Vérification 2 2 10 5 2 8" xfId="10688"/>
    <cellStyle name="Vérification 2 2 10 5 2 9" xfId="26913"/>
    <cellStyle name="Vérification 2 2 10 5 3" xfId="2729"/>
    <cellStyle name="Vérification 2 2 10 5 3 2" xfId="6417"/>
    <cellStyle name="Vérification 2 2 10 5 3 2 2" xfId="8798"/>
    <cellStyle name="Vérification 2 2 10 5 3 2 2 2" xfId="25022"/>
    <cellStyle name="Vérification 2 2 10 5 3 2 2 2 2" xfId="37029"/>
    <cellStyle name="Vérification 2 2 10 5 3 2 2 3" xfId="14805"/>
    <cellStyle name="Vérification 2 2 10 5 3 2 2 4" xfId="31026"/>
    <cellStyle name="Vérification 2 2 10 5 3 2 3" xfId="10176"/>
    <cellStyle name="Vérification 2 2 10 5 3 2 3 2" xfId="26400"/>
    <cellStyle name="Vérification 2 2 10 5 3 2 3 2 2" xfId="38407"/>
    <cellStyle name="Vérification 2 2 10 5 3 2 3 3" xfId="16183"/>
    <cellStyle name="Vérification 2 2 10 5 3 2 3 4" xfId="32404"/>
    <cellStyle name="Vérification 2 2 10 5 3 2 4" xfId="22641"/>
    <cellStyle name="Vérification 2 2 10 5 3 2 4 2" xfId="34648"/>
    <cellStyle name="Vérification 2 2 10 5 3 2 5" xfId="12502"/>
    <cellStyle name="Vérification 2 2 10 5 3 2 6" xfId="28723"/>
    <cellStyle name="Vérification 2 2 10 5 3 3" xfId="7465"/>
    <cellStyle name="Vérification 2 2 10 5 3 3 2" xfId="9509"/>
    <cellStyle name="Vérification 2 2 10 5 3 3 2 2" xfId="25733"/>
    <cellStyle name="Vérification 2 2 10 5 3 3 2 2 2" xfId="37740"/>
    <cellStyle name="Vérification 2 2 10 5 3 3 2 3" xfId="15516"/>
    <cellStyle name="Vérification 2 2 10 5 3 3 2 4" xfId="31737"/>
    <cellStyle name="Vérification 2 2 10 5 3 3 3" xfId="23689"/>
    <cellStyle name="Vérification 2 2 10 5 3 3 3 2" xfId="35696"/>
    <cellStyle name="Vérification 2 2 10 5 3 3 4" xfId="13213"/>
    <cellStyle name="Vérification 2 2 10 5 3 3 5" xfId="29434"/>
    <cellStyle name="Vérification 2 2 10 5 3 4" xfId="7842"/>
    <cellStyle name="Vérification 2 2 10 5 3 4 2" xfId="24066"/>
    <cellStyle name="Vérification 2 2 10 5 3 4 2 2" xfId="36073"/>
    <cellStyle name="Vérification 2 2 10 5 3 4 3" xfId="13849"/>
    <cellStyle name="Vérification 2 2 10 5 3 4 4" xfId="30070"/>
    <cellStyle name="Vérification 2 2 10 5 3 5" xfId="18957"/>
    <cellStyle name="Vérification 2 2 10 5 3 5 2" xfId="33071"/>
    <cellStyle name="Vérification 2 2 10 5 3 6" xfId="11198"/>
    <cellStyle name="Vérification 2 2 10 5 3 7" xfId="27419"/>
    <cellStyle name="Vérification 2 2 10 5 4" xfId="4462"/>
    <cellStyle name="Vérification 2 2 10 5 4 2" xfId="6907"/>
    <cellStyle name="Vérification 2 2 10 5 4 2 2" xfId="9176"/>
    <cellStyle name="Vérification 2 2 10 5 4 2 2 2" xfId="25400"/>
    <cellStyle name="Vérification 2 2 10 5 4 2 2 2 2" xfId="37407"/>
    <cellStyle name="Vérification 2 2 10 5 4 2 2 3" xfId="15183"/>
    <cellStyle name="Vérification 2 2 10 5 4 2 2 4" xfId="31404"/>
    <cellStyle name="Vérification 2 2 10 5 4 2 3" xfId="23131"/>
    <cellStyle name="Vérification 2 2 10 5 4 2 3 2" xfId="35138"/>
    <cellStyle name="Vérification 2 2 10 5 4 2 4" xfId="12880"/>
    <cellStyle name="Vérification 2 2 10 5 4 2 5" xfId="29101"/>
    <cellStyle name="Vérification 2 2 10 5 4 3" xfId="3663"/>
    <cellStyle name="Vérification 2 2 10 5 4 3 2" xfId="19891"/>
    <cellStyle name="Vérification 2 2 10 5 4 3 2 2" xfId="34005"/>
    <cellStyle name="Vérification 2 2 10 5 4 3 3" xfId="11570"/>
    <cellStyle name="Vérification 2 2 10 5 4 3 4" xfId="27791"/>
    <cellStyle name="Vérification 2 2 10 5 4 4" xfId="20688"/>
    <cellStyle name="Vérification 2 2 10 5 4 4 2" xfId="34315"/>
    <cellStyle name="Vérification 2 2 10 5 4 5" xfId="10861"/>
    <cellStyle name="Vérification 2 2 10 5 4 6" xfId="27084"/>
    <cellStyle name="Vérification 2 2 10 5 5" xfId="3218"/>
    <cellStyle name="Vérification 2 2 10 5 5 2" xfId="8239"/>
    <cellStyle name="Vérification 2 2 10 5 5 2 2" xfId="24463"/>
    <cellStyle name="Vérification 2 2 10 5 5 2 2 2" xfId="36470"/>
    <cellStyle name="Vérification 2 2 10 5 5 2 3" xfId="14246"/>
    <cellStyle name="Vérification 2 2 10 5 5 2 4" xfId="30467"/>
    <cellStyle name="Vérification 2 2 10 5 5 3" xfId="9843"/>
    <cellStyle name="Vérification 2 2 10 5 5 3 2" xfId="26067"/>
    <cellStyle name="Vérification 2 2 10 5 5 3 2 2" xfId="38074"/>
    <cellStyle name="Vérification 2 2 10 5 5 3 3" xfId="15850"/>
    <cellStyle name="Vérification 2 2 10 5 5 3 4" xfId="32071"/>
    <cellStyle name="Vérification 2 2 10 5 5 4" xfId="19446"/>
    <cellStyle name="Vérification 2 2 10 5 5 4 2" xfId="33560"/>
    <cellStyle name="Vérification 2 2 10 5 5 5" xfId="11794"/>
    <cellStyle name="Vérification 2 2 10 5 5 6" xfId="28015"/>
    <cellStyle name="Vérification 2 2 10 5 6" xfId="3037"/>
    <cellStyle name="Vérification 2 2 10 5 6 2" xfId="8114"/>
    <cellStyle name="Vérification 2 2 10 5 6 2 2" xfId="24338"/>
    <cellStyle name="Vérification 2 2 10 5 6 2 2 2" xfId="36345"/>
    <cellStyle name="Vérification 2 2 10 5 6 2 3" xfId="14121"/>
    <cellStyle name="Vérification 2 2 10 5 6 2 4" xfId="30342"/>
    <cellStyle name="Vérification 2 2 10 5 6 3" xfId="19265"/>
    <cellStyle name="Vérification 2 2 10 5 6 3 2" xfId="33379"/>
    <cellStyle name="Vérification 2 2 10 5 6 4" xfId="11669"/>
    <cellStyle name="Vérification 2 2 10 5 6 5" xfId="27890"/>
    <cellStyle name="Vérification 2 2 10 5 7" xfId="3597"/>
    <cellStyle name="Vérification 2 2 10 5 7 2" xfId="19825"/>
    <cellStyle name="Vérification 2 2 10 5 7 2 2" xfId="33939"/>
    <cellStyle name="Vérification 2 2 10 5 7 3" xfId="11616"/>
    <cellStyle name="Vérification 2 2 10 5 7 4" xfId="27837"/>
    <cellStyle name="Vérification 2 2 10 5 8" xfId="17004"/>
    <cellStyle name="Vérification 2 2 10 5 8 2" xfId="32738"/>
    <cellStyle name="Vérification 2 2 10 5 9" xfId="10510"/>
    <cellStyle name="Vérification 2 2 10 6" xfId="1340"/>
    <cellStyle name="Vérification 2 2 10 6 2" xfId="2818"/>
    <cellStyle name="Vérification 2 2 10 6 2 2" xfId="6506"/>
    <cellStyle name="Vérification 2 2 10 6 2 2 2" xfId="8887"/>
    <cellStyle name="Vérification 2 2 10 6 2 2 2 2" xfId="25111"/>
    <cellStyle name="Vérification 2 2 10 6 2 2 2 2 2" xfId="37118"/>
    <cellStyle name="Vérification 2 2 10 6 2 2 2 3" xfId="14894"/>
    <cellStyle name="Vérification 2 2 10 6 2 2 2 4" xfId="31115"/>
    <cellStyle name="Vérification 2 2 10 6 2 2 3" xfId="10265"/>
    <cellStyle name="Vérification 2 2 10 6 2 2 3 2" xfId="26489"/>
    <cellStyle name="Vérification 2 2 10 6 2 2 3 2 2" xfId="38496"/>
    <cellStyle name="Vérification 2 2 10 6 2 2 3 3" xfId="16272"/>
    <cellStyle name="Vérification 2 2 10 6 2 2 3 4" xfId="32493"/>
    <cellStyle name="Vérification 2 2 10 6 2 2 4" xfId="22730"/>
    <cellStyle name="Vérification 2 2 10 6 2 2 4 2" xfId="34737"/>
    <cellStyle name="Vérification 2 2 10 6 2 2 5" xfId="12591"/>
    <cellStyle name="Vérification 2 2 10 6 2 2 6" xfId="28812"/>
    <cellStyle name="Vérification 2 2 10 6 2 3" xfId="7554"/>
    <cellStyle name="Vérification 2 2 10 6 2 3 2" xfId="9598"/>
    <cellStyle name="Vérification 2 2 10 6 2 3 2 2" xfId="25822"/>
    <cellStyle name="Vérification 2 2 10 6 2 3 2 2 2" xfId="37829"/>
    <cellStyle name="Vérification 2 2 10 6 2 3 2 3" xfId="15605"/>
    <cellStyle name="Vérification 2 2 10 6 2 3 2 4" xfId="31826"/>
    <cellStyle name="Vérification 2 2 10 6 2 3 3" xfId="23778"/>
    <cellStyle name="Vérification 2 2 10 6 2 3 3 2" xfId="35785"/>
    <cellStyle name="Vérification 2 2 10 6 2 3 4" xfId="13302"/>
    <cellStyle name="Vérification 2 2 10 6 2 3 5" xfId="29523"/>
    <cellStyle name="Vérification 2 2 10 6 2 4" xfId="7931"/>
    <cellStyle name="Vérification 2 2 10 6 2 4 2" xfId="24155"/>
    <cellStyle name="Vérification 2 2 10 6 2 4 2 2" xfId="36162"/>
    <cellStyle name="Vérification 2 2 10 6 2 4 3" xfId="13938"/>
    <cellStyle name="Vérification 2 2 10 6 2 4 4" xfId="30159"/>
    <cellStyle name="Vérification 2 2 10 6 2 5" xfId="19046"/>
    <cellStyle name="Vérification 2 2 10 6 2 5 2" xfId="33160"/>
    <cellStyle name="Vérification 2 2 10 6 2 6" xfId="11287"/>
    <cellStyle name="Vérification 2 2 10 6 2 7" xfId="27508"/>
    <cellStyle name="Vérification 2 2 10 6 3" xfId="5037"/>
    <cellStyle name="Vérification 2 2 10 6 3 2" xfId="7064"/>
    <cellStyle name="Vérification 2 2 10 6 3 2 2" xfId="9265"/>
    <cellStyle name="Vérification 2 2 10 6 3 2 2 2" xfId="25489"/>
    <cellStyle name="Vérification 2 2 10 6 3 2 2 2 2" xfId="37496"/>
    <cellStyle name="Vérification 2 2 10 6 3 2 2 3" xfId="15272"/>
    <cellStyle name="Vérification 2 2 10 6 3 2 2 4" xfId="31493"/>
    <cellStyle name="Vérification 2 2 10 6 3 2 3" xfId="23288"/>
    <cellStyle name="Vérification 2 2 10 6 3 2 3 2" xfId="35295"/>
    <cellStyle name="Vérification 2 2 10 6 3 2 4" xfId="12969"/>
    <cellStyle name="Vérification 2 2 10 6 3 2 5" xfId="29190"/>
    <cellStyle name="Vérification 2 2 10 6 3 3" xfId="6650"/>
    <cellStyle name="Vérification 2 2 10 6 3 3 2" xfId="22874"/>
    <cellStyle name="Vérification 2 2 10 6 3 3 2 2" xfId="34881"/>
    <cellStyle name="Vérification 2 2 10 6 3 3 3" xfId="12358"/>
    <cellStyle name="Vérification 2 2 10 6 3 3 4" xfId="28579"/>
    <cellStyle name="Vérification 2 2 10 6 3 4" xfId="21263"/>
    <cellStyle name="Vérification 2 2 10 6 3 4 2" xfId="34404"/>
    <cellStyle name="Vérification 2 2 10 6 3 5" xfId="10951"/>
    <cellStyle name="Vérification 2 2 10 6 3 6" xfId="27174"/>
    <cellStyle name="Vérification 2 2 10 6 4" xfId="3428"/>
    <cellStyle name="Vérification 2 2 10 6 4 2" xfId="8395"/>
    <cellStyle name="Vérification 2 2 10 6 4 2 2" xfId="24619"/>
    <cellStyle name="Vérification 2 2 10 6 4 2 2 2" xfId="36626"/>
    <cellStyle name="Vérification 2 2 10 6 4 2 3" xfId="14402"/>
    <cellStyle name="Vérification 2 2 10 6 4 2 4" xfId="30623"/>
    <cellStyle name="Vérification 2 2 10 6 4 3" xfId="9932"/>
    <cellStyle name="Vérification 2 2 10 6 4 3 2" xfId="26156"/>
    <cellStyle name="Vérification 2 2 10 6 4 3 2 2" xfId="38163"/>
    <cellStyle name="Vérification 2 2 10 6 4 3 3" xfId="15939"/>
    <cellStyle name="Vérification 2 2 10 6 4 3 4" xfId="32160"/>
    <cellStyle name="Vérification 2 2 10 6 4 4" xfId="19656"/>
    <cellStyle name="Vérification 2 2 10 6 4 4 2" xfId="33770"/>
    <cellStyle name="Vérification 2 2 10 6 4 5" xfId="11950"/>
    <cellStyle name="Vérification 2 2 10 6 4 6" xfId="28171"/>
    <cellStyle name="Vérification 2 2 10 6 5" xfId="3284"/>
    <cellStyle name="Vérification 2 2 10 6 5 2" xfId="8277"/>
    <cellStyle name="Vérification 2 2 10 6 5 2 2" xfId="24501"/>
    <cellStyle name="Vérification 2 2 10 6 5 2 2 2" xfId="36508"/>
    <cellStyle name="Vérification 2 2 10 6 5 2 3" xfId="14284"/>
    <cellStyle name="Vérification 2 2 10 6 5 2 4" xfId="30505"/>
    <cellStyle name="Vérification 2 2 10 6 5 3" xfId="19512"/>
    <cellStyle name="Vérification 2 2 10 6 5 3 2" xfId="33626"/>
    <cellStyle name="Vérification 2 2 10 6 5 4" xfId="11832"/>
    <cellStyle name="Vérification 2 2 10 6 5 5" xfId="28053"/>
    <cellStyle name="Vérification 2 2 10 6 6" xfId="3738"/>
    <cellStyle name="Vérification 2 2 10 6 6 2" xfId="19966"/>
    <cellStyle name="Vérification 2 2 10 6 6 2 2" xfId="34080"/>
    <cellStyle name="Vérification 2 2 10 6 6 3" xfId="12372"/>
    <cellStyle name="Vérification 2 2 10 6 6 4" xfId="28593"/>
    <cellStyle name="Vérification 2 2 10 6 7" xfId="17579"/>
    <cellStyle name="Vérification 2 2 10 6 7 2" xfId="32827"/>
    <cellStyle name="Vérification 2 2 10 6 8" xfId="10599"/>
    <cellStyle name="Vérification 2 2 10 6 9" xfId="26824"/>
    <cellStyle name="Vérification 2 2 10 7" xfId="2571"/>
    <cellStyle name="Vérification 2 2 10 7 2" xfId="2930"/>
    <cellStyle name="Vérification 2 2 10 7 2 2" xfId="6618"/>
    <cellStyle name="Vérification 2 2 10 7 2 2 2" xfId="8999"/>
    <cellStyle name="Vérification 2 2 10 7 2 2 2 2" xfId="25223"/>
    <cellStyle name="Vérification 2 2 10 7 2 2 2 2 2" xfId="37230"/>
    <cellStyle name="Vérification 2 2 10 7 2 2 2 3" xfId="15006"/>
    <cellStyle name="Vérification 2 2 10 7 2 2 2 4" xfId="31227"/>
    <cellStyle name="Vérification 2 2 10 7 2 2 3" xfId="10377"/>
    <cellStyle name="Vérification 2 2 10 7 2 2 3 2" xfId="26601"/>
    <cellStyle name="Vérification 2 2 10 7 2 2 3 2 2" xfId="38608"/>
    <cellStyle name="Vérification 2 2 10 7 2 2 3 3" xfId="16384"/>
    <cellStyle name="Vérification 2 2 10 7 2 2 3 4" xfId="32605"/>
    <cellStyle name="Vérification 2 2 10 7 2 2 4" xfId="22842"/>
    <cellStyle name="Vérification 2 2 10 7 2 2 4 2" xfId="34849"/>
    <cellStyle name="Vérification 2 2 10 7 2 2 5" xfId="12703"/>
    <cellStyle name="Vérification 2 2 10 7 2 2 6" xfId="28924"/>
    <cellStyle name="Vérification 2 2 10 7 2 3" xfId="7666"/>
    <cellStyle name="Vérification 2 2 10 7 2 3 2" xfId="9710"/>
    <cellStyle name="Vérification 2 2 10 7 2 3 2 2" xfId="25934"/>
    <cellStyle name="Vérification 2 2 10 7 2 3 2 2 2" xfId="37941"/>
    <cellStyle name="Vérification 2 2 10 7 2 3 2 3" xfId="15717"/>
    <cellStyle name="Vérification 2 2 10 7 2 3 2 4" xfId="31938"/>
    <cellStyle name="Vérification 2 2 10 7 2 3 3" xfId="23890"/>
    <cellStyle name="Vérification 2 2 10 7 2 3 3 2" xfId="35897"/>
    <cellStyle name="Vérification 2 2 10 7 2 3 4" xfId="13414"/>
    <cellStyle name="Vérification 2 2 10 7 2 3 5" xfId="29635"/>
    <cellStyle name="Vérification 2 2 10 7 2 4" xfId="8043"/>
    <cellStyle name="Vérification 2 2 10 7 2 4 2" xfId="24267"/>
    <cellStyle name="Vérification 2 2 10 7 2 4 2 2" xfId="36274"/>
    <cellStyle name="Vérification 2 2 10 7 2 4 3" xfId="14050"/>
    <cellStyle name="Vérification 2 2 10 7 2 4 4" xfId="30271"/>
    <cellStyle name="Vérification 2 2 10 7 2 5" xfId="19158"/>
    <cellStyle name="Vérification 2 2 10 7 2 5 2" xfId="33272"/>
    <cellStyle name="Vérification 2 2 10 7 2 6" xfId="11399"/>
    <cellStyle name="Vérification 2 2 10 7 2 7" xfId="27620"/>
    <cellStyle name="Vérification 2 2 10 7 3" xfId="6261"/>
    <cellStyle name="Vérification 2 2 10 7 3 2" xfId="7331"/>
    <cellStyle name="Vérification 2 2 10 7 3 2 2" xfId="9377"/>
    <cellStyle name="Vérification 2 2 10 7 3 2 2 2" xfId="25601"/>
    <cellStyle name="Vérification 2 2 10 7 3 2 2 2 2" xfId="37608"/>
    <cellStyle name="Vérification 2 2 10 7 3 2 2 3" xfId="15384"/>
    <cellStyle name="Vérification 2 2 10 7 3 2 2 4" xfId="31605"/>
    <cellStyle name="Vérification 2 2 10 7 3 2 3" xfId="23555"/>
    <cellStyle name="Vérification 2 2 10 7 3 2 3 2" xfId="35562"/>
    <cellStyle name="Vérification 2 2 10 7 3 2 4" xfId="13081"/>
    <cellStyle name="Vérification 2 2 10 7 3 2 5" xfId="29302"/>
    <cellStyle name="Vérification 2 2 10 7 3 3" xfId="7710"/>
    <cellStyle name="Vérification 2 2 10 7 3 3 2" xfId="23934"/>
    <cellStyle name="Vérification 2 2 10 7 3 3 2 2" xfId="35941"/>
    <cellStyle name="Vérification 2 2 10 7 3 3 3" xfId="13717"/>
    <cellStyle name="Vérification 2 2 10 7 3 3 4" xfId="29938"/>
    <cellStyle name="Vérification 2 2 10 7 3 4" xfId="22485"/>
    <cellStyle name="Vérification 2 2 10 7 3 4 2" xfId="34516"/>
    <cellStyle name="Vérification 2 2 10 7 3 5" xfId="11065"/>
    <cellStyle name="Vérification 2 2 10 7 3 6" xfId="27286"/>
    <cellStyle name="Vérification 2 2 10 7 4" xfId="3834"/>
    <cellStyle name="Vérification 2 2 10 7 4 2" xfId="8662"/>
    <cellStyle name="Vérification 2 2 10 7 4 2 2" xfId="24886"/>
    <cellStyle name="Vérification 2 2 10 7 4 2 2 2" xfId="36893"/>
    <cellStyle name="Vérification 2 2 10 7 4 2 3" xfId="14669"/>
    <cellStyle name="Vérification 2 2 10 7 4 2 4" xfId="30890"/>
    <cellStyle name="Vérification 2 2 10 7 4 3" xfId="10044"/>
    <cellStyle name="Vérification 2 2 10 7 4 3 2" xfId="26268"/>
    <cellStyle name="Vérification 2 2 10 7 4 3 2 2" xfId="38275"/>
    <cellStyle name="Vérification 2 2 10 7 4 3 3" xfId="16051"/>
    <cellStyle name="Vérification 2 2 10 7 4 3 4" xfId="32272"/>
    <cellStyle name="Vérification 2 2 10 7 4 4" xfId="20062"/>
    <cellStyle name="Vérification 2 2 10 7 4 4 2" xfId="34176"/>
    <cellStyle name="Vérification 2 2 10 7 4 5" xfId="12217"/>
    <cellStyle name="Vérification 2 2 10 7 4 6" xfId="28438"/>
    <cellStyle name="Vérification 2 2 10 7 5" xfId="6693"/>
    <cellStyle name="Vérification 2 2 10 7 5 2" xfId="9043"/>
    <cellStyle name="Vérification 2 2 10 7 5 2 2" xfId="25267"/>
    <cellStyle name="Vérification 2 2 10 7 5 2 2 2" xfId="37274"/>
    <cellStyle name="Vérification 2 2 10 7 5 2 3" xfId="15050"/>
    <cellStyle name="Vérification 2 2 10 7 5 2 4" xfId="31271"/>
    <cellStyle name="Vérification 2 2 10 7 5 3" xfId="22917"/>
    <cellStyle name="Vérification 2 2 10 7 5 3 2" xfId="34924"/>
    <cellStyle name="Vérification 2 2 10 7 5 4" xfId="12747"/>
    <cellStyle name="Vérification 2 2 10 7 5 5" xfId="28968"/>
    <cellStyle name="Vérification 2 2 10 7 6" xfId="6794"/>
    <cellStyle name="Vérification 2 2 10 7 6 2" xfId="23018"/>
    <cellStyle name="Vérification 2 2 10 7 6 2 2" xfId="35025"/>
    <cellStyle name="Vérification 2 2 10 7 6 3" xfId="11509"/>
    <cellStyle name="Vérification 2 2 10 7 6 4" xfId="27730"/>
    <cellStyle name="Vérification 2 2 10 7 7" xfId="18801"/>
    <cellStyle name="Vérification 2 2 10 7 7 2" xfId="32939"/>
    <cellStyle name="Vérification 2 2 10 7 8" xfId="10713"/>
    <cellStyle name="Vérification 2 2 10 7 9" xfId="26936"/>
    <cellStyle name="Vérification 2 2 10 8" xfId="2618"/>
    <cellStyle name="Vérification 2 2 10 8 2" xfId="2951"/>
    <cellStyle name="Vérification 2 2 10 8 2 2" xfId="6639"/>
    <cellStyle name="Vérification 2 2 10 8 2 2 2" xfId="9020"/>
    <cellStyle name="Vérification 2 2 10 8 2 2 2 2" xfId="25244"/>
    <cellStyle name="Vérification 2 2 10 8 2 2 2 2 2" xfId="37251"/>
    <cellStyle name="Vérification 2 2 10 8 2 2 2 3" xfId="15027"/>
    <cellStyle name="Vérification 2 2 10 8 2 2 2 4" xfId="31248"/>
    <cellStyle name="Vérification 2 2 10 8 2 2 3" xfId="10398"/>
    <cellStyle name="Vérification 2 2 10 8 2 2 3 2" xfId="26622"/>
    <cellStyle name="Vérification 2 2 10 8 2 2 3 2 2" xfId="38629"/>
    <cellStyle name="Vérification 2 2 10 8 2 2 3 3" xfId="16405"/>
    <cellStyle name="Vérification 2 2 10 8 2 2 3 4" xfId="32626"/>
    <cellStyle name="Vérification 2 2 10 8 2 2 4" xfId="22863"/>
    <cellStyle name="Vérification 2 2 10 8 2 2 4 2" xfId="34870"/>
    <cellStyle name="Vérification 2 2 10 8 2 2 5" xfId="12724"/>
    <cellStyle name="Vérification 2 2 10 8 2 2 6" xfId="28945"/>
    <cellStyle name="Vérification 2 2 10 8 2 3" xfId="7687"/>
    <cellStyle name="Vérification 2 2 10 8 2 3 2" xfId="9731"/>
    <cellStyle name="Vérification 2 2 10 8 2 3 2 2" xfId="25955"/>
    <cellStyle name="Vérification 2 2 10 8 2 3 2 2 2" xfId="37962"/>
    <cellStyle name="Vérification 2 2 10 8 2 3 2 3" xfId="15738"/>
    <cellStyle name="Vérification 2 2 10 8 2 3 2 4" xfId="31959"/>
    <cellStyle name="Vérification 2 2 10 8 2 3 3" xfId="23911"/>
    <cellStyle name="Vérification 2 2 10 8 2 3 3 2" xfId="35918"/>
    <cellStyle name="Vérification 2 2 10 8 2 3 4" xfId="13435"/>
    <cellStyle name="Vérification 2 2 10 8 2 3 5" xfId="29656"/>
    <cellStyle name="Vérification 2 2 10 8 2 4" xfId="8064"/>
    <cellStyle name="Vérification 2 2 10 8 2 4 2" xfId="24288"/>
    <cellStyle name="Vérification 2 2 10 8 2 4 2 2" xfId="36295"/>
    <cellStyle name="Vérification 2 2 10 8 2 4 3" xfId="14071"/>
    <cellStyle name="Vérification 2 2 10 8 2 4 4" xfId="30292"/>
    <cellStyle name="Vérification 2 2 10 8 2 5" xfId="19179"/>
    <cellStyle name="Vérification 2 2 10 8 2 5 2" xfId="33293"/>
    <cellStyle name="Vérification 2 2 10 8 2 6" xfId="11420"/>
    <cellStyle name="Vérification 2 2 10 8 2 7" xfId="27641"/>
    <cellStyle name="Vérification 2 2 10 8 3" xfId="6306"/>
    <cellStyle name="Vérification 2 2 10 8 3 2" xfId="7354"/>
    <cellStyle name="Vérification 2 2 10 8 3 2 2" xfId="9398"/>
    <cellStyle name="Vérification 2 2 10 8 3 2 2 2" xfId="25622"/>
    <cellStyle name="Vérification 2 2 10 8 3 2 2 2 2" xfId="37629"/>
    <cellStyle name="Vérification 2 2 10 8 3 2 2 3" xfId="15405"/>
    <cellStyle name="Vérification 2 2 10 8 3 2 2 4" xfId="31626"/>
    <cellStyle name="Vérification 2 2 10 8 3 2 3" xfId="23578"/>
    <cellStyle name="Vérification 2 2 10 8 3 2 3 2" xfId="35585"/>
    <cellStyle name="Vérification 2 2 10 8 3 2 4" xfId="13102"/>
    <cellStyle name="Vérification 2 2 10 8 3 2 5" xfId="29323"/>
    <cellStyle name="Vérification 2 2 10 8 3 3" xfId="7731"/>
    <cellStyle name="Vérification 2 2 10 8 3 3 2" xfId="23955"/>
    <cellStyle name="Vérification 2 2 10 8 3 3 2 2" xfId="35962"/>
    <cellStyle name="Vérification 2 2 10 8 3 3 3" xfId="13738"/>
    <cellStyle name="Vérification 2 2 10 8 3 3 4" xfId="29959"/>
    <cellStyle name="Vérification 2 2 10 8 3 4" xfId="22530"/>
    <cellStyle name="Vérification 2 2 10 8 3 4 2" xfId="34537"/>
    <cellStyle name="Vérification 2 2 10 8 3 5" xfId="11087"/>
    <cellStyle name="Vérification 2 2 10 8 3 6" xfId="27308"/>
    <cellStyle name="Vérification 2 2 10 8 4" xfId="3861"/>
    <cellStyle name="Vérification 2 2 10 8 4 2" xfId="8687"/>
    <cellStyle name="Vérification 2 2 10 8 4 2 2" xfId="24911"/>
    <cellStyle name="Vérification 2 2 10 8 4 2 2 2" xfId="36918"/>
    <cellStyle name="Vérification 2 2 10 8 4 2 3" xfId="14694"/>
    <cellStyle name="Vérification 2 2 10 8 4 2 4" xfId="30915"/>
    <cellStyle name="Vérification 2 2 10 8 4 3" xfId="10065"/>
    <cellStyle name="Vérification 2 2 10 8 4 3 2" xfId="26289"/>
    <cellStyle name="Vérification 2 2 10 8 4 3 2 2" xfId="38296"/>
    <cellStyle name="Vérification 2 2 10 8 4 3 3" xfId="16072"/>
    <cellStyle name="Vérification 2 2 10 8 4 3 4" xfId="32293"/>
    <cellStyle name="Vérification 2 2 10 8 4 4" xfId="20089"/>
    <cellStyle name="Vérification 2 2 10 8 4 4 2" xfId="34203"/>
    <cellStyle name="Vérification 2 2 10 8 4 5" xfId="12242"/>
    <cellStyle name="Vérification 2 2 10 8 4 6" xfId="28463"/>
    <cellStyle name="Vérification 2 2 10 8 5" xfId="6718"/>
    <cellStyle name="Vérification 2 2 10 8 5 2" xfId="9064"/>
    <cellStyle name="Vérification 2 2 10 8 5 2 2" xfId="25288"/>
    <cellStyle name="Vérification 2 2 10 8 5 2 2 2" xfId="37295"/>
    <cellStyle name="Vérification 2 2 10 8 5 2 3" xfId="15071"/>
    <cellStyle name="Vérification 2 2 10 8 5 2 4" xfId="31292"/>
    <cellStyle name="Vérification 2 2 10 8 5 3" xfId="22942"/>
    <cellStyle name="Vérification 2 2 10 8 5 3 2" xfId="34949"/>
    <cellStyle name="Vérification 2 2 10 8 5 4" xfId="12768"/>
    <cellStyle name="Vérification 2 2 10 8 5 5" xfId="28989"/>
    <cellStyle name="Vérification 2 2 10 8 6" xfId="7010"/>
    <cellStyle name="Vérification 2 2 10 8 6 2" xfId="23234"/>
    <cellStyle name="Vérification 2 2 10 8 6 2 2" xfId="35241"/>
    <cellStyle name="Vérification 2 2 10 8 6 3" xfId="11519"/>
    <cellStyle name="Vérification 2 2 10 8 6 4" xfId="27740"/>
    <cellStyle name="Vérification 2 2 10 8 7" xfId="18846"/>
    <cellStyle name="Vérification 2 2 10 8 7 2" xfId="32960"/>
    <cellStyle name="Vérification 2 2 10 8 8" xfId="10734"/>
    <cellStyle name="Vérification 2 2 10 8 9" xfId="26957"/>
    <cellStyle name="Vérification 2 2 10 9" xfId="2640"/>
    <cellStyle name="Vérification 2 2 10 9 2" xfId="6328"/>
    <cellStyle name="Vérification 2 2 10 9 2 2" xfId="8709"/>
    <cellStyle name="Vérification 2 2 10 9 2 2 2" xfId="24933"/>
    <cellStyle name="Vérification 2 2 10 9 2 2 2 2" xfId="36940"/>
    <cellStyle name="Vérification 2 2 10 9 2 2 3" xfId="14716"/>
    <cellStyle name="Vérification 2 2 10 9 2 2 4" xfId="30937"/>
    <cellStyle name="Vérification 2 2 10 9 2 3" xfId="10087"/>
    <cellStyle name="Vérification 2 2 10 9 2 3 2" xfId="26311"/>
    <cellStyle name="Vérification 2 2 10 9 2 3 2 2" xfId="38318"/>
    <cellStyle name="Vérification 2 2 10 9 2 3 3" xfId="16094"/>
    <cellStyle name="Vérification 2 2 10 9 2 3 4" xfId="32315"/>
    <cellStyle name="Vérification 2 2 10 9 2 4" xfId="22552"/>
    <cellStyle name="Vérification 2 2 10 9 2 4 2" xfId="34559"/>
    <cellStyle name="Vérification 2 2 10 9 2 5" xfId="12413"/>
    <cellStyle name="Vérification 2 2 10 9 2 6" xfId="28634"/>
    <cellStyle name="Vérification 2 2 10 9 3" xfId="7376"/>
    <cellStyle name="Vérification 2 2 10 9 3 2" xfId="9420"/>
    <cellStyle name="Vérification 2 2 10 9 3 2 2" xfId="25644"/>
    <cellStyle name="Vérification 2 2 10 9 3 2 2 2" xfId="37651"/>
    <cellStyle name="Vérification 2 2 10 9 3 2 3" xfId="15427"/>
    <cellStyle name="Vérification 2 2 10 9 3 2 4" xfId="31648"/>
    <cellStyle name="Vérification 2 2 10 9 3 3" xfId="23600"/>
    <cellStyle name="Vérification 2 2 10 9 3 3 2" xfId="35607"/>
    <cellStyle name="Vérification 2 2 10 9 3 4" xfId="13124"/>
    <cellStyle name="Vérification 2 2 10 9 3 5" xfId="29345"/>
    <cellStyle name="Vérification 2 2 10 9 4" xfId="7753"/>
    <cellStyle name="Vérification 2 2 10 9 4 2" xfId="23977"/>
    <cellStyle name="Vérification 2 2 10 9 4 2 2" xfId="35984"/>
    <cellStyle name="Vérification 2 2 10 9 4 3" xfId="13760"/>
    <cellStyle name="Vérification 2 2 10 9 4 4" xfId="29981"/>
    <cellStyle name="Vérification 2 2 10 9 5" xfId="18868"/>
    <cellStyle name="Vérification 2 2 10 9 5 2" xfId="32982"/>
    <cellStyle name="Vérification 2 2 10 9 6" xfId="11109"/>
    <cellStyle name="Vérification 2 2 10 9 7" xfId="27330"/>
    <cellStyle name="Vérification 2 2 11" xfId="326"/>
    <cellStyle name="Vérification 2 2 11 10" xfId="10424"/>
    <cellStyle name="Vérification 2 2 11 11" xfId="26649"/>
    <cellStyle name="Vérification 2 2 11 2" xfId="1343"/>
    <cellStyle name="Vérification 2 2 11 2 2" xfId="2821"/>
    <cellStyle name="Vérification 2 2 11 2 2 2" xfId="6509"/>
    <cellStyle name="Vérification 2 2 11 2 2 2 2" xfId="8890"/>
    <cellStyle name="Vérification 2 2 11 2 2 2 2 2" xfId="25114"/>
    <cellStyle name="Vérification 2 2 11 2 2 2 2 2 2" xfId="37121"/>
    <cellStyle name="Vérification 2 2 11 2 2 2 2 3" xfId="14897"/>
    <cellStyle name="Vérification 2 2 11 2 2 2 2 4" xfId="31118"/>
    <cellStyle name="Vérification 2 2 11 2 2 2 3" xfId="10268"/>
    <cellStyle name="Vérification 2 2 11 2 2 2 3 2" xfId="26492"/>
    <cellStyle name="Vérification 2 2 11 2 2 2 3 2 2" xfId="38499"/>
    <cellStyle name="Vérification 2 2 11 2 2 2 3 3" xfId="16275"/>
    <cellStyle name="Vérification 2 2 11 2 2 2 3 4" xfId="32496"/>
    <cellStyle name="Vérification 2 2 11 2 2 2 4" xfId="22733"/>
    <cellStyle name="Vérification 2 2 11 2 2 2 4 2" xfId="34740"/>
    <cellStyle name="Vérification 2 2 11 2 2 2 5" xfId="12594"/>
    <cellStyle name="Vérification 2 2 11 2 2 2 6" xfId="28815"/>
    <cellStyle name="Vérification 2 2 11 2 2 3" xfId="7557"/>
    <cellStyle name="Vérification 2 2 11 2 2 3 2" xfId="9601"/>
    <cellStyle name="Vérification 2 2 11 2 2 3 2 2" xfId="25825"/>
    <cellStyle name="Vérification 2 2 11 2 2 3 2 2 2" xfId="37832"/>
    <cellStyle name="Vérification 2 2 11 2 2 3 2 3" xfId="15608"/>
    <cellStyle name="Vérification 2 2 11 2 2 3 2 4" xfId="31829"/>
    <cellStyle name="Vérification 2 2 11 2 2 3 3" xfId="23781"/>
    <cellStyle name="Vérification 2 2 11 2 2 3 3 2" xfId="35788"/>
    <cellStyle name="Vérification 2 2 11 2 2 3 4" xfId="13305"/>
    <cellStyle name="Vérification 2 2 11 2 2 3 5" xfId="29526"/>
    <cellStyle name="Vérification 2 2 11 2 2 4" xfId="7934"/>
    <cellStyle name="Vérification 2 2 11 2 2 4 2" xfId="24158"/>
    <cellStyle name="Vérification 2 2 11 2 2 4 2 2" xfId="36165"/>
    <cellStyle name="Vérification 2 2 11 2 2 4 3" xfId="13941"/>
    <cellStyle name="Vérification 2 2 11 2 2 4 4" xfId="30162"/>
    <cellStyle name="Vérification 2 2 11 2 2 5" xfId="19049"/>
    <cellStyle name="Vérification 2 2 11 2 2 5 2" xfId="33163"/>
    <cellStyle name="Vérification 2 2 11 2 2 6" xfId="11290"/>
    <cellStyle name="Vérification 2 2 11 2 2 7" xfId="27511"/>
    <cellStyle name="Vérification 2 2 11 2 3" xfId="5040"/>
    <cellStyle name="Vérification 2 2 11 2 3 2" xfId="7067"/>
    <cellStyle name="Vérification 2 2 11 2 3 2 2" xfId="9268"/>
    <cellStyle name="Vérification 2 2 11 2 3 2 2 2" xfId="25492"/>
    <cellStyle name="Vérification 2 2 11 2 3 2 2 2 2" xfId="37499"/>
    <cellStyle name="Vérification 2 2 11 2 3 2 2 3" xfId="15275"/>
    <cellStyle name="Vérification 2 2 11 2 3 2 2 4" xfId="31496"/>
    <cellStyle name="Vérification 2 2 11 2 3 2 3" xfId="23291"/>
    <cellStyle name="Vérification 2 2 11 2 3 2 3 2" xfId="35298"/>
    <cellStyle name="Vérification 2 2 11 2 3 2 4" xfId="12972"/>
    <cellStyle name="Vérification 2 2 11 2 3 2 5" xfId="29193"/>
    <cellStyle name="Vérification 2 2 11 2 3 3" xfId="6805"/>
    <cellStyle name="Vérification 2 2 11 2 3 3 2" xfId="23029"/>
    <cellStyle name="Vérification 2 2 11 2 3 3 2 2" xfId="35036"/>
    <cellStyle name="Vérification 2 2 11 2 3 3 3" xfId="13445"/>
    <cellStyle name="Vérification 2 2 11 2 3 3 4" xfId="29666"/>
    <cellStyle name="Vérification 2 2 11 2 3 4" xfId="21266"/>
    <cellStyle name="Vérification 2 2 11 2 3 4 2" xfId="34407"/>
    <cellStyle name="Vérification 2 2 11 2 3 5" xfId="10954"/>
    <cellStyle name="Vérification 2 2 11 2 3 6" xfId="27177"/>
    <cellStyle name="Vérification 2 2 11 2 4" xfId="3431"/>
    <cellStyle name="Vérification 2 2 11 2 4 2" xfId="8398"/>
    <cellStyle name="Vérification 2 2 11 2 4 2 2" xfId="24622"/>
    <cellStyle name="Vérification 2 2 11 2 4 2 2 2" xfId="36629"/>
    <cellStyle name="Vérification 2 2 11 2 4 2 3" xfId="14405"/>
    <cellStyle name="Vérification 2 2 11 2 4 2 4" xfId="30626"/>
    <cellStyle name="Vérification 2 2 11 2 4 3" xfId="9935"/>
    <cellStyle name="Vérification 2 2 11 2 4 3 2" xfId="26159"/>
    <cellStyle name="Vérification 2 2 11 2 4 3 2 2" xfId="38166"/>
    <cellStyle name="Vérification 2 2 11 2 4 3 3" xfId="15942"/>
    <cellStyle name="Vérification 2 2 11 2 4 3 4" xfId="32163"/>
    <cellStyle name="Vérification 2 2 11 2 4 4" xfId="19659"/>
    <cellStyle name="Vérification 2 2 11 2 4 4 2" xfId="33773"/>
    <cellStyle name="Vérification 2 2 11 2 4 5" xfId="11953"/>
    <cellStyle name="Vérification 2 2 11 2 4 6" xfId="28174"/>
    <cellStyle name="Vérification 2 2 11 2 5" xfId="3790"/>
    <cellStyle name="Vérification 2 2 11 2 5 2" xfId="8632"/>
    <cellStyle name="Vérification 2 2 11 2 5 2 2" xfId="24856"/>
    <cellStyle name="Vérification 2 2 11 2 5 2 2 2" xfId="36863"/>
    <cellStyle name="Vérification 2 2 11 2 5 2 3" xfId="14639"/>
    <cellStyle name="Vérification 2 2 11 2 5 2 4" xfId="30860"/>
    <cellStyle name="Vérification 2 2 11 2 5 3" xfId="20018"/>
    <cellStyle name="Vérification 2 2 11 2 5 3 2" xfId="34132"/>
    <cellStyle name="Vérification 2 2 11 2 5 4" xfId="12187"/>
    <cellStyle name="Vérification 2 2 11 2 5 5" xfId="28408"/>
    <cellStyle name="Vérification 2 2 11 2 6" xfId="3763"/>
    <cellStyle name="Vérification 2 2 11 2 6 2" xfId="19991"/>
    <cellStyle name="Vérification 2 2 11 2 6 2 2" xfId="34105"/>
    <cellStyle name="Vérification 2 2 11 2 6 3" xfId="11528"/>
    <cellStyle name="Vérification 2 2 11 2 6 4" xfId="27749"/>
    <cellStyle name="Vérification 2 2 11 2 7" xfId="17582"/>
    <cellStyle name="Vérification 2 2 11 2 7 2" xfId="32830"/>
    <cellStyle name="Vérification 2 2 11 2 8" xfId="10602"/>
    <cellStyle name="Vérification 2 2 11 2 9" xfId="26827"/>
    <cellStyle name="Vérification 2 2 11 3" xfId="942"/>
    <cellStyle name="Vérification 2 2 11 3 2" xfId="2732"/>
    <cellStyle name="Vérification 2 2 11 3 2 2" xfId="6420"/>
    <cellStyle name="Vérification 2 2 11 3 2 2 2" xfId="8801"/>
    <cellStyle name="Vérification 2 2 11 3 2 2 2 2" xfId="25025"/>
    <cellStyle name="Vérification 2 2 11 3 2 2 2 2 2" xfId="37032"/>
    <cellStyle name="Vérification 2 2 11 3 2 2 2 3" xfId="14808"/>
    <cellStyle name="Vérification 2 2 11 3 2 2 2 4" xfId="31029"/>
    <cellStyle name="Vérification 2 2 11 3 2 2 3" xfId="10179"/>
    <cellStyle name="Vérification 2 2 11 3 2 2 3 2" xfId="26403"/>
    <cellStyle name="Vérification 2 2 11 3 2 2 3 2 2" xfId="38410"/>
    <cellStyle name="Vérification 2 2 11 3 2 2 3 3" xfId="16186"/>
    <cellStyle name="Vérification 2 2 11 3 2 2 3 4" xfId="32407"/>
    <cellStyle name="Vérification 2 2 11 3 2 2 4" xfId="22644"/>
    <cellStyle name="Vérification 2 2 11 3 2 2 4 2" xfId="34651"/>
    <cellStyle name="Vérification 2 2 11 3 2 2 5" xfId="12505"/>
    <cellStyle name="Vérification 2 2 11 3 2 2 6" xfId="28726"/>
    <cellStyle name="Vérification 2 2 11 3 2 3" xfId="7468"/>
    <cellStyle name="Vérification 2 2 11 3 2 3 2" xfId="9512"/>
    <cellStyle name="Vérification 2 2 11 3 2 3 2 2" xfId="25736"/>
    <cellStyle name="Vérification 2 2 11 3 2 3 2 2 2" xfId="37743"/>
    <cellStyle name="Vérification 2 2 11 3 2 3 2 3" xfId="15519"/>
    <cellStyle name="Vérification 2 2 11 3 2 3 2 4" xfId="31740"/>
    <cellStyle name="Vérification 2 2 11 3 2 3 3" xfId="23692"/>
    <cellStyle name="Vérification 2 2 11 3 2 3 3 2" xfId="35699"/>
    <cellStyle name="Vérification 2 2 11 3 2 3 4" xfId="13216"/>
    <cellStyle name="Vérification 2 2 11 3 2 3 5" xfId="29437"/>
    <cellStyle name="Vérification 2 2 11 3 2 4" xfId="7845"/>
    <cellStyle name="Vérification 2 2 11 3 2 4 2" xfId="24069"/>
    <cellStyle name="Vérification 2 2 11 3 2 4 2 2" xfId="36076"/>
    <cellStyle name="Vérification 2 2 11 3 2 4 3" xfId="13852"/>
    <cellStyle name="Vérification 2 2 11 3 2 4 4" xfId="30073"/>
    <cellStyle name="Vérification 2 2 11 3 2 5" xfId="18960"/>
    <cellStyle name="Vérification 2 2 11 3 2 5 2" xfId="33074"/>
    <cellStyle name="Vérification 2 2 11 3 2 6" xfId="11201"/>
    <cellStyle name="Vérification 2 2 11 3 2 7" xfId="27422"/>
    <cellStyle name="Vérification 2 2 11 3 3" xfId="4639"/>
    <cellStyle name="Vérification 2 2 11 3 3 2" xfId="6934"/>
    <cellStyle name="Vérification 2 2 11 3 3 2 2" xfId="9179"/>
    <cellStyle name="Vérification 2 2 11 3 3 2 2 2" xfId="25403"/>
    <cellStyle name="Vérification 2 2 11 3 3 2 2 2 2" xfId="37410"/>
    <cellStyle name="Vérification 2 2 11 3 3 2 2 3" xfId="15186"/>
    <cellStyle name="Vérification 2 2 11 3 3 2 2 4" xfId="31407"/>
    <cellStyle name="Vérification 2 2 11 3 3 2 3" xfId="23158"/>
    <cellStyle name="Vérification 2 2 11 3 3 2 3 2" xfId="35165"/>
    <cellStyle name="Vérification 2 2 11 3 3 2 4" xfId="12883"/>
    <cellStyle name="Vérification 2 2 11 3 3 2 5" xfId="29104"/>
    <cellStyle name="Vérification 2 2 11 3 3 3" xfId="3058"/>
    <cellStyle name="Vérification 2 2 11 3 3 3 2" xfId="19286"/>
    <cellStyle name="Vérification 2 2 11 3 3 3 2 2" xfId="33400"/>
    <cellStyle name="Vérification 2 2 11 3 3 3 3" xfId="11473"/>
    <cellStyle name="Vérification 2 2 11 3 3 3 4" xfId="27694"/>
    <cellStyle name="Vérification 2 2 11 3 3 4" xfId="20865"/>
    <cellStyle name="Vérification 2 2 11 3 3 4 2" xfId="34318"/>
    <cellStyle name="Vérification 2 2 11 3 3 5" xfId="10865"/>
    <cellStyle name="Vérification 2 2 11 3 3 6" xfId="27088"/>
    <cellStyle name="Vérification 2 2 11 3 4" xfId="3267"/>
    <cellStyle name="Vérification 2 2 11 3 4 2" xfId="8266"/>
    <cellStyle name="Vérification 2 2 11 3 4 2 2" xfId="24490"/>
    <cellStyle name="Vérification 2 2 11 3 4 2 2 2" xfId="36497"/>
    <cellStyle name="Vérification 2 2 11 3 4 2 3" xfId="14273"/>
    <cellStyle name="Vérification 2 2 11 3 4 2 4" xfId="30494"/>
    <cellStyle name="Vérification 2 2 11 3 4 3" xfId="9846"/>
    <cellStyle name="Vérification 2 2 11 3 4 3 2" xfId="26070"/>
    <cellStyle name="Vérification 2 2 11 3 4 3 2 2" xfId="38077"/>
    <cellStyle name="Vérification 2 2 11 3 4 3 3" xfId="15853"/>
    <cellStyle name="Vérification 2 2 11 3 4 3 4" xfId="32074"/>
    <cellStyle name="Vérification 2 2 11 3 4 4" xfId="19495"/>
    <cellStyle name="Vérification 2 2 11 3 4 4 2" xfId="33609"/>
    <cellStyle name="Vérification 2 2 11 3 4 5" xfId="11821"/>
    <cellStyle name="Vérification 2 2 11 3 4 6" xfId="28042"/>
    <cellStyle name="Vérification 2 2 11 3 5" xfId="3674"/>
    <cellStyle name="Vérification 2 2 11 3 5 2" xfId="8569"/>
    <cellStyle name="Vérification 2 2 11 3 5 2 2" xfId="24793"/>
    <cellStyle name="Vérification 2 2 11 3 5 2 2 2" xfId="36800"/>
    <cellStyle name="Vérification 2 2 11 3 5 2 3" xfId="14576"/>
    <cellStyle name="Vérification 2 2 11 3 5 2 4" xfId="30797"/>
    <cellStyle name="Vérification 2 2 11 3 5 3" xfId="19902"/>
    <cellStyle name="Vérification 2 2 11 3 5 3 2" xfId="34016"/>
    <cellStyle name="Vérification 2 2 11 3 5 4" xfId="12124"/>
    <cellStyle name="Vérification 2 2 11 3 5 5" xfId="28345"/>
    <cellStyle name="Vérification 2 2 11 3 6" xfId="2965"/>
    <cellStyle name="Vérification 2 2 11 3 6 2" xfId="19193"/>
    <cellStyle name="Vérification 2 2 11 3 6 2 2" xfId="33307"/>
    <cellStyle name="Vérification 2 2 11 3 6 3" xfId="12385"/>
    <cellStyle name="Vérification 2 2 11 3 6 4" xfId="28606"/>
    <cellStyle name="Vérification 2 2 11 3 7" xfId="17181"/>
    <cellStyle name="Vérification 2 2 11 3 7 2" xfId="32741"/>
    <cellStyle name="Vérification 2 2 11 3 8" xfId="10513"/>
    <cellStyle name="Vérification 2 2 11 3 9" xfId="26738"/>
    <cellStyle name="Vérification 2 2 11 4" xfId="2643"/>
    <cellStyle name="Vérification 2 2 11 4 2" xfId="6331"/>
    <cellStyle name="Vérification 2 2 11 4 2 2" xfId="8712"/>
    <cellStyle name="Vérification 2 2 11 4 2 2 2" xfId="24936"/>
    <cellStyle name="Vérification 2 2 11 4 2 2 2 2" xfId="36943"/>
    <cellStyle name="Vérification 2 2 11 4 2 2 3" xfId="14719"/>
    <cellStyle name="Vérification 2 2 11 4 2 2 4" xfId="30940"/>
    <cellStyle name="Vérification 2 2 11 4 2 3" xfId="10090"/>
    <cellStyle name="Vérification 2 2 11 4 2 3 2" xfId="26314"/>
    <cellStyle name="Vérification 2 2 11 4 2 3 2 2" xfId="38321"/>
    <cellStyle name="Vérification 2 2 11 4 2 3 3" xfId="16097"/>
    <cellStyle name="Vérification 2 2 11 4 2 3 4" xfId="32318"/>
    <cellStyle name="Vérification 2 2 11 4 2 4" xfId="22555"/>
    <cellStyle name="Vérification 2 2 11 4 2 4 2" xfId="34562"/>
    <cellStyle name="Vérification 2 2 11 4 2 5" xfId="12416"/>
    <cellStyle name="Vérification 2 2 11 4 2 6" xfId="28637"/>
    <cellStyle name="Vérification 2 2 11 4 3" xfId="7379"/>
    <cellStyle name="Vérification 2 2 11 4 3 2" xfId="9423"/>
    <cellStyle name="Vérification 2 2 11 4 3 2 2" xfId="25647"/>
    <cellStyle name="Vérification 2 2 11 4 3 2 2 2" xfId="37654"/>
    <cellStyle name="Vérification 2 2 11 4 3 2 3" xfId="15430"/>
    <cellStyle name="Vérification 2 2 11 4 3 2 4" xfId="31651"/>
    <cellStyle name="Vérification 2 2 11 4 3 3" xfId="23603"/>
    <cellStyle name="Vérification 2 2 11 4 3 3 2" xfId="35610"/>
    <cellStyle name="Vérification 2 2 11 4 3 4" xfId="13127"/>
    <cellStyle name="Vérification 2 2 11 4 3 5" xfId="29348"/>
    <cellStyle name="Vérification 2 2 11 4 4" xfId="7756"/>
    <cellStyle name="Vérification 2 2 11 4 4 2" xfId="23980"/>
    <cellStyle name="Vérification 2 2 11 4 4 2 2" xfId="35987"/>
    <cellStyle name="Vérification 2 2 11 4 4 3" xfId="13763"/>
    <cellStyle name="Vérification 2 2 11 4 4 4" xfId="29984"/>
    <cellStyle name="Vérification 2 2 11 4 5" xfId="18871"/>
    <cellStyle name="Vérification 2 2 11 4 5 2" xfId="32985"/>
    <cellStyle name="Vérification 2 2 11 4 6" xfId="11112"/>
    <cellStyle name="Vérification 2 2 11 4 7" xfId="27333"/>
    <cellStyle name="Vérification 2 2 11 5" xfId="4063"/>
    <cellStyle name="Vérification 2 2 11 5 2" xfId="6773"/>
    <cellStyle name="Vérification 2 2 11 5 2 2" xfId="9090"/>
    <cellStyle name="Vérification 2 2 11 5 2 2 2" xfId="25314"/>
    <cellStyle name="Vérification 2 2 11 5 2 2 2 2" xfId="37321"/>
    <cellStyle name="Vérification 2 2 11 5 2 2 3" xfId="15097"/>
    <cellStyle name="Vérification 2 2 11 5 2 2 4" xfId="31318"/>
    <cellStyle name="Vérification 2 2 11 5 2 3" xfId="22997"/>
    <cellStyle name="Vérification 2 2 11 5 2 3 2" xfId="35004"/>
    <cellStyle name="Vérification 2 2 11 5 2 4" xfId="12794"/>
    <cellStyle name="Vérification 2 2 11 5 2 5" xfId="29015"/>
    <cellStyle name="Vérification 2 2 11 5 3" xfId="3826"/>
    <cellStyle name="Vérification 2 2 11 5 3 2" xfId="20054"/>
    <cellStyle name="Vérification 2 2 11 5 3 2 2" xfId="34168"/>
    <cellStyle name="Vérification 2 2 11 5 3 3" xfId="11532"/>
    <cellStyle name="Vérification 2 2 11 5 3 4" xfId="27753"/>
    <cellStyle name="Vérification 2 2 11 5 4" xfId="20290"/>
    <cellStyle name="Vérification 2 2 11 5 4 2" xfId="34229"/>
    <cellStyle name="Vérification 2 2 11 5 5" xfId="10769"/>
    <cellStyle name="Vérification 2 2 11 5 6" xfId="26992"/>
    <cellStyle name="Vérification 2 2 11 6" xfId="3041"/>
    <cellStyle name="Vérification 2 2 11 6 2" xfId="8117"/>
    <cellStyle name="Vérification 2 2 11 6 2 2" xfId="24341"/>
    <cellStyle name="Vérification 2 2 11 6 2 2 2" xfId="36348"/>
    <cellStyle name="Vérification 2 2 11 6 2 3" xfId="14124"/>
    <cellStyle name="Vérification 2 2 11 6 2 4" xfId="30345"/>
    <cellStyle name="Vérification 2 2 11 6 3" xfId="9757"/>
    <cellStyle name="Vérification 2 2 11 6 3 2" xfId="25981"/>
    <cellStyle name="Vérification 2 2 11 6 3 2 2" xfId="37988"/>
    <cellStyle name="Vérification 2 2 11 6 3 3" xfId="15764"/>
    <cellStyle name="Vérification 2 2 11 6 3 4" xfId="31985"/>
    <cellStyle name="Vérification 2 2 11 6 4" xfId="19269"/>
    <cellStyle name="Vérification 2 2 11 6 4 2" xfId="33383"/>
    <cellStyle name="Vérification 2 2 11 6 5" xfId="11672"/>
    <cellStyle name="Vérification 2 2 11 6 6" xfId="27893"/>
    <cellStyle name="Vérification 2 2 11 7" xfId="3706"/>
    <cellStyle name="Vérification 2 2 11 7 2" xfId="8592"/>
    <cellStyle name="Vérification 2 2 11 7 2 2" xfId="24816"/>
    <cellStyle name="Vérification 2 2 11 7 2 2 2" xfId="36823"/>
    <cellStyle name="Vérification 2 2 11 7 2 3" xfId="14599"/>
    <cellStyle name="Vérification 2 2 11 7 2 4" xfId="30820"/>
    <cellStyle name="Vérification 2 2 11 7 3" xfId="19934"/>
    <cellStyle name="Vérification 2 2 11 7 3 2" xfId="34048"/>
    <cellStyle name="Vérification 2 2 11 7 4" xfId="12147"/>
    <cellStyle name="Vérification 2 2 11 7 5" xfId="28368"/>
    <cellStyle name="Vérification 2 2 11 8" xfId="7205"/>
    <cellStyle name="Vérification 2 2 11 8 2" xfId="23429"/>
    <cellStyle name="Vérification 2 2 11 8 2 2" xfId="35436"/>
    <cellStyle name="Vérification 2 2 11 8 3" xfId="13589"/>
    <cellStyle name="Vérification 2 2 11 8 4" xfId="29810"/>
    <cellStyle name="Vérification 2 2 11 9" xfId="16606"/>
    <cellStyle name="Vérification 2 2 11 9 2" xfId="32652"/>
    <cellStyle name="Vérification 2 2 12" xfId="319"/>
    <cellStyle name="Vérification 2 2 12 10" xfId="10423"/>
    <cellStyle name="Vérification 2 2 12 11" xfId="26648"/>
    <cellStyle name="Vérification 2 2 12 2" xfId="1342"/>
    <cellStyle name="Vérification 2 2 12 2 2" xfId="2820"/>
    <cellStyle name="Vérification 2 2 12 2 2 2" xfId="6508"/>
    <cellStyle name="Vérification 2 2 12 2 2 2 2" xfId="8889"/>
    <cellStyle name="Vérification 2 2 12 2 2 2 2 2" xfId="25113"/>
    <cellStyle name="Vérification 2 2 12 2 2 2 2 2 2" xfId="37120"/>
    <cellStyle name="Vérification 2 2 12 2 2 2 2 3" xfId="14896"/>
    <cellStyle name="Vérification 2 2 12 2 2 2 2 4" xfId="31117"/>
    <cellStyle name="Vérification 2 2 12 2 2 2 3" xfId="10267"/>
    <cellStyle name="Vérification 2 2 12 2 2 2 3 2" xfId="26491"/>
    <cellStyle name="Vérification 2 2 12 2 2 2 3 2 2" xfId="38498"/>
    <cellStyle name="Vérification 2 2 12 2 2 2 3 3" xfId="16274"/>
    <cellStyle name="Vérification 2 2 12 2 2 2 3 4" xfId="32495"/>
    <cellStyle name="Vérification 2 2 12 2 2 2 4" xfId="22732"/>
    <cellStyle name="Vérification 2 2 12 2 2 2 4 2" xfId="34739"/>
    <cellStyle name="Vérification 2 2 12 2 2 2 5" xfId="12593"/>
    <cellStyle name="Vérification 2 2 12 2 2 2 6" xfId="28814"/>
    <cellStyle name="Vérification 2 2 12 2 2 3" xfId="7556"/>
    <cellStyle name="Vérification 2 2 12 2 2 3 2" xfId="9600"/>
    <cellStyle name="Vérification 2 2 12 2 2 3 2 2" xfId="25824"/>
    <cellStyle name="Vérification 2 2 12 2 2 3 2 2 2" xfId="37831"/>
    <cellStyle name="Vérification 2 2 12 2 2 3 2 3" xfId="15607"/>
    <cellStyle name="Vérification 2 2 12 2 2 3 2 4" xfId="31828"/>
    <cellStyle name="Vérification 2 2 12 2 2 3 3" xfId="23780"/>
    <cellStyle name="Vérification 2 2 12 2 2 3 3 2" xfId="35787"/>
    <cellStyle name="Vérification 2 2 12 2 2 3 4" xfId="13304"/>
    <cellStyle name="Vérification 2 2 12 2 2 3 5" xfId="29525"/>
    <cellStyle name="Vérification 2 2 12 2 2 4" xfId="7933"/>
    <cellStyle name="Vérification 2 2 12 2 2 4 2" xfId="24157"/>
    <cellStyle name="Vérification 2 2 12 2 2 4 2 2" xfId="36164"/>
    <cellStyle name="Vérification 2 2 12 2 2 4 3" xfId="13940"/>
    <cellStyle name="Vérification 2 2 12 2 2 4 4" xfId="30161"/>
    <cellStyle name="Vérification 2 2 12 2 2 5" xfId="19048"/>
    <cellStyle name="Vérification 2 2 12 2 2 5 2" xfId="33162"/>
    <cellStyle name="Vérification 2 2 12 2 2 6" xfId="11289"/>
    <cellStyle name="Vérification 2 2 12 2 2 7" xfId="27510"/>
    <cellStyle name="Vérification 2 2 12 2 3" xfId="5039"/>
    <cellStyle name="Vérification 2 2 12 2 3 2" xfId="7066"/>
    <cellStyle name="Vérification 2 2 12 2 3 2 2" xfId="9267"/>
    <cellStyle name="Vérification 2 2 12 2 3 2 2 2" xfId="25491"/>
    <cellStyle name="Vérification 2 2 12 2 3 2 2 2 2" xfId="37498"/>
    <cellStyle name="Vérification 2 2 12 2 3 2 2 3" xfId="15274"/>
    <cellStyle name="Vérification 2 2 12 2 3 2 2 4" xfId="31495"/>
    <cellStyle name="Vérification 2 2 12 2 3 2 3" xfId="23290"/>
    <cellStyle name="Vérification 2 2 12 2 3 2 3 2" xfId="35297"/>
    <cellStyle name="Vérification 2 2 12 2 3 2 4" xfId="12971"/>
    <cellStyle name="Vérification 2 2 12 2 3 2 5" xfId="29192"/>
    <cellStyle name="Vérification 2 2 12 2 3 3" xfId="3689"/>
    <cellStyle name="Vérification 2 2 12 2 3 3 2" xfId="19917"/>
    <cellStyle name="Vérification 2 2 12 2 3 3 2 2" xfId="34031"/>
    <cellStyle name="Vérification 2 2 12 2 3 3 3" xfId="11494"/>
    <cellStyle name="Vérification 2 2 12 2 3 3 4" xfId="27715"/>
    <cellStyle name="Vérification 2 2 12 2 3 4" xfId="21265"/>
    <cellStyle name="Vérification 2 2 12 2 3 4 2" xfId="34406"/>
    <cellStyle name="Vérification 2 2 12 2 3 5" xfId="10953"/>
    <cellStyle name="Vérification 2 2 12 2 3 6" xfId="27176"/>
    <cellStyle name="Vérification 2 2 12 2 4" xfId="3430"/>
    <cellStyle name="Vérification 2 2 12 2 4 2" xfId="8397"/>
    <cellStyle name="Vérification 2 2 12 2 4 2 2" xfId="24621"/>
    <cellStyle name="Vérification 2 2 12 2 4 2 2 2" xfId="36628"/>
    <cellStyle name="Vérification 2 2 12 2 4 2 3" xfId="14404"/>
    <cellStyle name="Vérification 2 2 12 2 4 2 4" xfId="30625"/>
    <cellStyle name="Vérification 2 2 12 2 4 3" xfId="9934"/>
    <cellStyle name="Vérification 2 2 12 2 4 3 2" xfId="26158"/>
    <cellStyle name="Vérification 2 2 12 2 4 3 2 2" xfId="38165"/>
    <cellStyle name="Vérification 2 2 12 2 4 3 3" xfId="15941"/>
    <cellStyle name="Vérification 2 2 12 2 4 3 4" xfId="32162"/>
    <cellStyle name="Vérification 2 2 12 2 4 4" xfId="19658"/>
    <cellStyle name="Vérification 2 2 12 2 4 4 2" xfId="33772"/>
    <cellStyle name="Vérification 2 2 12 2 4 5" xfId="11952"/>
    <cellStyle name="Vérification 2 2 12 2 4 6" xfId="28173"/>
    <cellStyle name="Vérification 2 2 12 2 5" xfId="2994"/>
    <cellStyle name="Vérification 2 2 12 2 5 2" xfId="8084"/>
    <cellStyle name="Vérification 2 2 12 2 5 2 2" xfId="24308"/>
    <cellStyle name="Vérification 2 2 12 2 5 2 2 2" xfId="36315"/>
    <cellStyle name="Vérification 2 2 12 2 5 2 3" xfId="14091"/>
    <cellStyle name="Vérification 2 2 12 2 5 2 4" xfId="30312"/>
    <cellStyle name="Vérification 2 2 12 2 5 3" xfId="19222"/>
    <cellStyle name="Vérification 2 2 12 2 5 3 2" xfId="33336"/>
    <cellStyle name="Vérification 2 2 12 2 5 4" xfId="11639"/>
    <cellStyle name="Vérification 2 2 12 2 5 5" xfId="27860"/>
    <cellStyle name="Vérification 2 2 12 2 6" xfId="7213"/>
    <cellStyle name="Vérification 2 2 12 2 6 2" xfId="23437"/>
    <cellStyle name="Vérification 2 2 12 2 6 2 2" xfId="35444"/>
    <cellStyle name="Vérification 2 2 12 2 6 3" xfId="13597"/>
    <cellStyle name="Vérification 2 2 12 2 6 4" xfId="29818"/>
    <cellStyle name="Vérification 2 2 12 2 7" xfId="17581"/>
    <cellStyle name="Vérification 2 2 12 2 7 2" xfId="32829"/>
    <cellStyle name="Vérification 2 2 12 2 8" xfId="10601"/>
    <cellStyle name="Vérification 2 2 12 2 9" xfId="26826"/>
    <cellStyle name="Vérification 2 2 12 3" xfId="935"/>
    <cellStyle name="Vérification 2 2 12 3 2" xfId="2731"/>
    <cellStyle name="Vérification 2 2 12 3 2 2" xfId="6419"/>
    <cellStyle name="Vérification 2 2 12 3 2 2 2" xfId="8800"/>
    <cellStyle name="Vérification 2 2 12 3 2 2 2 2" xfId="25024"/>
    <cellStyle name="Vérification 2 2 12 3 2 2 2 2 2" xfId="37031"/>
    <cellStyle name="Vérification 2 2 12 3 2 2 2 3" xfId="14807"/>
    <cellStyle name="Vérification 2 2 12 3 2 2 2 4" xfId="31028"/>
    <cellStyle name="Vérification 2 2 12 3 2 2 3" xfId="10178"/>
    <cellStyle name="Vérification 2 2 12 3 2 2 3 2" xfId="26402"/>
    <cellStyle name="Vérification 2 2 12 3 2 2 3 2 2" xfId="38409"/>
    <cellStyle name="Vérification 2 2 12 3 2 2 3 3" xfId="16185"/>
    <cellStyle name="Vérification 2 2 12 3 2 2 3 4" xfId="32406"/>
    <cellStyle name="Vérification 2 2 12 3 2 2 4" xfId="22643"/>
    <cellStyle name="Vérification 2 2 12 3 2 2 4 2" xfId="34650"/>
    <cellStyle name="Vérification 2 2 12 3 2 2 5" xfId="12504"/>
    <cellStyle name="Vérification 2 2 12 3 2 2 6" xfId="28725"/>
    <cellStyle name="Vérification 2 2 12 3 2 3" xfId="7467"/>
    <cellStyle name="Vérification 2 2 12 3 2 3 2" xfId="9511"/>
    <cellStyle name="Vérification 2 2 12 3 2 3 2 2" xfId="25735"/>
    <cellStyle name="Vérification 2 2 12 3 2 3 2 2 2" xfId="37742"/>
    <cellStyle name="Vérification 2 2 12 3 2 3 2 3" xfId="15518"/>
    <cellStyle name="Vérification 2 2 12 3 2 3 2 4" xfId="31739"/>
    <cellStyle name="Vérification 2 2 12 3 2 3 3" xfId="23691"/>
    <cellStyle name="Vérification 2 2 12 3 2 3 3 2" xfId="35698"/>
    <cellStyle name="Vérification 2 2 12 3 2 3 4" xfId="13215"/>
    <cellStyle name="Vérification 2 2 12 3 2 3 5" xfId="29436"/>
    <cellStyle name="Vérification 2 2 12 3 2 4" xfId="7844"/>
    <cellStyle name="Vérification 2 2 12 3 2 4 2" xfId="24068"/>
    <cellStyle name="Vérification 2 2 12 3 2 4 2 2" xfId="36075"/>
    <cellStyle name="Vérification 2 2 12 3 2 4 3" xfId="13851"/>
    <cellStyle name="Vérification 2 2 12 3 2 4 4" xfId="30072"/>
    <cellStyle name="Vérification 2 2 12 3 2 5" xfId="18959"/>
    <cellStyle name="Vérification 2 2 12 3 2 5 2" xfId="33073"/>
    <cellStyle name="Vérification 2 2 12 3 2 6" xfId="11200"/>
    <cellStyle name="Vérification 2 2 12 3 2 7" xfId="27421"/>
    <cellStyle name="Vérification 2 2 12 3 3" xfId="4632"/>
    <cellStyle name="Vérification 2 2 12 3 3 2" xfId="6932"/>
    <cellStyle name="Vérification 2 2 12 3 3 2 2" xfId="9178"/>
    <cellStyle name="Vérification 2 2 12 3 3 2 2 2" xfId="25402"/>
    <cellStyle name="Vérification 2 2 12 3 3 2 2 2 2" xfId="37409"/>
    <cellStyle name="Vérification 2 2 12 3 3 2 2 3" xfId="15185"/>
    <cellStyle name="Vérification 2 2 12 3 3 2 2 4" xfId="31406"/>
    <cellStyle name="Vérification 2 2 12 3 3 2 3" xfId="23156"/>
    <cellStyle name="Vérification 2 2 12 3 3 2 3 2" xfId="35163"/>
    <cellStyle name="Vérification 2 2 12 3 3 2 4" xfId="12882"/>
    <cellStyle name="Vérification 2 2 12 3 3 2 5" xfId="29103"/>
    <cellStyle name="Vérification 2 2 12 3 3 3" xfId="3261"/>
    <cellStyle name="Vérification 2 2 12 3 3 3 2" xfId="19489"/>
    <cellStyle name="Vérification 2 2 12 3 3 3 2 2" xfId="33603"/>
    <cellStyle name="Vérification 2 2 12 3 3 3 3" xfId="12386"/>
    <cellStyle name="Vérification 2 2 12 3 3 3 4" xfId="28607"/>
    <cellStyle name="Vérification 2 2 12 3 3 4" xfId="20858"/>
    <cellStyle name="Vérification 2 2 12 3 3 4 2" xfId="34317"/>
    <cellStyle name="Vérification 2 2 12 3 3 5" xfId="10864"/>
    <cellStyle name="Vérification 2 2 12 3 3 6" xfId="27087"/>
    <cellStyle name="Vérification 2 2 12 3 4" xfId="3264"/>
    <cellStyle name="Vérification 2 2 12 3 4 2" xfId="8264"/>
    <cellStyle name="Vérification 2 2 12 3 4 2 2" xfId="24488"/>
    <cellStyle name="Vérification 2 2 12 3 4 2 2 2" xfId="36495"/>
    <cellStyle name="Vérification 2 2 12 3 4 2 3" xfId="14271"/>
    <cellStyle name="Vérification 2 2 12 3 4 2 4" xfId="30492"/>
    <cellStyle name="Vérification 2 2 12 3 4 3" xfId="9845"/>
    <cellStyle name="Vérification 2 2 12 3 4 3 2" xfId="26069"/>
    <cellStyle name="Vérification 2 2 12 3 4 3 2 2" xfId="38076"/>
    <cellStyle name="Vérification 2 2 12 3 4 3 3" xfId="15852"/>
    <cellStyle name="Vérification 2 2 12 3 4 3 4" xfId="32073"/>
    <cellStyle name="Vérification 2 2 12 3 4 4" xfId="19492"/>
    <cellStyle name="Vérification 2 2 12 3 4 4 2" xfId="33606"/>
    <cellStyle name="Vérification 2 2 12 3 4 5" xfId="11819"/>
    <cellStyle name="Vérification 2 2 12 3 4 6" xfId="28040"/>
    <cellStyle name="Vérification 2 2 12 3 5" xfId="3589"/>
    <cellStyle name="Vérification 2 2 12 3 5 2" xfId="8525"/>
    <cellStyle name="Vérification 2 2 12 3 5 2 2" xfId="24749"/>
    <cellStyle name="Vérification 2 2 12 3 5 2 2 2" xfId="36756"/>
    <cellStyle name="Vérification 2 2 12 3 5 2 3" xfId="14532"/>
    <cellStyle name="Vérification 2 2 12 3 5 2 4" xfId="30753"/>
    <cellStyle name="Vérification 2 2 12 3 5 3" xfId="19817"/>
    <cellStyle name="Vérification 2 2 12 3 5 3 2" xfId="33931"/>
    <cellStyle name="Vérification 2 2 12 3 5 4" xfId="12080"/>
    <cellStyle name="Vérification 2 2 12 3 5 5" xfId="28301"/>
    <cellStyle name="Vérification 2 2 12 3 6" xfId="3658"/>
    <cellStyle name="Vérification 2 2 12 3 6 2" xfId="19886"/>
    <cellStyle name="Vérification 2 2 12 3 6 2 2" xfId="34000"/>
    <cellStyle name="Vérification 2 2 12 3 6 3" xfId="11588"/>
    <cellStyle name="Vérification 2 2 12 3 6 4" xfId="27809"/>
    <cellStyle name="Vérification 2 2 12 3 7" xfId="17174"/>
    <cellStyle name="Vérification 2 2 12 3 7 2" xfId="32740"/>
    <cellStyle name="Vérification 2 2 12 3 8" xfId="10512"/>
    <cellStyle name="Vérification 2 2 12 3 9" xfId="26737"/>
    <cellStyle name="Vérification 2 2 12 4" xfId="2642"/>
    <cellStyle name="Vérification 2 2 12 4 2" xfId="6330"/>
    <cellStyle name="Vérification 2 2 12 4 2 2" xfId="8711"/>
    <cellStyle name="Vérification 2 2 12 4 2 2 2" xfId="24935"/>
    <cellStyle name="Vérification 2 2 12 4 2 2 2 2" xfId="36942"/>
    <cellStyle name="Vérification 2 2 12 4 2 2 3" xfId="14718"/>
    <cellStyle name="Vérification 2 2 12 4 2 2 4" xfId="30939"/>
    <cellStyle name="Vérification 2 2 12 4 2 3" xfId="10089"/>
    <cellStyle name="Vérification 2 2 12 4 2 3 2" xfId="26313"/>
    <cellStyle name="Vérification 2 2 12 4 2 3 2 2" xfId="38320"/>
    <cellStyle name="Vérification 2 2 12 4 2 3 3" xfId="16096"/>
    <cellStyle name="Vérification 2 2 12 4 2 3 4" xfId="32317"/>
    <cellStyle name="Vérification 2 2 12 4 2 4" xfId="22554"/>
    <cellStyle name="Vérification 2 2 12 4 2 4 2" xfId="34561"/>
    <cellStyle name="Vérification 2 2 12 4 2 5" xfId="12415"/>
    <cellStyle name="Vérification 2 2 12 4 2 6" xfId="28636"/>
    <cellStyle name="Vérification 2 2 12 4 3" xfId="7378"/>
    <cellStyle name="Vérification 2 2 12 4 3 2" xfId="9422"/>
    <cellStyle name="Vérification 2 2 12 4 3 2 2" xfId="25646"/>
    <cellStyle name="Vérification 2 2 12 4 3 2 2 2" xfId="37653"/>
    <cellStyle name="Vérification 2 2 12 4 3 2 3" xfId="15429"/>
    <cellStyle name="Vérification 2 2 12 4 3 2 4" xfId="31650"/>
    <cellStyle name="Vérification 2 2 12 4 3 3" xfId="23602"/>
    <cellStyle name="Vérification 2 2 12 4 3 3 2" xfId="35609"/>
    <cellStyle name="Vérification 2 2 12 4 3 4" xfId="13126"/>
    <cellStyle name="Vérification 2 2 12 4 3 5" xfId="29347"/>
    <cellStyle name="Vérification 2 2 12 4 4" xfId="7755"/>
    <cellStyle name="Vérification 2 2 12 4 4 2" xfId="23979"/>
    <cellStyle name="Vérification 2 2 12 4 4 2 2" xfId="35986"/>
    <cellStyle name="Vérification 2 2 12 4 4 3" xfId="13762"/>
    <cellStyle name="Vérification 2 2 12 4 4 4" xfId="29983"/>
    <cellStyle name="Vérification 2 2 12 4 5" xfId="18870"/>
    <cellStyle name="Vérification 2 2 12 4 5 2" xfId="32984"/>
    <cellStyle name="Vérification 2 2 12 4 6" xfId="11111"/>
    <cellStyle name="Vérification 2 2 12 4 7" xfId="27332"/>
    <cellStyle name="Vérification 2 2 12 5" xfId="4056"/>
    <cellStyle name="Vérification 2 2 12 5 2" xfId="6769"/>
    <cellStyle name="Vérification 2 2 12 5 2 2" xfId="9089"/>
    <cellStyle name="Vérification 2 2 12 5 2 2 2" xfId="25313"/>
    <cellStyle name="Vérification 2 2 12 5 2 2 2 2" xfId="37320"/>
    <cellStyle name="Vérification 2 2 12 5 2 2 3" xfId="15096"/>
    <cellStyle name="Vérification 2 2 12 5 2 2 4" xfId="31317"/>
    <cellStyle name="Vérification 2 2 12 5 2 3" xfId="22993"/>
    <cellStyle name="Vérification 2 2 12 5 2 3 2" xfId="35000"/>
    <cellStyle name="Vérification 2 2 12 5 2 4" xfId="12793"/>
    <cellStyle name="Vérification 2 2 12 5 2 5" xfId="29014"/>
    <cellStyle name="Vérification 2 2 12 5 3" xfId="7295"/>
    <cellStyle name="Vérification 2 2 12 5 3 2" xfId="23519"/>
    <cellStyle name="Vérification 2 2 12 5 3 2 2" xfId="35526"/>
    <cellStyle name="Vérification 2 2 12 5 3 3" xfId="13678"/>
    <cellStyle name="Vérification 2 2 12 5 3 4" xfId="29899"/>
    <cellStyle name="Vérification 2 2 12 5 4" xfId="20283"/>
    <cellStyle name="Vérification 2 2 12 5 4 2" xfId="34228"/>
    <cellStyle name="Vérification 2 2 12 5 5" xfId="10768"/>
    <cellStyle name="Vérification 2 2 12 5 6" xfId="26991"/>
    <cellStyle name="Vérification 2 2 12 6" xfId="3038"/>
    <cellStyle name="Vérification 2 2 12 6 2" xfId="8115"/>
    <cellStyle name="Vérification 2 2 12 6 2 2" xfId="24339"/>
    <cellStyle name="Vérification 2 2 12 6 2 2 2" xfId="36346"/>
    <cellStyle name="Vérification 2 2 12 6 2 3" xfId="14122"/>
    <cellStyle name="Vérification 2 2 12 6 2 4" xfId="30343"/>
    <cellStyle name="Vérification 2 2 12 6 3" xfId="9756"/>
    <cellStyle name="Vérification 2 2 12 6 3 2" xfId="25980"/>
    <cellStyle name="Vérification 2 2 12 6 3 2 2" xfId="37987"/>
    <cellStyle name="Vérification 2 2 12 6 3 3" xfId="15763"/>
    <cellStyle name="Vérification 2 2 12 6 3 4" xfId="31984"/>
    <cellStyle name="Vérification 2 2 12 6 4" xfId="19266"/>
    <cellStyle name="Vérification 2 2 12 6 4 2" xfId="33380"/>
    <cellStyle name="Vérification 2 2 12 6 5" xfId="11670"/>
    <cellStyle name="Vérification 2 2 12 6 6" xfId="27891"/>
    <cellStyle name="Vérification 2 2 12 7" xfId="3661"/>
    <cellStyle name="Vérification 2 2 12 7 2" xfId="8562"/>
    <cellStyle name="Vérification 2 2 12 7 2 2" xfId="24786"/>
    <cellStyle name="Vérification 2 2 12 7 2 2 2" xfId="36793"/>
    <cellStyle name="Vérification 2 2 12 7 2 3" xfId="14569"/>
    <cellStyle name="Vérification 2 2 12 7 2 4" xfId="30790"/>
    <cellStyle name="Vérification 2 2 12 7 3" xfId="19889"/>
    <cellStyle name="Vérification 2 2 12 7 3 2" xfId="34003"/>
    <cellStyle name="Vérification 2 2 12 7 4" xfId="12117"/>
    <cellStyle name="Vérification 2 2 12 7 5" xfId="28338"/>
    <cellStyle name="Vérification 2 2 12 8" xfId="6731"/>
    <cellStyle name="Vérification 2 2 12 8 2" xfId="22955"/>
    <cellStyle name="Vérification 2 2 12 8 2 2" xfId="34962"/>
    <cellStyle name="Vérification 2 2 12 8 3" xfId="12324"/>
    <cellStyle name="Vérification 2 2 12 8 4" xfId="28545"/>
    <cellStyle name="Vérification 2 2 12 9" xfId="16599"/>
    <cellStyle name="Vérification 2 2 12 9 2" xfId="32651"/>
    <cellStyle name="Vérification 2 2 13" xfId="542"/>
    <cellStyle name="Vérification 2 2 13 10" xfId="10468"/>
    <cellStyle name="Vérification 2 2 13 11" xfId="26693"/>
    <cellStyle name="Vérification 2 2 13 2" xfId="1387"/>
    <cellStyle name="Vérification 2 2 13 2 2" xfId="2865"/>
    <cellStyle name="Vérification 2 2 13 2 2 2" xfId="6553"/>
    <cellStyle name="Vérification 2 2 13 2 2 2 2" xfId="8934"/>
    <cellStyle name="Vérification 2 2 13 2 2 2 2 2" xfId="25158"/>
    <cellStyle name="Vérification 2 2 13 2 2 2 2 2 2" xfId="37165"/>
    <cellStyle name="Vérification 2 2 13 2 2 2 2 3" xfId="14941"/>
    <cellStyle name="Vérification 2 2 13 2 2 2 2 4" xfId="31162"/>
    <cellStyle name="Vérification 2 2 13 2 2 2 3" xfId="10312"/>
    <cellStyle name="Vérification 2 2 13 2 2 2 3 2" xfId="26536"/>
    <cellStyle name="Vérification 2 2 13 2 2 2 3 2 2" xfId="38543"/>
    <cellStyle name="Vérification 2 2 13 2 2 2 3 3" xfId="16319"/>
    <cellStyle name="Vérification 2 2 13 2 2 2 3 4" xfId="32540"/>
    <cellStyle name="Vérification 2 2 13 2 2 2 4" xfId="22777"/>
    <cellStyle name="Vérification 2 2 13 2 2 2 4 2" xfId="34784"/>
    <cellStyle name="Vérification 2 2 13 2 2 2 5" xfId="12638"/>
    <cellStyle name="Vérification 2 2 13 2 2 2 6" xfId="28859"/>
    <cellStyle name="Vérification 2 2 13 2 2 3" xfId="7601"/>
    <cellStyle name="Vérification 2 2 13 2 2 3 2" xfId="9645"/>
    <cellStyle name="Vérification 2 2 13 2 2 3 2 2" xfId="25869"/>
    <cellStyle name="Vérification 2 2 13 2 2 3 2 2 2" xfId="37876"/>
    <cellStyle name="Vérification 2 2 13 2 2 3 2 3" xfId="15652"/>
    <cellStyle name="Vérification 2 2 13 2 2 3 2 4" xfId="31873"/>
    <cellStyle name="Vérification 2 2 13 2 2 3 3" xfId="23825"/>
    <cellStyle name="Vérification 2 2 13 2 2 3 3 2" xfId="35832"/>
    <cellStyle name="Vérification 2 2 13 2 2 3 4" xfId="13349"/>
    <cellStyle name="Vérification 2 2 13 2 2 3 5" xfId="29570"/>
    <cellStyle name="Vérification 2 2 13 2 2 4" xfId="7978"/>
    <cellStyle name="Vérification 2 2 13 2 2 4 2" xfId="24202"/>
    <cellStyle name="Vérification 2 2 13 2 2 4 2 2" xfId="36209"/>
    <cellStyle name="Vérification 2 2 13 2 2 4 3" xfId="13985"/>
    <cellStyle name="Vérification 2 2 13 2 2 4 4" xfId="30206"/>
    <cellStyle name="Vérification 2 2 13 2 2 5" xfId="19093"/>
    <cellStyle name="Vérification 2 2 13 2 2 5 2" xfId="33207"/>
    <cellStyle name="Vérification 2 2 13 2 2 6" xfId="11334"/>
    <cellStyle name="Vérification 2 2 13 2 2 7" xfId="27555"/>
    <cellStyle name="Vérification 2 2 13 2 3" xfId="5084"/>
    <cellStyle name="Vérification 2 2 13 2 3 2" xfId="7111"/>
    <cellStyle name="Vérification 2 2 13 2 3 2 2" xfId="9312"/>
    <cellStyle name="Vérification 2 2 13 2 3 2 2 2" xfId="25536"/>
    <cellStyle name="Vérification 2 2 13 2 3 2 2 2 2" xfId="37543"/>
    <cellStyle name="Vérification 2 2 13 2 3 2 2 3" xfId="15319"/>
    <cellStyle name="Vérification 2 2 13 2 3 2 2 4" xfId="31540"/>
    <cellStyle name="Vérification 2 2 13 2 3 2 3" xfId="23335"/>
    <cellStyle name="Vérification 2 2 13 2 3 2 3 2" xfId="35342"/>
    <cellStyle name="Vérification 2 2 13 2 3 2 4" xfId="13016"/>
    <cellStyle name="Vérification 2 2 13 2 3 2 5" xfId="29237"/>
    <cellStyle name="Vérification 2 2 13 2 3 3" xfId="6858"/>
    <cellStyle name="Vérification 2 2 13 2 3 3 2" xfId="23082"/>
    <cellStyle name="Vérification 2 2 13 2 3 3 2 2" xfId="35089"/>
    <cellStyle name="Vérification 2 2 13 2 3 3 3" xfId="13461"/>
    <cellStyle name="Vérification 2 2 13 2 3 3 4" xfId="29682"/>
    <cellStyle name="Vérification 2 2 13 2 3 4" xfId="21310"/>
    <cellStyle name="Vérification 2 2 13 2 3 4 2" xfId="34451"/>
    <cellStyle name="Vérification 2 2 13 2 3 5" xfId="10998"/>
    <cellStyle name="Vérification 2 2 13 2 3 6" xfId="27221"/>
    <cellStyle name="Vérification 2 2 13 2 4" xfId="3475"/>
    <cellStyle name="Vérification 2 2 13 2 4 2" xfId="8442"/>
    <cellStyle name="Vérification 2 2 13 2 4 2 2" xfId="24666"/>
    <cellStyle name="Vérification 2 2 13 2 4 2 2 2" xfId="36673"/>
    <cellStyle name="Vérification 2 2 13 2 4 2 3" xfId="14449"/>
    <cellStyle name="Vérification 2 2 13 2 4 2 4" xfId="30670"/>
    <cellStyle name="Vérification 2 2 13 2 4 3" xfId="9979"/>
    <cellStyle name="Vérification 2 2 13 2 4 3 2" xfId="26203"/>
    <cellStyle name="Vérification 2 2 13 2 4 3 2 2" xfId="38210"/>
    <cellStyle name="Vérification 2 2 13 2 4 3 3" xfId="15986"/>
    <cellStyle name="Vérification 2 2 13 2 4 3 4" xfId="32207"/>
    <cellStyle name="Vérification 2 2 13 2 4 4" xfId="19703"/>
    <cellStyle name="Vérification 2 2 13 2 4 4 2" xfId="33817"/>
    <cellStyle name="Vérification 2 2 13 2 4 5" xfId="11997"/>
    <cellStyle name="Vérification 2 2 13 2 4 6" xfId="28218"/>
    <cellStyle name="Vérification 2 2 13 2 5" xfId="3765"/>
    <cellStyle name="Vérification 2 2 13 2 5 2" xfId="8619"/>
    <cellStyle name="Vérification 2 2 13 2 5 2 2" xfId="24843"/>
    <cellStyle name="Vérification 2 2 13 2 5 2 2 2" xfId="36850"/>
    <cellStyle name="Vérification 2 2 13 2 5 2 3" xfId="14626"/>
    <cellStyle name="Vérification 2 2 13 2 5 2 4" xfId="30847"/>
    <cellStyle name="Vérification 2 2 13 2 5 3" xfId="19993"/>
    <cellStyle name="Vérification 2 2 13 2 5 3 2" xfId="34107"/>
    <cellStyle name="Vérification 2 2 13 2 5 4" xfId="12174"/>
    <cellStyle name="Vérification 2 2 13 2 5 5" xfId="28395"/>
    <cellStyle name="Vérification 2 2 13 2 6" xfId="7161"/>
    <cellStyle name="Vérification 2 2 13 2 6 2" xfId="23385"/>
    <cellStyle name="Vérification 2 2 13 2 6 2 2" xfId="35392"/>
    <cellStyle name="Vérification 2 2 13 2 6 3" xfId="13545"/>
    <cellStyle name="Vérification 2 2 13 2 6 4" xfId="29766"/>
    <cellStyle name="Vérification 2 2 13 2 7" xfId="17626"/>
    <cellStyle name="Vérification 2 2 13 2 7 2" xfId="32874"/>
    <cellStyle name="Vérification 2 2 13 2 8" xfId="10646"/>
    <cellStyle name="Vérification 2 2 13 2 9" xfId="26871"/>
    <cellStyle name="Vérification 2 2 13 3" xfId="1148"/>
    <cellStyle name="Vérification 2 2 13 3 2" xfId="2776"/>
    <cellStyle name="Vérification 2 2 13 3 2 2" xfId="6464"/>
    <cellStyle name="Vérification 2 2 13 3 2 2 2" xfId="8845"/>
    <cellStyle name="Vérification 2 2 13 3 2 2 2 2" xfId="25069"/>
    <cellStyle name="Vérification 2 2 13 3 2 2 2 2 2" xfId="37076"/>
    <cellStyle name="Vérification 2 2 13 3 2 2 2 3" xfId="14852"/>
    <cellStyle name="Vérification 2 2 13 3 2 2 2 4" xfId="31073"/>
    <cellStyle name="Vérification 2 2 13 3 2 2 3" xfId="10223"/>
    <cellStyle name="Vérification 2 2 13 3 2 2 3 2" xfId="26447"/>
    <cellStyle name="Vérification 2 2 13 3 2 2 3 2 2" xfId="38454"/>
    <cellStyle name="Vérification 2 2 13 3 2 2 3 3" xfId="16230"/>
    <cellStyle name="Vérification 2 2 13 3 2 2 3 4" xfId="32451"/>
    <cellStyle name="Vérification 2 2 13 3 2 2 4" xfId="22688"/>
    <cellStyle name="Vérification 2 2 13 3 2 2 4 2" xfId="34695"/>
    <cellStyle name="Vérification 2 2 13 3 2 2 5" xfId="12549"/>
    <cellStyle name="Vérification 2 2 13 3 2 2 6" xfId="28770"/>
    <cellStyle name="Vérification 2 2 13 3 2 3" xfId="7512"/>
    <cellStyle name="Vérification 2 2 13 3 2 3 2" xfId="9556"/>
    <cellStyle name="Vérification 2 2 13 3 2 3 2 2" xfId="25780"/>
    <cellStyle name="Vérification 2 2 13 3 2 3 2 2 2" xfId="37787"/>
    <cellStyle name="Vérification 2 2 13 3 2 3 2 3" xfId="15563"/>
    <cellStyle name="Vérification 2 2 13 3 2 3 2 4" xfId="31784"/>
    <cellStyle name="Vérification 2 2 13 3 2 3 3" xfId="23736"/>
    <cellStyle name="Vérification 2 2 13 3 2 3 3 2" xfId="35743"/>
    <cellStyle name="Vérification 2 2 13 3 2 3 4" xfId="13260"/>
    <cellStyle name="Vérification 2 2 13 3 2 3 5" xfId="29481"/>
    <cellStyle name="Vérification 2 2 13 3 2 4" xfId="7889"/>
    <cellStyle name="Vérification 2 2 13 3 2 4 2" xfId="24113"/>
    <cellStyle name="Vérification 2 2 13 3 2 4 2 2" xfId="36120"/>
    <cellStyle name="Vérification 2 2 13 3 2 4 3" xfId="13896"/>
    <cellStyle name="Vérification 2 2 13 3 2 4 4" xfId="30117"/>
    <cellStyle name="Vérification 2 2 13 3 2 5" xfId="19004"/>
    <cellStyle name="Vérification 2 2 13 3 2 5 2" xfId="33118"/>
    <cellStyle name="Vérification 2 2 13 3 2 6" xfId="11245"/>
    <cellStyle name="Vérification 2 2 13 3 2 7" xfId="27466"/>
    <cellStyle name="Vérification 2 2 13 3 3" xfId="4845"/>
    <cellStyle name="Vérification 2 2 13 3 3 2" xfId="7004"/>
    <cellStyle name="Vérification 2 2 13 3 3 2 2" xfId="9223"/>
    <cellStyle name="Vérification 2 2 13 3 3 2 2 2" xfId="25447"/>
    <cellStyle name="Vérification 2 2 13 3 3 2 2 2 2" xfId="37454"/>
    <cellStyle name="Vérification 2 2 13 3 3 2 2 3" xfId="15230"/>
    <cellStyle name="Vérification 2 2 13 3 3 2 2 4" xfId="31451"/>
    <cellStyle name="Vérification 2 2 13 3 3 2 3" xfId="23228"/>
    <cellStyle name="Vérification 2 2 13 3 3 2 3 2" xfId="35235"/>
    <cellStyle name="Vérification 2 2 13 3 3 2 4" xfId="12927"/>
    <cellStyle name="Vérification 2 2 13 3 3 2 5" xfId="29148"/>
    <cellStyle name="Vérification 2 2 13 3 3 3" xfId="3301"/>
    <cellStyle name="Vérification 2 2 13 3 3 3 2" xfId="19529"/>
    <cellStyle name="Vérification 2 2 13 3 3 3 2 2" xfId="33643"/>
    <cellStyle name="Vérification 2 2 13 3 3 3 3" xfId="11530"/>
    <cellStyle name="Vérification 2 2 13 3 3 3 4" xfId="27751"/>
    <cellStyle name="Vérification 2 2 13 3 3 4" xfId="21071"/>
    <cellStyle name="Vérification 2 2 13 3 3 4 2" xfId="34362"/>
    <cellStyle name="Vérification 2 2 13 3 3 5" xfId="10909"/>
    <cellStyle name="Vérification 2 2 13 3 3 6" xfId="27132"/>
    <cellStyle name="Vérification 2 2 13 3 4" xfId="3351"/>
    <cellStyle name="Vérification 2 2 13 3 4 2" xfId="8333"/>
    <cellStyle name="Vérification 2 2 13 3 4 2 2" xfId="24557"/>
    <cellStyle name="Vérification 2 2 13 3 4 2 2 2" xfId="36564"/>
    <cellStyle name="Vérification 2 2 13 3 4 2 3" xfId="14340"/>
    <cellStyle name="Vérification 2 2 13 3 4 2 4" xfId="30561"/>
    <cellStyle name="Vérification 2 2 13 3 4 3" xfId="9890"/>
    <cellStyle name="Vérification 2 2 13 3 4 3 2" xfId="26114"/>
    <cellStyle name="Vérification 2 2 13 3 4 3 2 2" xfId="38121"/>
    <cellStyle name="Vérification 2 2 13 3 4 3 3" xfId="15897"/>
    <cellStyle name="Vérification 2 2 13 3 4 3 4" xfId="32118"/>
    <cellStyle name="Vérification 2 2 13 3 4 4" xfId="19579"/>
    <cellStyle name="Vérification 2 2 13 3 4 4 2" xfId="33693"/>
    <cellStyle name="Vérification 2 2 13 3 4 5" xfId="11888"/>
    <cellStyle name="Vérification 2 2 13 3 4 6" xfId="28109"/>
    <cellStyle name="Vérification 2 2 13 3 5" xfId="3576"/>
    <cellStyle name="Vérification 2 2 13 3 5 2" xfId="8519"/>
    <cellStyle name="Vérification 2 2 13 3 5 2 2" xfId="24743"/>
    <cellStyle name="Vérification 2 2 13 3 5 2 2 2" xfId="36750"/>
    <cellStyle name="Vérification 2 2 13 3 5 2 3" xfId="14526"/>
    <cellStyle name="Vérification 2 2 13 3 5 2 4" xfId="30747"/>
    <cellStyle name="Vérification 2 2 13 3 5 3" xfId="19804"/>
    <cellStyle name="Vérification 2 2 13 3 5 3 2" xfId="33918"/>
    <cellStyle name="Vérification 2 2 13 3 5 4" xfId="12074"/>
    <cellStyle name="Vérification 2 2 13 3 5 5" xfId="28295"/>
    <cellStyle name="Vérification 2 2 13 3 6" xfId="3813"/>
    <cellStyle name="Vérification 2 2 13 3 6 2" xfId="20041"/>
    <cellStyle name="Vérification 2 2 13 3 6 2 2" xfId="34155"/>
    <cellStyle name="Vérification 2 2 13 3 6 3" xfId="12260"/>
    <cellStyle name="Vérification 2 2 13 3 6 4" xfId="28481"/>
    <cellStyle name="Vérification 2 2 13 3 7" xfId="17387"/>
    <cellStyle name="Vérification 2 2 13 3 7 2" xfId="32785"/>
    <cellStyle name="Vérification 2 2 13 3 8" xfId="10557"/>
    <cellStyle name="Vérification 2 2 13 3 9" xfId="26782"/>
    <cellStyle name="Vérification 2 2 13 4" xfId="2687"/>
    <cellStyle name="Vérification 2 2 13 4 2" xfId="6375"/>
    <cellStyle name="Vérification 2 2 13 4 2 2" xfId="8756"/>
    <cellStyle name="Vérification 2 2 13 4 2 2 2" xfId="24980"/>
    <cellStyle name="Vérification 2 2 13 4 2 2 2 2" xfId="36987"/>
    <cellStyle name="Vérification 2 2 13 4 2 2 3" xfId="14763"/>
    <cellStyle name="Vérification 2 2 13 4 2 2 4" xfId="30984"/>
    <cellStyle name="Vérification 2 2 13 4 2 3" xfId="10134"/>
    <cellStyle name="Vérification 2 2 13 4 2 3 2" xfId="26358"/>
    <cellStyle name="Vérification 2 2 13 4 2 3 2 2" xfId="38365"/>
    <cellStyle name="Vérification 2 2 13 4 2 3 3" xfId="16141"/>
    <cellStyle name="Vérification 2 2 13 4 2 3 4" xfId="32362"/>
    <cellStyle name="Vérification 2 2 13 4 2 4" xfId="22599"/>
    <cellStyle name="Vérification 2 2 13 4 2 4 2" xfId="34606"/>
    <cellStyle name="Vérification 2 2 13 4 2 5" xfId="12460"/>
    <cellStyle name="Vérification 2 2 13 4 2 6" xfId="28681"/>
    <cellStyle name="Vérification 2 2 13 4 3" xfId="7423"/>
    <cellStyle name="Vérification 2 2 13 4 3 2" xfId="9467"/>
    <cellStyle name="Vérification 2 2 13 4 3 2 2" xfId="25691"/>
    <cellStyle name="Vérification 2 2 13 4 3 2 2 2" xfId="37698"/>
    <cellStyle name="Vérification 2 2 13 4 3 2 3" xfId="15474"/>
    <cellStyle name="Vérification 2 2 13 4 3 2 4" xfId="31695"/>
    <cellStyle name="Vérification 2 2 13 4 3 3" xfId="23647"/>
    <cellStyle name="Vérification 2 2 13 4 3 3 2" xfId="35654"/>
    <cellStyle name="Vérification 2 2 13 4 3 4" xfId="13171"/>
    <cellStyle name="Vérification 2 2 13 4 3 5" xfId="29392"/>
    <cellStyle name="Vérification 2 2 13 4 4" xfId="7800"/>
    <cellStyle name="Vérification 2 2 13 4 4 2" xfId="24024"/>
    <cellStyle name="Vérification 2 2 13 4 4 2 2" xfId="36031"/>
    <cellStyle name="Vérification 2 2 13 4 4 3" xfId="13807"/>
    <cellStyle name="Vérification 2 2 13 4 4 4" xfId="30028"/>
    <cellStyle name="Vérification 2 2 13 4 5" xfId="18915"/>
    <cellStyle name="Vérification 2 2 13 4 5 2" xfId="33029"/>
    <cellStyle name="Vérification 2 2 13 4 6" xfId="11156"/>
    <cellStyle name="Vérification 2 2 13 4 7" xfId="27377"/>
    <cellStyle name="Vérification 2 2 13 5" xfId="4270"/>
    <cellStyle name="Vérification 2 2 13 5 2" xfId="6841"/>
    <cellStyle name="Vérification 2 2 13 5 2 2" xfId="9134"/>
    <cellStyle name="Vérification 2 2 13 5 2 2 2" xfId="25358"/>
    <cellStyle name="Vérification 2 2 13 5 2 2 2 2" xfId="37365"/>
    <cellStyle name="Vérification 2 2 13 5 2 2 3" xfId="15141"/>
    <cellStyle name="Vérification 2 2 13 5 2 2 4" xfId="31362"/>
    <cellStyle name="Vérification 2 2 13 5 2 3" xfId="23065"/>
    <cellStyle name="Vérification 2 2 13 5 2 3 2" xfId="35072"/>
    <cellStyle name="Vérification 2 2 13 5 2 4" xfId="12838"/>
    <cellStyle name="Vérification 2 2 13 5 2 5" xfId="29059"/>
    <cellStyle name="Vérification 2 2 13 5 3" xfId="6698"/>
    <cellStyle name="Vérification 2 2 13 5 3 2" xfId="22922"/>
    <cellStyle name="Vérification 2 2 13 5 3 2 2" xfId="34929"/>
    <cellStyle name="Vérification 2 2 13 5 3 3" xfId="12367"/>
    <cellStyle name="Vérification 2 2 13 5 3 4" xfId="28588"/>
    <cellStyle name="Vérification 2 2 13 5 4" xfId="20496"/>
    <cellStyle name="Vérification 2 2 13 5 4 2" xfId="34273"/>
    <cellStyle name="Vérification 2 2 13 5 5" xfId="10813"/>
    <cellStyle name="Vérification 2 2 13 5 6" xfId="27036"/>
    <cellStyle name="Vérification 2 2 13 6" xfId="3133"/>
    <cellStyle name="Vérification 2 2 13 6 2" xfId="8181"/>
    <cellStyle name="Vérification 2 2 13 6 2 2" xfId="24405"/>
    <cellStyle name="Vérification 2 2 13 6 2 2 2" xfId="36412"/>
    <cellStyle name="Vérification 2 2 13 6 2 3" xfId="14188"/>
    <cellStyle name="Vérification 2 2 13 6 2 4" xfId="30409"/>
    <cellStyle name="Vérification 2 2 13 6 3" xfId="9801"/>
    <cellStyle name="Vérification 2 2 13 6 3 2" xfId="26025"/>
    <cellStyle name="Vérification 2 2 13 6 3 2 2" xfId="38032"/>
    <cellStyle name="Vérification 2 2 13 6 3 3" xfId="15808"/>
    <cellStyle name="Vérification 2 2 13 6 3 4" xfId="32029"/>
    <cellStyle name="Vérification 2 2 13 6 4" xfId="19361"/>
    <cellStyle name="Vérification 2 2 13 6 4 2" xfId="33475"/>
    <cellStyle name="Vérification 2 2 13 6 5" xfId="11736"/>
    <cellStyle name="Vérification 2 2 13 6 6" xfId="27957"/>
    <cellStyle name="Vérification 2 2 13 7" xfId="3243"/>
    <cellStyle name="Vérification 2 2 13 7 2" xfId="8251"/>
    <cellStyle name="Vérification 2 2 13 7 2 2" xfId="24475"/>
    <cellStyle name="Vérification 2 2 13 7 2 2 2" xfId="36482"/>
    <cellStyle name="Vérification 2 2 13 7 2 3" xfId="14258"/>
    <cellStyle name="Vérification 2 2 13 7 2 4" xfId="30479"/>
    <cellStyle name="Vérification 2 2 13 7 3" xfId="19471"/>
    <cellStyle name="Vérification 2 2 13 7 3 2" xfId="33585"/>
    <cellStyle name="Vérification 2 2 13 7 4" xfId="11806"/>
    <cellStyle name="Vérification 2 2 13 7 5" xfId="28027"/>
    <cellStyle name="Vérification 2 2 13 8" xfId="3182"/>
    <cellStyle name="Vérification 2 2 13 8 2" xfId="19410"/>
    <cellStyle name="Vérification 2 2 13 8 2 2" xfId="33524"/>
    <cellStyle name="Vérification 2 2 13 8 3" xfId="13494"/>
    <cellStyle name="Vérification 2 2 13 8 4" xfId="29715"/>
    <cellStyle name="Vérification 2 2 13 9" xfId="16812"/>
    <cellStyle name="Vérification 2 2 13 9 2" xfId="32696"/>
    <cellStyle name="Vérification 2 2 14" xfId="741"/>
    <cellStyle name="Vérification 2 2 14 10" xfId="26715"/>
    <cellStyle name="Vérification 2 2 14 2" xfId="1409"/>
    <cellStyle name="Vérification 2 2 14 2 2" xfId="2887"/>
    <cellStyle name="Vérification 2 2 14 2 2 2" xfId="6575"/>
    <cellStyle name="Vérification 2 2 14 2 2 2 2" xfId="8956"/>
    <cellStyle name="Vérification 2 2 14 2 2 2 2 2" xfId="25180"/>
    <cellStyle name="Vérification 2 2 14 2 2 2 2 2 2" xfId="37187"/>
    <cellStyle name="Vérification 2 2 14 2 2 2 2 3" xfId="14963"/>
    <cellStyle name="Vérification 2 2 14 2 2 2 2 4" xfId="31184"/>
    <cellStyle name="Vérification 2 2 14 2 2 2 3" xfId="10334"/>
    <cellStyle name="Vérification 2 2 14 2 2 2 3 2" xfId="26558"/>
    <cellStyle name="Vérification 2 2 14 2 2 2 3 2 2" xfId="38565"/>
    <cellStyle name="Vérification 2 2 14 2 2 2 3 3" xfId="16341"/>
    <cellStyle name="Vérification 2 2 14 2 2 2 3 4" xfId="32562"/>
    <cellStyle name="Vérification 2 2 14 2 2 2 4" xfId="22799"/>
    <cellStyle name="Vérification 2 2 14 2 2 2 4 2" xfId="34806"/>
    <cellStyle name="Vérification 2 2 14 2 2 2 5" xfId="12660"/>
    <cellStyle name="Vérification 2 2 14 2 2 2 6" xfId="28881"/>
    <cellStyle name="Vérification 2 2 14 2 2 3" xfId="7623"/>
    <cellStyle name="Vérification 2 2 14 2 2 3 2" xfId="9667"/>
    <cellStyle name="Vérification 2 2 14 2 2 3 2 2" xfId="25891"/>
    <cellStyle name="Vérification 2 2 14 2 2 3 2 2 2" xfId="37898"/>
    <cellStyle name="Vérification 2 2 14 2 2 3 2 3" xfId="15674"/>
    <cellStyle name="Vérification 2 2 14 2 2 3 2 4" xfId="31895"/>
    <cellStyle name="Vérification 2 2 14 2 2 3 3" xfId="23847"/>
    <cellStyle name="Vérification 2 2 14 2 2 3 3 2" xfId="35854"/>
    <cellStyle name="Vérification 2 2 14 2 2 3 4" xfId="13371"/>
    <cellStyle name="Vérification 2 2 14 2 2 3 5" xfId="29592"/>
    <cellStyle name="Vérification 2 2 14 2 2 4" xfId="8000"/>
    <cellStyle name="Vérification 2 2 14 2 2 4 2" xfId="24224"/>
    <cellStyle name="Vérification 2 2 14 2 2 4 2 2" xfId="36231"/>
    <cellStyle name="Vérification 2 2 14 2 2 4 3" xfId="14007"/>
    <cellStyle name="Vérification 2 2 14 2 2 4 4" xfId="30228"/>
    <cellStyle name="Vérification 2 2 14 2 2 5" xfId="19115"/>
    <cellStyle name="Vérification 2 2 14 2 2 5 2" xfId="33229"/>
    <cellStyle name="Vérification 2 2 14 2 2 6" xfId="11356"/>
    <cellStyle name="Vérification 2 2 14 2 2 7" xfId="27577"/>
    <cellStyle name="Vérification 2 2 14 2 3" xfId="5106"/>
    <cellStyle name="Vérification 2 2 14 2 3 2" xfId="7133"/>
    <cellStyle name="Vérification 2 2 14 2 3 2 2" xfId="9334"/>
    <cellStyle name="Vérification 2 2 14 2 3 2 2 2" xfId="25558"/>
    <cellStyle name="Vérification 2 2 14 2 3 2 2 2 2" xfId="37565"/>
    <cellStyle name="Vérification 2 2 14 2 3 2 2 3" xfId="15341"/>
    <cellStyle name="Vérification 2 2 14 2 3 2 2 4" xfId="31562"/>
    <cellStyle name="Vérification 2 2 14 2 3 2 3" xfId="23357"/>
    <cellStyle name="Vérification 2 2 14 2 3 2 3 2" xfId="35364"/>
    <cellStyle name="Vérification 2 2 14 2 3 2 4" xfId="13038"/>
    <cellStyle name="Vérification 2 2 14 2 3 2 5" xfId="29259"/>
    <cellStyle name="Vérification 2 2 14 2 3 3" xfId="3095"/>
    <cellStyle name="Vérification 2 2 14 2 3 3 2" xfId="19323"/>
    <cellStyle name="Vérification 2 2 14 2 3 3 2 2" xfId="33437"/>
    <cellStyle name="Vérification 2 2 14 2 3 3 3" xfId="11517"/>
    <cellStyle name="Vérification 2 2 14 2 3 3 4" xfId="27738"/>
    <cellStyle name="Vérification 2 2 14 2 3 4" xfId="21332"/>
    <cellStyle name="Vérification 2 2 14 2 3 4 2" xfId="34473"/>
    <cellStyle name="Vérification 2 2 14 2 3 5" xfId="11020"/>
    <cellStyle name="Vérification 2 2 14 2 3 6" xfId="27243"/>
    <cellStyle name="Vérification 2 2 14 2 4" xfId="3497"/>
    <cellStyle name="Vérification 2 2 14 2 4 2" xfId="8464"/>
    <cellStyle name="Vérification 2 2 14 2 4 2 2" xfId="24688"/>
    <cellStyle name="Vérification 2 2 14 2 4 2 2 2" xfId="36695"/>
    <cellStyle name="Vérification 2 2 14 2 4 2 3" xfId="14471"/>
    <cellStyle name="Vérification 2 2 14 2 4 2 4" xfId="30692"/>
    <cellStyle name="Vérification 2 2 14 2 4 3" xfId="10001"/>
    <cellStyle name="Vérification 2 2 14 2 4 3 2" xfId="26225"/>
    <cellStyle name="Vérification 2 2 14 2 4 3 2 2" xfId="38232"/>
    <cellStyle name="Vérification 2 2 14 2 4 3 3" xfId="16008"/>
    <cellStyle name="Vérification 2 2 14 2 4 3 4" xfId="32229"/>
    <cellStyle name="Vérification 2 2 14 2 4 4" xfId="19725"/>
    <cellStyle name="Vérification 2 2 14 2 4 4 2" xfId="33839"/>
    <cellStyle name="Vérification 2 2 14 2 4 5" xfId="12019"/>
    <cellStyle name="Vérification 2 2 14 2 4 6" xfId="28240"/>
    <cellStyle name="Vérification 2 2 14 2 5" xfId="3532"/>
    <cellStyle name="Vérification 2 2 14 2 5 2" xfId="8494"/>
    <cellStyle name="Vérification 2 2 14 2 5 2 2" xfId="24718"/>
    <cellStyle name="Vérification 2 2 14 2 5 2 2 2" xfId="36725"/>
    <cellStyle name="Vérification 2 2 14 2 5 2 3" xfId="14501"/>
    <cellStyle name="Vérification 2 2 14 2 5 2 4" xfId="30722"/>
    <cellStyle name="Vérification 2 2 14 2 5 3" xfId="19760"/>
    <cellStyle name="Vérification 2 2 14 2 5 3 2" xfId="33874"/>
    <cellStyle name="Vérification 2 2 14 2 5 4" xfId="12049"/>
    <cellStyle name="Vérification 2 2 14 2 5 5" xfId="28270"/>
    <cellStyle name="Vérification 2 2 14 2 6" xfId="3675"/>
    <cellStyle name="Vérification 2 2 14 2 6 2" xfId="19903"/>
    <cellStyle name="Vérification 2 2 14 2 6 2 2" xfId="34017"/>
    <cellStyle name="Vérification 2 2 14 2 6 3" xfId="13439"/>
    <cellStyle name="Vérification 2 2 14 2 6 4" xfId="29660"/>
    <cellStyle name="Vérification 2 2 14 2 7" xfId="17648"/>
    <cellStyle name="Vérification 2 2 14 2 7 2" xfId="32896"/>
    <cellStyle name="Vérification 2 2 14 2 8" xfId="10668"/>
    <cellStyle name="Vérification 2 2 14 2 9" xfId="26893"/>
    <cellStyle name="Vérification 2 2 14 3" xfId="2709"/>
    <cellStyle name="Vérification 2 2 14 3 2" xfId="6397"/>
    <cellStyle name="Vérification 2 2 14 3 2 2" xfId="8778"/>
    <cellStyle name="Vérification 2 2 14 3 2 2 2" xfId="25002"/>
    <cellStyle name="Vérification 2 2 14 3 2 2 2 2" xfId="37009"/>
    <cellStyle name="Vérification 2 2 14 3 2 2 3" xfId="14785"/>
    <cellStyle name="Vérification 2 2 14 3 2 2 4" xfId="31006"/>
    <cellStyle name="Vérification 2 2 14 3 2 3" xfId="10156"/>
    <cellStyle name="Vérification 2 2 14 3 2 3 2" xfId="26380"/>
    <cellStyle name="Vérification 2 2 14 3 2 3 2 2" xfId="38387"/>
    <cellStyle name="Vérification 2 2 14 3 2 3 3" xfId="16163"/>
    <cellStyle name="Vérification 2 2 14 3 2 3 4" xfId="32384"/>
    <cellStyle name="Vérification 2 2 14 3 2 4" xfId="22621"/>
    <cellStyle name="Vérification 2 2 14 3 2 4 2" xfId="34628"/>
    <cellStyle name="Vérification 2 2 14 3 2 5" xfId="12482"/>
    <cellStyle name="Vérification 2 2 14 3 2 6" xfId="28703"/>
    <cellStyle name="Vérification 2 2 14 3 3" xfId="7445"/>
    <cellStyle name="Vérification 2 2 14 3 3 2" xfId="9489"/>
    <cellStyle name="Vérification 2 2 14 3 3 2 2" xfId="25713"/>
    <cellStyle name="Vérification 2 2 14 3 3 2 2 2" xfId="37720"/>
    <cellStyle name="Vérification 2 2 14 3 3 2 3" xfId="15496"/>
    <cellStyle name="Vérification 2 2 14 3 3 2 4" xfId="31717"/>
    <cellStyle name="Vérification 2 2 14 3 3 3" xfId="23669"/>
    <cellStyle name="Vérification 2 2 14 3 3 3 2" xfId="35676"/>
    <cellStyle name="Vérification 2 2 14 3 3 4" xfId="13193"/>
    <cellStyle name="Vérification 2 2 14 3 3 5" xfId="29414"/>
    <cellStyle name="Vérification 2 2 14 3 4" xfId="7822"/>
    <cellStyle name="Vérification 2 2 14 3 4 2" xfId="24046"/>
    <cellStyle name="Vérification 2 2 14 3 4 2 2" xfId="36053"/>
    <cellStyle name="Vérification 2 2 14 3 4 3" xfId="13829"/>
    <cellStyle name="Vérification 2 2 14 3 4 4" xfId="30050"/>
    <cellStyle name="Vérification 2 2 14 3 5" xfId="18937"/>
    <cellStyle name="Vérification 2 2 14 3 5 2" xfId="33051"/>
    <cellStyle name="Vérification 2 2 14 3 6" xfId="11178"/>
    <cellStyle name="Vérification 2 2 14 3 7" xfId="27399"/>
    <cellStyle name="Vérification 2 2 14 4" xfId="4442"/>
    <cellStyle name="Vérification 2 2 14 4 2" xfId="6887"/>
    <cellStyle name="Vérification 2 2 14 4 2 2" xfId="9156"/>
    <cellStyle name="Vérification 2 2 14 4 2 2 2" xfId="25380"/>
    <cellStyle name="Vérification 2 2 14 4 2 2 2 2" xfId="37387"/>
    <cellStyle name="Vérification 2 2 14 4 2 2 3" xfId="15163"/>
    <cellStyle name="Vérification 2 2 14 4 2 2 4" xfId="31384"/>
    <cellStyle name="Vérification 2 2 14 4 2 3" xfId="23111"/>
    <cellStyle name="Vérification 2 2 14 4 2 3 2" xfId="35118"/>
    <cellStyle name="Vérification 2 2 14 4 2 4" xfId="12860"/>
    <cellStyle name="Vérification 2 2 14 4 2 5" xfId="29081"/>
    <cellStyle name="Vérification 2 2 14 4 3" xfId="3187"/>
    <cellStyle name="Vérification 2 2 14 4 3 2" xfId="19415"/>
    <cellStyle name="Vérification 2 2 14 4 3 2 2" xfId="33529"/>
    <cellStyle name="Vérification 2 2 14 4 3 3" xfId="11613"/>
    <cellStyle name="Vérification 2 2 14 4 3 4" xfId="27834"/>
    <cellStyle name="Vérification 2 2 14 4 4" xfId="20668"/>
    <cellStyle name="Vérification 2 2 14 4 4 2" xfId="34295"/>
    <cellStyle name="Vérification 2 2 14 4 5" xfId="10841"/>
    <cellStyle name="Vérification 2 2 14 4 6" xfId="27064"/>
    <cellStyle name="Vérification 2 2 14 5" xfId="3198"/>
    <cellStyle name="Vérification 2 2 14 5 2" xfId="8219"/>
    <cellStyle name="Vérification 2 2 14 5 2 2" xfId="24443"/>
    <cellStyle name="Vérification 2 2 14 5 2 2 2" xfId="36450"/>
    <cellStyle name="Vérification 2 2 14 5 2 3" xfId="14226"/>
    <cellStyle name="Vérification 2 2 14 5 2 4" xfId="30447"/>
    <cellStyle name="Vérification 2 2 14 5 3" xfId="9823"/>
    <cellStyle name="Vérification 2 2 14 5 3 2" xfId="26047"/>
    <cellStyle name="Vérification 2 2 14 5 3 2 2" xfId="38054"/>
    <cellStyle name="Vérification 2 2 14 5 3 3" xfId="15830"/>
    <cellStyle name="Vérification 2 2 14 5 3 4" xfId="32051"/>
    <cellStyle name="Vérification 2 2 14 5 4" xfId="19426"/>
    <cellStyle name="Vérification 2 2 14 5 4 2" xfId="33540"/>
    <cellStyle name="Vérification 2 2 14 5 5" xfId="11774"/>
    <cellStyle name="Vérification 2 2 14 5 6" xfId="27995"/>
    <cellStyle name="Vérification 2 2 14 6" xfId="3693"/>
    <cellStyle name="Vérification 2 2 14 6 2" xfId="8581"/>
    <cellStyle name="Vérification 2 2 14 6 2 2" xfId="24805"/>
    <cellStyle name="Vérification 2 2 14 6 2 2 2" xfId="36812"/>
    <cellStyle name="Vérification 2 2 14 6 2 3" xfId="14588"/>
    <cellStyle name="Vérification 2 2 14 6 2 4" xfId="30809"/>
    <cellStyle name="Vérification 2 2 14 6 3" xfId="19921"/>
    <cellStyle name="Vérification 2 2 14 6 3 2" xfId="34035"/>
    <cellStyle name="Vérification 2 2 14 6 4" xfId="12136"/>
    <cellStyle name="Vérification 2 2 14 6 5" xfId="28357"/>
    <cellStyle name="Vérification 2 2 14 7" xfId="2961"/>
    <cellStyle name="Vérification 2 2 14 7 2" xfId="19189"/>
    <cellStyle name="Vérification 2 2 14 7 2 2" xfId="33303"/>
    <cellStyle name="Vérification 2 2 14 7 3" xfId="11443"/>
    <cellStyle name="Vérification 2 2 14 7 4" xfId="27664"/>
    <cellStyle name="Vérification 2 2 14 8" xfId="16984"/>
    <cellStyle name="Vérification 2 2 14 8 2" xfId="32718"/>
    <cellStyle name="Vérification 2 2 14 9" xfId="10490"/>
    <cellStyle name="Vérification 2 2 15" xfId="1320"/>
    <cellStyle name="Vérification 2 2 15 2" xfId="2798"/>
    <cellStyle name="Vérification 2 2 15 2 2" xfId="6486"/>
    <cellStyle name="Vérification 2 2 15 2 2 2" xfId="8867"/>
    <cellStyle name="Vérification 2 2 15 2 2 2 2" xfId="25091"/>
    <cellStyle name="Vérification 2 2 15 2 2 2 2 2" xfId="37098"/>
    <cellStyle name="Vérification 2 2 15 2 2 2 3" xfId="14874"/>
    <cellStyle name="Vérification 2 2 15 2 2 2 4" xfId="31095"/>
    <cellStyle name="Vérification 2 2 15 2 2 3" xfId="10245"/>
    <cellStyle name="Vérification 2 2 15 2 2 3 2" xfId="26469"/>
    <cellStyle name="Vérification 2 2 15 2 2 3 2 2" xfId="38476"/>
    <cellStyle name="Vérification 2 2 15 2 2 3 3" xfId="16252"/>
    <cellStyle name="Vérification 2 2 15 2 2 3 4" xfId="32473"/>
    <cellStyle name="Vérification 2 2 15 2 2 4" xfId="22710"/>
    <cellStyle name="Vérification 2 2 15 2 2 4 2" xfId="34717"/>
    <cellStyle name="Vérification 2 2 15 2 2 5" xfId="12571"/>
    <cellStyle name="Vérification 2 2 15 2 2 6" xfId="28792"/>
    <cellStyle name="Vérification 2 2 15 2 3" xfId="7534"/>
    <cellStyle name="Vérification 2 2 15 2 3 2" xfId="9578"/>
    <cellStyle name="Vérification 2 2 15 2 3 2 2" xfId="25802"/>
    <cellStyle name="Vérification 2 2 15 2 3 2 2 2" xfId="37809"/>
    <cellStyle name="Vérification 2 2 15 2 3 2 3" xfId="15585"/>
    <cellStyle name="Vérification 2 2 15 2 3 2 4" xfId="31806"/>
    <cellStyle name="Vérification 2 2 15 2 3 3" xfId="23758"/>
    <cellStyle name="Vérification 2 2 15 2 3 3 2" xfId="35765"/>
    <cellStyle name="Vérification 2 2 15 2 3 4" xfId="13282"/>
    <cellStyle name="Vérification 2 2 15 2 3 5" xfId="29503"/>
    <cellStyle name="Vérification 2 2 15 2 4" xfId="7911"/>
    <cellStyle name="Vérification 2 2 15 2 4 2" xfId="24135"/>
    <cellStyle name="Vérification 2 2 15 2 4 2 2" xfId="36142"/>
    <cellStyle name="Vérification 2 2 15 2 4 3" xfId="13918"/>
    <cellStyle name="Vérification 2 2 15 2 4 4" xfId="30139"/>
    <cellStyle name="Vérification 2 2 15 2 5" xfId="19026"/>
    <cellStyle name="Vérification 2 2 15 2 5 2" xfId="33140"/>
    <cellStyle name="Vérification 2 2 15 2 6" xfId="11267"/>
    <cellStyle name="Vérification 2 2 15 2 7" xfId="27488"/>
    <cellStyle name="Vérification 2 2 15 3" xfId="5017"/>
    <cellStyle name="Vérification 2 2 15 3 2" xfId="7044"/>
    <cellStyle name="Vérification 2 2 15 3 2 2" xfId="9245"/>
    <cellStyle name="Vérification 2 2 15 3 2 2 2" xfId="25469"/>
    <cellStyle name="Vérification 2 2 15 3 2 2 2 2" xfId="37476"/>
    <cellStyle name="Vérification 2 2 15 3 2 2 3" xfId="15252"/>
    <cellStyle name="Vérification 2 2 15 3 2 2 4" xfId="31473"/>
    <cellStyle name="Vérification 2 2 15 3 2 3" xfId="23268"/>
    <cellStyle name="Vérification 2 2 15 3 2 3 2" xfId="35275"/>
    <cellStyle name="Vérification 2 2 15 3 2 4" xfId="12949"/>
    <cellStyle name="Vérification 2 2 15 3 2 5" xfId="29170"/>
    <cellStyle name="Vérification 2 2 15 3 3" xfId="6974"/>
    <cellStyle name="Vérification 2 2 15 3 3 2" xfId="23198"/>
    <cellStyle name="Vérification 2 2 15 3 3 2 2" xfId="35205"/>
    <cellStyle name="Vérification 2 2 15 3 3 3" xfId="11445"/>
    <cellStyle name="Vérification 2 2 15 3 3 4" xfId="27666"/>
    <cellStyle name="Vérification 2 2 15 3 4" xfId="21243"/>
    <cellStyle name="Vérification 2 2 15 3 4 2" xfId="34384"/>
    <cellStyle name="Vérification 2 2 15 3 5" xfId="10931"/>
    <cellStyle name="Vérification 2 2 15 3 6" xfId="27154"/>
    <cellStyle name="Vérification 2 2 15 4" xfId="3408"/>
    <cellStyle name="Vérification 2 2 15 4 2" xfId="8375"/>
    <cellStyle name="Vérification 2 2 15 4 2 2" xfId="24599"/>
    <cellStyle name="Vérification 2 2 15 4 2 2 2" xfId="36606"/>
    <cellStyle name="Vérification 2 2 15 4 2 3" xfId="14382"/>
    <cellStyle name="Vérification 2 2 15 4 2 4" xfId="30603"/>
    <cellStyle name="Vérification 2 2 15 4 3" xfId="9912"/>
    <cellStyle name="Vérification 2 2 15 4 3 2" xfId="26136"/>
    <cellStyle name="Vérification 2 2 15 4 3 2 2" xfId="38143"/>
    <cellStyle name="Vérification 2 2 15 4 3 3" xfId="15919"/>
    <cellStyle name="Vérification 2 2 15 4 3 4" xfId="32140"/>
    <cellStyle name="Vérification 2 2 15 4 4" xfId="19636"/>
    <cellStyle name="Vérification 2 2 15 4 4 2" xfId="33750"/>
    <cellStyle name="Vérification 2 2 15 4 5" xfId="11930"/>
    <cellStyle name="Vérification 2 2 15 4 6" xfId="28151"/>
    <cellStyle name="Vérification 2 2 15 5" xfId="3241"/>
    <cellStyle name="Vérification 2 2 15 5 2" xfId="8250"/>
    <cellStyle name="Vérification 2 2 15 5 2 2" xfId="24474"/>
    <cellStyle name="Vérification 2 2 15 5 2 2 2" xfId="36481"/>
    <cellStyle name="Vérification 2 2 15 5 2 3" xfId="14257"/>
    <cellStyle name="Vérification 2 2 15 5 2 4" xfId="30478"/>
    <cellStyle name="Vérification 2 2 15 5 3" xfId="19469"/>
    <cellStyle name="Vérification 2 2 15 5 3 2" xfId="33583"/>
    <cellStyle name="Vérification 2 2 15 5 4" xfId="11805"/>
    <cellStyle name="Vérification 2 2 15 5 5" xfId="28026"/>
    <cellStyle name="Vérification 2 2 15 6" xfId="6649"/>
    <cellStyle name="Vérification 2 2 15 6 2" xfId="22873"/>
    <cellStyle name="Vérification 2 2 15 6 2 2" xfId="34880"/>
    <cellStyle name="Vérification 2 2 15 6 3" xfId="12359"/>
    <cellStyle name="Vérification 2 2 15 6 4" xfId="28580"/>
    <cellStyle name="Vérification 2 2 15 7" xfId="17559"/>
    <cellStyle name="Vérification 2 2 15 7 2" xfId="32807"/>
    <cellStyle name="Vérification 2 2 15 8" xfId="10579"/>
    <cellStyle name="Vérification 2 2 15 9" xfId="26804"/>
    <cellStyle name="Vérification 2 2 16" xfId="2423"/>
    <cellStyle name="Vérification 2 2 16 2" xfId="2910"/>
    <cellStyle name="Vérification 2 2 16 2 2" xfId="6598"/>
    <cellStyle name="Vérification 2 2 16 2 2 2" xfId="8979"/>
    <cellStyle name="Vérification 2 2 16 2 2 2 2" xfId="25203"/>
    <cellStyle name="Vérification 2 2 16 2 2 2 2 2" xfId="37210"/>
    <cellStyle name="Vérification 2 2 16 2 2 2 3" xfId="14986"/>
    <cellStyle name="Vérification 2 2 16 2 2 2 4" xfId="31207"/>
    <cellStyle name="Vérification 2 2 16 2 2 3" xfId="10357"/>
    <cellStyle name="Vérification 2 2 16 2 2 3 2" xfId="26581"/>
    <cellStyle name="Vérification 2 2 16 2 2 3 2 2" xfId="38588"/>
    <cellStyle name="Vérification 2 2 16 2 2 3 3" xfId="16364"/>
    <cellStyle name="Vérification 2 2 16 2 2 3 4" xfId="32585"/>
    <cellStyle name="Vérification 2 2 16 2 2 4" xfId="22822"/>
    <cellStyle name="Vérification 2 2 16 2 2 4 2" xfId="34829"/>
    <cellStyle name="Vérification 2 2 16 2 2 5" xfId="12683"/>
    <cellStyle name="Vérification 2 2 16 2 2 6" xfId="28904"/>
    <cellStyle name="Vérification 2 2 16 2 3" xfId="7646"/>
    <cellStyle name="Vérification 2 2 16 2 3 2" xfId="9690"/>
    <cellStyle name="Vérification 2 2 16 2 3 2 2" xfId="25914"/>
    <cellStyle name="Vérification 2 2 16 2 3 2 2 2" xfId="37921"/>
    <cellStyle name="Vérification 2 2 16 2 3 2 3" xfId="15697"/>
    <cellStyle name="Vérification 2 2 16 2 3 2 4" xfId="31918"/>
    <cellStyle name="Vérification 2 2 16 2 3 3" xfId="23870"/>
    <cellStyle name="Vérification 2 2 16 2 3 3 2" xfId="35877"/>
    <cellStyle name="Vérification 2 2 16 2 3 4" xfId="13394"/>
    <cellStyle name="Vérification 2 2 16 2 3 5" xfId="29615"/>
    <cellStyle name="Vérification 2 2 16 2 4" xfId="8023"/>
    <cellStyle name="Vérification 2 2 16 2 4 2" xfId="24247"/>
    <cellStyle name="Vérification 2 2 16 2 4 2 2" xfId="36254"/>
    <cellStyle name="Vérification 2 2 16 2 4 3" xfId="14030"/>
    <cellStyle name="Vérification 2 2 16 2 4 4" xfId="30251"/>
    <cellStyle name="Vérification 2 2 16 2 5" xfId="19138"/>
    <cellStyle name="Vérification 2 2 16 2 5 2" xfId="33252"/>
    <cellStyle name="Vérification 2 2 16 2 6" xfId="11379"/>
    <cellStyle name="Vérification 2 2 16 2 7" xfId="27600"/>
    <cellStyle name="Vérification 2 2 16 3" xfId="6115"/>
    <cellStyle name="Vérification 2 2 16 3 2" xfId="7297"/>
    <cellStyle name="Vérification 2 2 16 3 2 2" xfId="9357"/>
    <cellStyle name="Vérification 2 2 16 3 2 2 2" xfId="25581"/>
    <cellStyle name="Vérification 2 2 16 3 2 2 2 2" xfId="37588"/>
    <cellStyle name="Vérification 2 2 16 3 2 2 3" xfId="15364"/>
    <cellStyle name="Vérification 2 2 16 3 2 2 4" xfId="31585"/>
    <cellStyle name="Vérification 2 2 16 3 2 3" xfId="23521"/>
    <cellStyle name="Vérification 2 2 16 3 2 3 2" xfId="35528"/>
    <cellStyle name="Vérification 2 2 16 3 2 4" xfId="13061"/>
    <cellStyle name="Vérification 2 2 16 3 2 5" xfId="29282"/>
    <cellStyle name="Vérification 2 2 16 3 3" xfId="7690"/>
    <cellStyle name="Vérification 2 2 16 3 3 2" xfId="23914"/>
    <cellStyle name="Vérification 2 2 16 3 3 2 2" xfId="35921"/>
    <cellStyle name="Vérification 2 2 16 3 3 3" xfId="13697"/>
    <cellStyle name="Vérification 2 2 16 3 3 4" xfId="29918"/>
    <cellStyle name="Vérification 2 2 16 3 4" xfId="22339"/>
    <cellStyle name="Vérification 2 2 16 3 4 2" xfId="34496"/>
    <cellStyle name="Vérification 2 2 16 3 5" xfId="11045"/>
    <cellStyle name="Vérification 2 2 16 3 6" xfId="27266"/>
    <cellStyle name="Vérification 2 2 16 4" xfId="3779"/>
    <cellStyle name="Vérification 2 2 16 4 2" xfId="8627"/>
    <cellStyle name="Vérification 2 2 16 4 2 2" xfId="24851"/>
    <cellStyle name="Vérification 2 2 16 4 2 2 2" xfId="36858"/>
    <cellStyle name="Vérification 2 2 16 4 2 3" xfId="14634"/>
    <cellStyle name="Vérification 2 2 16 4 2 4" xfId="30855"/>
    <cellStyle name="Vérification 2 2 16 4 3" xfId="10024"/>
    <cellStyle name="Vérification 2 2 16 4 3 2" xfId="26248"/>
    <cellStyle name="Vérification 2 2 16 4 3 2 2" xfId="38255"/>
    <cellStyle name="Vérification 2 2 16 4 3 3" xfId="16031"/>
    <cellStyle name="Vérification 2 2 16 4 3 4" xfId="32252"/>
    <cellStyle name="Vérification 2 2 16 4 4" xfId="20007"/>
    <cellStyle name="Vérification 2 2 16 4 4 2" xfId="34121"/>
    <cellStyle name="Vérification 2 2 16 4 5" xfId="12182"/>
    <cellStyle name="Vérification 2 2 16 4 6" xfId="28403"/>
    <cellStyle name="Vérification 2 2 16 5" xfId="6660"/>
    <cellStyle name="Vérification 2 2 16 5 2" xfId="9023"/>
    <cellStyle name="Vérification 2 2 16 5 2 2" xfId="25247"/>
    <cellStyle name="Vérification 2 2 16 5 2 2 2" xfId="37254"/>
    <cellStyle name="Vérification 2 2 16 5 2 3" xfId="15030"/>
    <cellStyle name="Vérification 2 2 16 5 2 4" xfId="31251"/>
    <cellStyle name="Vérification 2 2 16 5 3" xfId="22884"/>
    <cellStyle name="Vérification 2 2 16 5 3 2" xfId="34891"/>
    <cellStyle name="Vérification 2 2 16 5 4" xfId="12727"/>
    <cellStyle name="Vérification 2 2 16 5 5" xfId="28948"/>
    <cellStyle name="Vérification 2 2 16 6" xfId="7257"/>
    <cellStyle name="Vérification 2 2 16 6 2" xfId="23481"/>
    <cellStyle name="Vérification 2 2 16 6 2 2" xfId="35488"/>
    <cellStyle name="Vérification 2 2 16 6 3" xfId="13641"/>
    <cellStyle name="Vérification 2 2 16 6 4" xfId="29862"/>
    <cellStyle name="Vérification 2 2 16 7" xfId="18655"/>
    <cellStyle name="Vérification 2 2 16 7 2" xfId="32919"/>
    <cellStyle name="Vérification 2 2 16 8" xfId="10693"/>
    <cellStyle name="Vérification 2 2 16 9" xfId="26916"/>
    <cellStyle name="Vérification 2 2 17" xfId="2415"/>
    <cellStyle name="Vérification 2 2 17 2" xfId="2909"/>
    <cellStyle name="Vérification 2 2 17 2 2" xfId="6597"/>
    <cellStyle name="Vérification 2 2 17 2 2 2" xfId="8978"/>
    <cellStyle name="Vérification 2 2 17 2 2 2 2" xfId="25202"/>
    <cellStyle name="Vérification 2 2 17 2 2 2 2 2" xfId="37209"/>
    <cellStyle name="Vérification 2 2 17 2 2 2 3" xfId="14985"/>
    <cellStyle name="Vérification 2 2 17 2 2 2 4" xfId="31206"/>
    <cellStyle name="Vérification 2 2 17 2 2 3" xfId="10356"/>
    <cellStyle name="Vérification 2 2 17 2 2 3 2" xfId="26580"/>
    <cellStyle name="Vérification 2 2 17 2 2 3 2 2" xfId="38587"/>
    <cellStyle name="Vérification 2 2 17 2 2 3 3" xfId="16363"/>
    <cellStyle name="Vérification 2 2 17 2 2 3 4" xfId="32584"/>
    <cellStyle name="Vérification 2 2 17 2 2 4" xfId="22821"/>
    <cellStyle name="Vérification 2 2 17 2 2 4 2" xfId="34828"/>
    <cellStyle name="Vérification 2 2 17 2 2 5" xfId="12682"/>
    <cellStyle name="Vérification 2 2 17 2 2 6" xfId="28903"/>
    <cellStyle name="Vérification 2 2 17 2 3" xfId="7645"/>
    <cellStyle name="Vérification 2 2 17 2 3 2" xfId="9689"/>
    <cellStyle name="Vérification 2 2 17 2 3 2 2" xfId="25913"/>
    <cellStyle name="Vérification 2 2 17 2 3 2 2 2" xfId="37920"/>
    <cellStyle name="Vérification 2 2 17 2 3 2 3" xfId="15696"/>
    <cellStyle name="Vérification 2 2 17 2 3 2 4" xfId="31917"/>
    <cellStyle name="Vérification 2 2 17 2 3 3" xfId="23869"/>
    <cellStyle name="Vérification 2 2 17 2 3 3 2" xfId="35876"/>
    <cellStyle name="Vérification 2 2 17 2 3 4" xfId="13393"/>
    <cellStyle name="Vérification 2 2 17 2 3 5" xfId="29614"/>
    <cellStyle name="Vérification 2 2 17 2 4" xfId="8022"/>
    <cellStyle name="Vérification 2 2 17 2 4 2" xfId="24246"/>
    <cellStyle name="Vérification 2 2 17 2 4 2 2" xfId="36253"/>
    <cellStyle name="Vérification 2 2 17 2 4 3" xfId="14029"/>
    <cellStyle name="Vérification 2 2 17 2 4 4" xfId="30250"/>
    <cellStyle name="Vérification 2 2 17 2 5" xfId="19137"/>
    <cellStyle name="Vérification 2 2 17 2 5 2" xfId="33251"/>
    <cellStyle name="Vérification 2 2 17 2 6" xfId="11378"/>
    <cellStyle name="Vérification 2 2 17 2 7" xfId="27599"/>
    <cellStyle name="Vérification 2 2 17 3" xfId="6108"/>
    <cellStyle name="Vérification 2 2 17 3 2" xfId="7294"/>
    <cellStyle name="Vérification 2 2 17 3 2 2" xfId="9356"/>
    <cellStyle name="Vérification 2 2 17 3 2 2 2" xfId="25580"/>
    <cellStyle name="Vérification 2 2 17 3 2 2 2 2" xfId="37587"/>
    <cellStyle name="Vérification 2 2 17 3 2 2 3" xfId="15363"/>
    <cellStyle name="Vérification 2 2 17 3 2 2 4" xfId="31584"/>
    <cellStyle name="Vérification 2 2 17 3 2 3" xfId="23518"/>
    <cellStyle name="Vérification 2 2 17 3 2 3 2" xfId="35525"/>
    <cellStyle name="Vérification 2 2 17 3 2 4" xfId="13060"/>
    <cellStyle name="Vérification 2 2 17 3 2 5" xfId="29281"/>
    <cellStyle name="Vérification 2 2 17 3 3" xfId="7689"/>
    <cellStyle name="Vérification 2 2 17 3 3 2" xfId="23913"/>
    <cellStyle name="Vérification 2 2 17 3 3 2 2" xfId="35920"/>
    <cellStyle name="Vérification 2 2 17 3 3 3" xfId="13696"/>
    <cellStyle name="Vérification 2 2 17 3 3 4" xfId="29917"/>
    <cellStyle name="Vérification 2 2 17 3 4" xfId="22332"/>
    <cellStyle name="Vérification 2 2 17 3 4 2" xfId="34495"/>
    <cellStyle name="Vérification 2 2 17 3 5" xfId="11044"/>
    <cellStyle name="Vérification 2 2 17 3 6" xfId="27265"/>
    <cellStyle name="Vérification 2 2 17 4" xfId="3775"/>
    <cellStyle name="Vérification 2 2 17 4 2" xfId="8625"/>
    <cellStyle name="Vérification 2 2 17 4 2 2" xfId="24849"/>
    <cellStyle name="Vérification 2 2 17 4 2 2 2" xfId="36856"/>
    <cellStyle name="Vérification 2 2 17 4 2 3" xfId="14632"/>
    <cellStyle name="Vérification 2 2 17 4 2 4" xfId="30853"/>
    <cellStyle name="Vérification 2 2 17 4 3" xfId="10023"/>
    <cellStyle name="Vérification 2 2 17 4 3 2" xfId="26247"/>
    <cellStyle name="Vérification 2 2 17 4 3 2 2" xfId="38254"/>
    <cellStyle name="Vérification 2 2 17 4 3 3" xfId="16030"/>
    <cellStyle name="Vérification 2 2 17 4 3 4" xfId="32251"/>
    <cellStyle name="Vérification 2 2 17 4 4" xfId="20003"/>
    <cellStyle name="Vérification 2 2 17 4 4 2" xfId="34117"/>
    <cellStyle name="Vérification 2 2 17 4 5" xfId="12180"/>
    <cellStyle name="Vérification 2 2 17 4 6" xfId="28401"/>
    <cellStyle name="Vérification 2 2 17 5" xfId="6658"/>
    <cellStyle name="Vérification 2 2 17 5 2" xfId="9022"/>
    <cellStyle name="Vérification 2 2 17 5 2 2" xfId="25246"/>
    <cellStyle name="Vérification 2 2 17 5 2 2 2" xfId="37253"/>
    <cellStyle name="Vérification 2 2 17 5 2 3" xfId="15029"/>
    <cellStyle name="Vérification 2 2 17 5 2 4" xfId="31250"/>
    <cellStyle name="Vérification 2 2 17 5 3" xfId="22882"/>
    <cellStyle name="Vérification 2 2 17 5 3 2" xfId="34889"/>
    <cellStyle name="Vérification 2 2 17 5 4" xfId="12726"/>
    <cellStyle name="Vérification 2 2 17 5 5" xfId="28947"/>
    <cellStyle name="Vérification 2 2 17 6" xfId="7285"/>
    <cellStyle name="Vérification 2 2 17 6 2" xfId="23509"/>
    <cellStyle name="Vérification 2 2 17 6 2 2" xfId="35516"/>
    <cellStyle name="Vérification 2 2 17 6 3" xfId="13669"/>
    <cellStyle name="Vérification 2 2 17 6 4" xfId="29890"/>
    <cellStyle name="Vérification 2 2 17 7" xfId="18648"/>
    <cellStyle name="Vérification 2 2 17 7 2" xfId="32918"/>
    <cellStyle name="Vérification 2 2 17 8" xfId="10692"/>
    <cellStyle name="Vérification 2 2 17 9" xfId="26915"/>
    <cellStyle name="Vérification 2 2 18" xfId="2620"/>
    <cellStyle name="Vérification 2 2 18 2" xfId="6308"/>
    <cellStyle name="Vérification 2 2 18 2 2" xfId="8689"/>
    <cellStyle name="Vérification 2 2 18 2 2 2" xfId="24913"/>
    <cellStyle name="Vérification 2 2 18 2 2 2 2" xfId="36920"/>
    <cellStyle name="Vérification 2 2 18 2 2 3" xfId="14696"/>
    <cellStyle name="Vérification 2 2 18 2 2 4" xfId="30917"/>
    <cellStyle name="Vérification 2 2 18 2 3" xfId="10067"/>
    <cellStyle name="Vérification 2 2 18 2 3 2" xfId="26291"/>
    <cellStyle name="Vérification 2 2 18 2 3 2 2" xfId="38298"/>
    <cellStyle name="Vérification 2 2 18 2 3 3" xfId="16074"/>
    <cellStyle name="Vérification 2 2 18 2 3 4" xfId="32295"/>
    <cellStyle name="Vérification 2 2 18 2 4" xfId="22532"/>
    <cellStyle name="Vérification 2 2 18 2 4 2" xfId="34539"/>
    <cellStyle name="Vérification 2 2 18 2 5" xfId="12393"/>
    <cellStyle name="Vérification 2 2 18 2 6" xfId="28614"/>
    <cellStyle name="Vérification 2 2 18 3" xfId="7356"/>
    <cellStyle name="Vérification 2 2 18 3 2" xfId="9400"/>
    <cellStyle name="Vérification 2 2 18 3 2 2" xfId="25624"/>
    <cellStyle name="Vérification 2 2 18 3 2 2 2" xfId="37631"/>
    <cellStyle name="Vérification 2 2 18 3 2 3" xfId="15407"/>
    <cellStyle name="Vérification 2 2 18 3 2 4" xfId="31628"/>
    <cellStyle name="Vérification 2 2 18 3 3" xfId="23580"/>
    <cellStyle name="Vérification 2 2 18 3 3 2" xfId="35587"/>
    <cellStyle name="Vérification 2 2 18 3 4" xfId="13104"/>
    <cellStyle name="Vérification 2 2 18 3 5" xfId="29325"/>
    <cellStyle name="Vérification 2 2 18 4" xfId="7733"/>
    <cellStyle name="Vérification 2 2 18 4 2" xfId="23957"/>
    <cellStyle name="Vérification 2 2 18 4 2 2" xfId="35964"/>
    <cellStyle name="Vérification 2 2 18 4 3" xfId="13740"/>
    <cellStyle name="Vérification 2 2 18 4 4" xfId="29961"/>
    <cellStyle name="Vérification 2 2 18 5" xfId="18848"/>
    <cellStyle name="Vérification 2 2 18 5 2" xfId="32962"/>
    <cellStyle name="Vérification 2 2 18 6" xfId="11089"/>
    <cellStyle name="Vérification 2 2 18 7" xfId="27310"/>
    <cellStyle name="Vérification 2 2 19" xfId="3878"/>
    <cellStyle name="Vérification 2 2 19 2" xfId="6726"/>
    <cellStyle name="Vérification 2 2 19 2 2" xfId="9067"/>
    <cellStyle name="Vérification 2 2 19 2 2 2" xfId="25291"/>
    <cellStyle name="Vérification 2 2 19 2 2 2 2" xfId="37298"/>
    <cellStyle name="Vérification 2 2 19 2 2 3" xfId="15074"/>
    <cellStyle name="Vérification 2 2 19 2 2 4" xfId="31295"/>
    <cellStyle name="Vérification 2 2 19 2 3" xfId="22950"/>
    <cellStyle name="Vérification 2 2 19 2 3 2" xfId="34957"/>
    <cellStyle name="Vérification 2 2 19 2 4" xfId="12771"/>
    <cellStyle name="Vérification 2 2 19 2 5" xfId="28992"/>
    <cellStyle name="Vérification 2 2 19 3" xfId="6912"/>
    <cellStyle name="Vérification 2 2 19 3 2" xfId="23136"/>
    <cellStyle name="Vérification 2 2 19 3 2 2" xfId="35143"/>
    <cellStyle name="Vérification 2 2 19 3 3" xfId="11446"/>
    <cellStyle name="Vérification 2 2 19 3 4" xfId="27667"/>
    <cellStyle name="Vérification 2 2 19 4" xfId="20105"/>
    <cellStyle name="Vérification 2 2 19 4 2" xfId="34206"/>
    <cellStyle name="Vérification 2 2 19 5" xfId="10744"/>
    <cellStyle name="Vérification 2 2 19 6" xfId="26967"/>
    <cellStyle name="Vérification 2 2 2" xfId="140"/>
    <cellStyle name="Vérification 2 2 2 10" xfId="3898"/>
    <cellStyle name="Vérification 2 2 2 10 2" xfId="6729"/>
    <cellStyle name="Vérification 2 2 2 10 2 2" xfId="9069"/>
    <cellStyle name="Vérification 2 2 2 10 2 2 2" xfId="25293"/>
    <cellStyle name="Vérification 2 2 2 10 2 2 2 2" xfId="37300"/>
    <cellStyle name="Vérification 2 2 2 10 2 2 3" xfId="15076"/>
    <cellStyle name="Vérification 2 2 2 10 2 2 4" xfId="31297"/>
    <cellStyle name="Vérification 2 2 2 10 2 3" xfId="22953"/>
    <cellStyle name="Vérification 2 2 2 10 2 3 2" xfId="34960"/>
    <cellStyle name="Vérification 2 2 2 10 2 4" xfId="12773"/>
    <cellStyle name="Vérification 2 2 2 10 2 5" xfId="28994"/>
    <cellStyle name="Vérification 2 2 2 10 3" xfId="3385"/>
    <cellStyle name="Vérification 2 2 2 10 3 2" xfId="19613"/>
    <cellStyle name="Vérification 2 2 2 10 3 2 2" xfId="33727"/>
    <cellStyle name="Vérification 2 2 2 10 3 3" xfId="12378"/>
    <cellStyle name="Vérification 2 2 2 10 3 4" xfId="28599"/>
    <cellStyle name="Vérification 2 2 2 10 4" xfId="20125"/>
    <cellStyle name="Vérification 2 2 2 10 4 2" xfId="34208"/>
    <cellStyle name="Vérification 2 2 2 10 5" xfId="10746"/>
    <cellStyle name="Vérification 2 2 2 10 6" xfId="26969"/>
    <cellStyle name="Vérification 2 2 2 11" xfId="2986"/>
    <cellStyle name="Vérification 2 2 2 11 2" xfId="8077"/>
    <cellStyle name="Vérification 2 2 2 11 2 2" xfId="24301"/>
    <cellStyle name="Vérification 2 2 2 11 2 2 2" xfId="36308"/>
    <cellStyle name="Vérification 2 2 2 11 2 3" xfId="14084"/>
    <cellStyle name="Vérification 2 2 2 11 2 4" xfId="30305"/>
    <cellStyle name="Vérification 2 2 2 11 3" xfId="9736"/>
    <cellStyle name="Vérification 2 2 2 11 3 2" xfId="25960"/>
    <cellStyle name="Vérification 2 2 2 11 3 2 2" xfId="37967"/>
    <cellStyle name="Vérification 2 2 2 11 3 3" xfId="15743"/>
    <cellStyle name="Vérification 2 2 2 11 3 4" xfId="31964"/>
    <cellStyle name="Vérification 2 2 2 11 4" xfId="19214"/>
    <cellStyle name="Vérification 2 2 2 11 4 2" xfId="33328"/>
    <cellStyle name="Vérification 2 2 2 11 5" xfId="11632"/>
    <cellStyle name="Vérification 2 2 2 11 6" xfId="27853"/>
    <cellStyle name="Vérification 2 2 2 12" xfId="3253"/>
    <cellStyle name="Vérification 2 2 2 12 2" xfId="8256"/>
    <cellStyle name="Vérification 2 2 2 12 2 2" xfId="24480"/>
    <cellStyle name="Vérification 2 2 2 12 2 2 2" xfId="36487"/>
    <cellStyle name="Vérification 2 2 2 12 2 3" xfId="14263"/>
    <cellStyle name="Vérification 2 2 2 12 2 4" xfId="30484"/>
    <cellStyle name="Vérification 2 2 2 12 3" xfId="19481"/>
    <cellStyle name="Vérification 2 2 2 12 3 2" xfId="33595"/>
    <cellStyle name="Vérification 2 2 2 12 4" xfId="11811"/>
    <cellStyle name="Vérification 2 2 2 12 5" xfId="28032"/>
    <cellStyle name="Vérification 2 2 2 13" xfId="3007"/>
    <cellStyle name="Vérification 2 2 2 13 2" xfId="19235"/>
    <cellStyle name="Vérification 2 2 2 13 2 2" xfId="33349"/>
    <cellStyle name="Vérification 2 2 2 13 3" xfId="11427"/>
    <cellStyle name="Vérification 2 2 2 13 4" xfId="27648"/>
    <cellStyle name="Vérification 2 2 2 14" xfId="16441"/>
    <cellStyle name="Vérification 2 2 2 14 2" xfId="32631"/>
    <cellStyle name="Vérification 2 2 2 15" xfId="10403"/>
    <cellStyle name="Vérification 2 2 2 16" xfId="26628"/>
    <cellStyle name="Vérification 2 2 2 2" xfId="347"/>
    <cellStyle name="Vérification 2 2 2 2 10" xfId="10426"/>
    <cellStyle name="Vérification 2 2 2 2 11" xfId="26651"/>
    <cellStyle name="Vérification 2 2 2 2 2" xfId="1345"/>
    <cellStyle name="Vérification 2 2 2 2 2 2" xfId="2823"/>
    <cellStyle name="Vérification 2 2 2 2 2 2 2" xfId="6511"/>
    <cellStyle name="Vérification 2 2 2 2 2 2 2 2" xfId="8892"/>
    <cellStyle name="Vérification 2 2 2 2 2 2 2 2 2" xfId="25116"/>
    <cellStyle name="Vérification 2 2 2 2 2 2 2 2 2 2" xfId="37123"/>
    <cellStyle name="Vérification 2 2 2 2 2 2 2 2 3" xfId="14899"/>
    <cellStyle name="Vérification 2 2 2 2 2 2 2 2 4" xfId="31120"/>
    <cellStyle name="Vérification 2 2 2 2 2 2 2 3" xfId="10270"/>
    <cellStyle name="Vérification 2 2 2 2 2 2 2 3 2" xfId="26494"/>
    <cellStyle name="Vérification 2 2 2 2 2 2 2 3 2 2" xfId="38501"/>
    <cellStyle name="Vérification 2 2 2 2 2 2 2 3 3" xfId="16277"/>
    <cellStyle name="Vérification 2 2 2 2 2 2 2 3 4" xfId="32498"/>
    <cellStyle name="Vérification 2 2 2 2 2 2 2 4" xfId="22735"/>
    <cellStyle name="Vérification 2 2 2 2 2 2 2 4 2" xfId="34742"/>
    <cellStyle name="Vérification 2 2 2 2 2 2 2 5" xfId="12596"/>
    <cellStyle name="Vérification 2 2 2 2 2 2 2 6" xfId="28817"/>
    <cellStyle name="Vérification 2 2 2 2 2 2 3" xfId="7559"/>
    <cellStyle name="Vérification 2 2 2 2 2 2 3 2" xfId="9603"/>
    <cellStyle name="Vérification 2 2 2 2 2 2 3 2 2" xfId="25827"/>
    <cellStyle name="Vérification 2 2 2 2 2 2 3 2 2 2" xfId="37834"/>
    <cellStyle name="Vérification 2 2 2 2 2 2 3 2 3" xfId="15610"/>
    <cellStyle name="Vérification 2 2 2 2 2 2 3 2 4" xfId="31831"/>
    <cellStyle name="Vérification 2 2 2 2 2 2 3 3" xfId="23783"/>
    <cellStyle name="Vérification 2 2 2 2 2 2 3 3 2" xfId="35790"/>
    <cellStyle name="Vérification 2 2 2 2 2 2 3 4" xfId="13307"/>
    <cellStyle name="Vérification 2 2 2 2 2 2 3 5" xfId="29528"/>
    <cellStyle name="Vérification 2 2 2 2 2 2 4" xfId="7936"/>
    <cellStyle name="Vérification 2 2 2 2 2 2 4 2" xfId="24160"/>
    <cellStyle name="Vérification 2 2 2 2 2 2 4 2 2" xfId="36167"/>
    <cellStyle name="Vérification 2 2 2 2 2 2 4 3" xfId="13943"/>
    <cellStyle name="Vérification 2 2 2 2 2 2 4 4" xfId="30164"/>
    <cellStyle name="Vérification 2 2 2 2 2 2 5" xfId="19051"/>
    <cellStyle name="Vérification 2 2 2 2 2 2 5 2" xfId="33165"/>
    <cellStyle name="Vérification 2 2 2 2 2 2 6" xfId="11292"/>
    <cellStyle name="Vérification 2 2 2 2 2 2 7" xfId="27513"/>
    <cellStyle name="Vérification 2 2 2 2 2 3" xfId="5042"/>
    <cellStyle name="Vérification 2 2 2 2 2 3 2" xfId="7069"/>
    <cellStyle name="Vérification 2 2 2 2 2 3 2 2" xfId="9270"/>
    <cellStyle name="Vérification 2 2 2 2 2 3 2 2 2" xfId="25494"/>
    <cellStyle name="Vérification 2 2 2 2 2 3 2 2 2 2" xfId="37501"/>
    <cellStyle name="Vérification 2 2 2 2 2 3 2 2 3" xfId="15277"/>
    <cellStyle name="Vérification 2 2 2 2 2 3 2 2 4" xfId="31498"/>
    <cellStyle name="Vérification 2 2 2 2 2 3 2 3" xfId="23293"/>
    <cellStyle name="Vérification 2 2 2 2 2 3 2 3 2" xfId="35300"/>
    <cellStyle name="Vérification 2 2 2 2 2 3 2 4" xfId="12974"/>
    <cellStyle name="Vérification 2 2 2 2 2 3 2 5" xfId="29195"/>
    <cellStyle name="Vérification 2 2 2 2 2 3 3" xfId="3050"/>
    <cellStyle name="Vérification 2 2 2 2 2 3 3 2" xfId="19278"/>
    <cellStyle name="Vérification 2 2 2 2 2 3 3 2 2" xfId="33392"/>
    <cellStyle name="Vérification 2 2 2 2 2 3 3 3" xfId="11425"/>
    <cellStyle name="Vérification 2 2 2 2 2 3 3 4" xfId="27646"/>
    <cellStyle name="Vérification 2 2 2 2 2 3 4" xfId="21268"/>
    <cellStyle name="Vérification 2 2 2 2 2 3 4 2" xfId="34409"/>
    <cellStyle name="Vérification 2 2 2 2 2 3 5" xfId="10956"/>
    <cellStyle name="Vérification 2 2 2 2 2 3 6" xfId="27179"/>
    <cellStyle name="Vérification 2 2 2 2 2 4" xfId="3433"/>
    <cellStyle name="Vérification 2 2 2 2 2 4 2" xfId="8400"/>
    <cellStyle name="Vérification 2 2 2 2 2 4 2 2" xfId="24624"/>
    <cellStyle name="Vérification 2 2 2 2 2 4 2 2 2" xfId="36631"/>
    <cellStyle name="Vérification 2 2 2 2 2 4 2 3" xfId="14407"/>
    <cellStyle name="Vérification 2 2 2 2 2 4 2 4" xfId="30628"/>
    <cellStyle name="Vérification 2 2 2 2 2 4 3" xfId="9937"/>
    <cellStyle name="Vérification 2 2 2 2 2 4 3 2" xfId="26161"/>
    <cellStyle name="Vérification 2 2 2 2 2 4 3 2 2" xfId="38168"/>
    <cellStyle name="Vérification 2 2 2 2 2 4 3 3" xfId="15944"/>
    <cellStyle name="Vérification 2 2 2 2 2 4 3 4" xfId="32165"/>
    <cellStyle name="Vérification 2 2 2 2 2 4 4" xfId="19661"/>
    <cellStyle name="Vérification 2 2 2 2 2 4 4 2" xfId="33775"/>
    <cellStyle name="Vérification 2 2 2 2 2 4 5" xfId="11955"/>
    <cellStyle name="Vérification 2 2 2 2 2 4 6" xfId="28176"/>
    <cellStyle name="Vérification 2 2 2 2 2 5" xfId="3647"/>
    <cellStyle name="Vérification 2 2 2 2 2 5 2" xfId="8557"/>
    <cellStyle name="Vérification 2 2 2 2 2 5 2 2" xfId="24781"/>
    <cellStyle name="Vérification 2 2 2 2 2 5 2 2 2" xfId="36788"/>
    <cellStyle name="Vérification 2 2 2 2 2 5 2 3" xfId="14564"/>
    <cellStyle name="Vérification 2 2 2 2 2 5 2 4" xfId="30785"/>
    <cellStyle name="Vérification 2 2 2 2 2 5 3" xfId="19875"/>
    <cellStyle name="Vérification 2 2 2 2 2 5 3 2" xfId="33989"/>
    <cellStyle name="Vérification 2 2 2 2 2 5 4" xfId="12112"/>
    <cellStyle name="Vérification 2 2 2 2 2 5 5" xfId="28333"/>
    <cellStyle name="Vérification 2 2 2 2 2 6" xfId="7282"/>
    <cellStyle name="Vérification 2 2 2 2 2 6 2" xfId="23506"/>
    <cellStyle name="Vérification 2 2 2 2 2 6 2 2" xfId="35513"/>
    <cellStyle name="Vérification 2 2 2 2 2 6 3" xfId="13666"/>
    <cellStyle name="Vérification 2 2 2 2 2 6 4" xfId="29887"/>
    <cellStyle name="Vérification 2 2 2 2 2 7" xfId="17584"/>
    <cellStyle name="Vérification 2 2 2 2 2 7 2" xfId="32832"/>
    <cellStyle name="Vérification 2 2 2 2 2 8" xfId="10604"/>
    <cellStyle name="Vérification 2 2 2 2 2 9" xfId="26829"/>
    <cellStyle name="Vérification 2 2 2 2 3" xfId="962"/>
    <cellStyle name="Vérification 2 2 2 2 3 2" xfId="2734"/>
    <cellStyle name="Vérification 2 2 2 2 3 2 2" xfId="6422"/>
    <cellStyle name="Vérification 2 2 2 2 3 2 2 2" xfId="8803"/>
    <cellStyle name="Vérification 2 2 2 2 3 2 2 2 2" xfId="25027"/>
    <cellStyle name="Vérification 2 2 2 2 3 2 2 2 2 2" xfId="37034"/>
    <cellStyle name="Vérification 2 2 2 2 3 2 2 2 3" xfId="14810"/>
    <cellStyle name="Vérification 2 2 2 2 3 2 2 2 4" xfId="31031"/>
    <cellStyle name="Vérification 2 2 2 2 3 2 2 3" xfId="10181"/>
    <cellStyle name="Vérification 2 2 2 2 3 2 2 3 2" xfId="26405"/>
    <cellStyle name="Vérification 2 2 2 2 3 2 2 3 2 2" xfId="38412"/>
    <cellStyle name="Vérification 2 2 2 2 3 2 2 3 3" xfId="16188"/>
    <cellStyle name="Vérification 2 2 2 2 3 2 2 3 4" xfId="32409"/>
    <cellStyle name="Vérification 2 2 2 2 3 2 2 4" xfId="22646"/>
    <cellStyle name="Vérification 2 2 2 2 3 2 2 4 2" xfId="34653"/>
    <cellStyle name="Vérification 2 2 2 2 3 2 2 5" xfId="12507"/>
    <cellStyle name="Vérification 2 2 2 2 3 2 2 6" xfId="28728"/>
    <cellStyle name="Vérification 2 2 2 2 3 2 3" xfId="7470"/>
    <cellStyle name="Vérification 2 2 2 2 3 2 3 2" xfId="9514"/>
    <cellStyle name="Vérification 2 2 2 2 3 2 3 2 2" xfId="25738"/>
    <cellStyle name="Vérification 2 2 2 2 3 2 3 2 2 2" xfId="37745"/>
    <cellStyle name="Vérification 2 2 2 2 3 2 3 2 3" xfId="15521"/>
    <cellStyle name="Vérification 2 2 2 2 3 2 3 2 4" xfId="31742"/>
    <cellStyle name="Vérification 2 2 2 2 3 2 3 3" xfId="23694"/>
    <cellStyle name="Vérification 2 2 2 2 3 2 3 3 2" xfId="35701"/>
    <cellStyle name="Vérification 2 2 2 2 3 2 3 4" xfId="13218"/>
    <cellStyle name="Vérification 2 2 2 2 3 2 3 5" xfId="29439"/>
    <cellStyle name="Vérification 2 2 2 2 3 2 4" xfId="7847"/>
    <cellStyle name="Vérification 2 2 2 2 3 2 4 2" xfId="24071"/>
    <cellStyle name="Vérification 2 2 2 2 3 2 4 2 2" xfId="36078"/>
    <cellStyle name="Vérification 2 2 2 2 3 2 4 3" xfId="13854"/>
    <cellStyle name="Vérification 2 2 2 2 3 2 4 4" xfId="30075"/>
    <cellStyle name="Vérification 2 2 2 2 3 2 5" xfId="18962"/>
    <cellStyle name="Vérification 2 2 2 2 3 2 5 2" xfId="33076"/>
    <cellStyle name="Vérification 2 2 2 2 3 2 6" xfId="11203"/>
    <cellStyle name="Vérification 2 2 2 2 3 2 7" xfId="27424"/>
    <cellStyle name="Vérification 2 2 2 2 3 3" xfId="4659"/>
    <cellStyle name="Vérification 2 2 2 2 3 3 2" xfId="6940"/>
    <cellStyle name="Vérification 2 2 2 2 3 3 2 2" xfId="9181"/>
    <cellStyle name="Vérification 2 2 2 2 3 3 2 2 2" xfId="25405"/>
    <cellStyle name="Vérification 2 2 2 2 3 3 2 2 2 2" xfId="37412"/>
    <cellStyle name="Vérification 2 2 2 2 3 3 2 2 3" xfId="15188"/>
    <cellStyle name="Vérification 2 2 2 2 3 3 2 2 4" xfId="31409"/>
    <cellStyle name="Vérification 2 2 2 2 3 3 2 3" xfId="23164"/>
    <cellStyle name="Vérification 2 2 2 2 3 3 2 3 2" xfId="35171"/>
    <cellStyle name="Vérification 2 2 2 2 3 3 2 4" xfId="12885"/>
    <cellStyle name="Vérification 2 2 2 2 3 3 2 5" xfId="29106"/>
    <cellStyle name="Vérification 2 2 2 2 3 3 3" xfId="6925"/>
    <cellStyle name="Vérification 2 2 2 2 3 3 3 2" xfId="23149"/>
    <cellStyle name="Vérification 2 2 2 2 3 3 3 2 2" xfId="35156"/>
    <cellStyle name="Vérification 2 2 2 2 3 3 3 3" xfId="11543"/>
    <cellStyle name="Vérification 2 2 2 2 3 3 3 4" xfId="27764"/>
    <cellStyle name="Vérification 2 2 2 2 3 3 4" xfId="20885"/>
    <cellStyle name="Vérification 2 2 2 2 3 3 4 2" xfId="34320"/>
    <cellStyle name="Vérification 2 2 2 2 3 3 5" xfId="10867"/>
    <cellStyle name="Vérification 2 2 2 2 3 3 6" xfId="27090"/>
    <cellStyle name="Vérification 2 2 2 2 3 4" xfId="3272"/>
    <cellStyle name="Vérification 2 2 2 2 3 4 2" xfId="8269"/>
    <cellStyle name="Vérification 2 2 2 2 3 4 2 2" xfId="24493"/>
    <cellStyle name="Vérification 2 2 2 2 3 4 2 2 2" xfId="36500"/>
    <cellStyle name="Vérification 2 2 2 2 3 4 2 3" xfId="14276"/>
    <cellStyle name="Vérification 2 2 2 2 3 4 2 4" xfId="30497"/>
    <cellStyle name="Vérification 2 2 2 2 3 4 3" xfId="9848"/>
    <cellStyle name="Vérification 2 2 2 2 3 4 3 2" xfId="26072"/>
    <cellStyle name="Vérification 2 2 2 2 3 4 3 2 2" xfId="38079"/>
    <cellStyle name="Vérification 2 2 2 2 3 4 3 3" xfId="15855"/>
    <cellStyle name="Vérification 2 2 2 2 3 4 3 4" xfId="32076"/>
    <cellStyle name="Vérification 2 2 2 2 3 4 4" xfId="19500"/>
    <cellStyle name="Vérification 2 2 2 2 3 4 4 2" xfId="33614"/>
    <cellStyle name="Vérification 2 2 2 2 3 4 5" xfId="11824"/>
    <cellStyle name="Vérification 2 2 2 2 3 4 6" xfId="28045"/>
    <cellStyle name="Vérification 2 2 2 2 3 5" xfId="3709"/>
    <cellStyle name="Vérification 2 2 2 2 3 5 2" xfId="8594"/>
    <cellStyle name="Vérification 2 2 2 2 3 5 2 2" xfId="24818"/>
    <cellStyle name="Vérification 2 2 2 2 3 5 2 2 2" xfId="36825"/>
    <cellStyle name="Vérification 2 2 2 2 3 5 2 3" xfId="14601"/>
    <cellStyle name="Vérification 2 2 2 2 3 5 2 4" xfId="30822"/>
    <cellStyle name="Vérification 2 2 2 2 3 5 3" xfId="19937"/>
    <cellStyle name="Vérification 2 2 2 2 3 5 3 2" xfId="34051"/>
    <cellStyle name="Vérification 2 2 2 2 3 5 4" xfId="12149"/>
    <cellStyle name="Vérification 2 2 2 2 3 5 5" xfId="28370"/>
    <cellStyle name="Vérification 2 2 2 2 3 6" xfId="3158"/>
    <cellStyle name="Vérification 2 2 2 2 3 6 2" xfId="19386"/>
    <cellStyle name="Vérification 2 2 2 2 3 6 2 2" xfId="33500"/>
    <cellStyle name="Vérification 2 2 2 2 3 6 3" xfId="12293"/>
    <cellStyle name="Vérification 2 2 2 2 3 6 4" xfId="28514"/>
    <cellStyle name="Vérification 2 2 2 2 3 7" xfId="17201"/>
    <cellStyle name="Vérification 2 2 2 2 3 7 2" xfId="32743"/>
    <cellStyle name="Vérification 2 2 2 2 3 8" xfId="10515"/>
    <cellStyle name="Vérification 2 2 2 2 3 9" xfId="26740"/>
    <cellStyle name="Vérification 2 2 2 2 4" xfId="2645"/>
    <cellStyle name="Vérification 2 2 2 2 4 2" xfId="6333"/>
    <cellStyle name="Vérification 2 2 2 2 4 2 2" xfId="8714"/>
    <cellStyle name="Vérification 2 2 2 2 4 2 2 2" xfId="24938"/>
    <cellStyle name="Vérification 2 2 2 2 4 2 2 2 2" xfId="36945"/>
    <cellStyle name="Vérification 2 2 2 2 4 2 2 3" xfId="14721"/>
    <cellStyle name="Vérification 2 2 2 2 4 2 2 4" xfId="30942"/>
    <cellStyle name="Vérification 2 2 2 2 4 2 3" xfId="10092"/>
    <cellStyle name="Vérification 2 2 2 2 4 2 3 2" xfId="26316"/>
    <cellStyle name="Vérification 2 2 2 2 4 2 3 2 2" xfId="38323"/>
    <cellStyle name="Vérification 2 2 2 2 4 2 3 3" xfId="16099"/>
    <cellStyle name="Vérification 2 2 2 2 4 2 3 4" xfId="32320"/>
    <cellStyle name="Vérification 2 2 2 2 4 2 4" xfId="22557"/>
    <cellStyle name="Vérification 2 2 2 2 4 2 4 2" xfId="34564"/>
    <cellStyle name="Vérification 2 2 2 2 4 2 5" xfId="12418"/>
    <cellStyle name="Vérification 2 2 2 2 4 2 6" xfId="28639"/>
    <cellStyle name="Vérification 2 2 2 2 4 3" xfId="7381"/>
    <cellStyle name="Vérification 2 2 2 2 4 3 2" xfId="9425"/>
    <cellStyle name="Vérification 2 2 2 2 4 3 2 2" xfId="25649"/>
    <cellStyle name="Vérification 2 2 2 2 4 3 2 2 2" xfId="37656"/>
    <cellStyle name="Vérification 2 2 2 2 4 3 2 3" xfId="15432"/>
    <cellStyle name="Vérification 2 2 2 2 4 3 2 4" xfId="31653"/>
    <cellStyle name="Vérification 2 2 2 2 4 3 3" xfId="23605"/>
    <cellStyle name="Vérification 2 2 2 2 4 3 3 2" xfId="35612"/>
    <cellStyle name="Vérification 2 2 2 2 4 3 4" xfId="13129"/>
    <cellStyle name="Vérification 2 2 2 2 4 3 5" xfId="29350"/>
    <cellStyle name="Vérification 2 2 2 2 4 4" xfId="7758"/>
    <cellStyle name="Vérification 2 2 2 2 4 4 2" xfId="23982"/>
    <cellStyle name="Vérification 2 2 2 2 4 4 2 2" xfId="35989"/>
    <cellStyle name="Vérification 2 2 2 2 4 4 3" xfId="13765"/>
    <cellStyle name="Vérification 2 2 2 2 4 4 4" xfId="29986"/>
    <cellStyle name="Vérification 2 2 2 2 4 5" xfId="18873"/>
    <cellStyle name="Vérification 2 2 2 2 4 5 2" xfId="32987"/>
    <cellStyle name="Vérification 2 2 2 2 4 6" xfId="11114"/>
    <cellStyle name="Vérification 2 2 2 2 4 7" xfId="27335"/>
    <cellStyle name="Vérification 2 2 2 2 5" xfId="4084"/>
    <cellStyle name="Vérification 2 2 2 2 5 2" xfId="6779"/>
    <cellStyle name="Vérification 2 2 2 2 5 2 2" xfId="9092"/>
    <cellStyle name="Vérification 2 2 2 2 5 2 2 2" xfId="25316"/>
    <cellStyle name="Vérification 2 2 2 2 5 2 2 2 2" xfId="37323"/>
    <cellStyle name="Vérification 2 2 2 2 5 2 2 3" xfId="15099"/>
    <cellStyle name="Vérification 2 2 2 2 5 2 2 4" xfId="31320"/>
    <cellStyle name="Vérification 2 2 2 2 5 2 3" xfId="23003"/>
    <cellStyle name="Vérification 2 2 2 2 5 2 3 2" xfId="35010"/>
    <cellStyle name="Vérification 2 2 2 2 5 2 4" xfId="12796"/>
    <cellStyle name="Vérification 2 2 2 2 5 2 5" xfId="29017"/>
    <cellStyle name="Vérification 2 2 2 2 5 3" xfId="3162"/>
    <cellStyle name="Vérification 2 2 2 2 5 3 2" xfId="19390"/>
    <cellStyle name="Vérification 2 2 2 2 5 3 2 2" xfId="33504"/>
    <cellStyle name="Vérification 2 2 2 2 5 3 3" xfId="12252"/>
    <cellStyle name="Vérification 2 2 2 2 5 3 4" xfId="28473"/>
    <cellStyle name="Vérification 2 2 2 2 5 4" xfId="20310"/>
    <cellStyle name="Vérification 2 2 2 2 5 4 2" xfId="34231"/>
    <cellStyle name="Vérification 2 2 2 2 5 5" xfId="10771"/>
    <cellStyle name="Vérification 2 2 2 2 5 6" xfId="26994"/>
    <cellStyle name="Vérification 2 2 2 2 6" xfId="3049"/>
    <cellStyle name="Vérification 2 2 2 2 6 2" xfId="8120"/>
    <cellStyle name="Vérification 2 2 2 2 6 2 2" xfId="24344"/>
    <cellStyle name="Vérification 2 2 2 2 6 2 2 2" xfId="36351"/>
    <cellStyle name="Vérification 2 2 2 2 6 2 3" xfId="14127"/>
    <cellStyle name="Vérification 2 2 2 2 6 2 4" xfId="30348"/>
    <cellStyle name="Vérification 2 2 2 2 6 3" xfId="9759"/>
    <cellStyle name="Vérification 2 2 2 2 6 3 2" xfId="25983"/>
    <cellStyle name="Vérification 2 2 2 2 6 3 2 2" xfId="37990"/>
    <cellStyle name="Vérification 2 2 2 2 6 3 3" xfId="15766"/>
    <cellStyle name="Vérification 2 2 2 2 6 3 4" xfId="31987"/>
    <cellStyle name="Vérification 2 2 2 2 6 4" xfId="19277"/>
    <cellStyle name="Vérification 2 2 2 2 6 4 2" xfId="33391"/>
    <cellStyle name="Vérification 2 2 2 2 6 5" xfId="11675"/>
    <cellStyle name="Vérification 2 2 2 2 6 6" xfId="27896"/>
    <cellStyle name="Vérification 2 2 2 2 7" xfId="3608"/>
    <cellStyle name="Vérification 2 2 2 2 7 2" xfId="8536"/>
    <cellStyle name="Vérification 2 2 2 2 7 2 2" xfId="24760"/>
    <cellStyle name="Vérification 2 2 2 2 7 2 2 2" xfId="36767"/>
    <cellStyle name="Vérification 2 2 2 2 7 2 3" xfId="14543"/>
    <cellStyle name="Vérification 2 2 2 2 7 2 4" xfId="30764"/>
    <cellStyle name="Vérification 2 2 2 2 7 3" xfId="19836"/>
    <cellStyle name="Vérification 2 2 2 2 7 3 2" xfId="33950"/>
    <cellStyle name="Vérification 2 2 2 2 7 4" xfId="12091"/>
    <cellStyle name="Vérification 2 2 2 2 7 5" xfId="28312"/>
    <cellStyle name="Vérification 2 2 2 2 8" xfId="7243"/>
    <cellStyle name="Vérification 2 2 2 2 8 2" xfId="23467"/>
    <cellStyle name="Vérification 2 2 2 2 8 2 2" xfId="35474"/>
    <cellStyle name="Vérification 2 2 2 2 8 3" xfId="13627"/>
    <cellStyle name="Vérification 2 2 2 2 8 4" xfId="29848"/>
    <cellStyle name="Vérification 2 2 2 2 9" xfId="16626"/>
    <cellStyle name="Vérification 2 2 2 2 9 2" xfId="32654"/>
    <cellStyle name="Vérification 2 2 2 3" xfId="500"/>
    <cellStyle name="Vérification 2 2 2 3 10" xfId="10447"/>
    <cellStyle name="Vérification 2 2 2 3 11" xfId="26672"/>
    <cellStyle name="Vérification 2 2 2 3 2" xfId="1366"/>
    <cellStyle name="Vérification 2 2 2 3 2 2" xfId="2844"/>
    <cellStyle name="Vérification 2 2 2 3 2 2 2" xfId="6532"/>
    <cellStyle name="Vérification 2 2 2 3 2 2 2 2" xfId="8913"/>
    <cellStyle name="Vérification 2 2 2 3 2 2 2 2 2" xfId="25137"/>
    <cellStyle name="Vérification 2 2 2 3 2 2 2 2 2 2" xfId="37144"/>
    <cellStyle name="Vérification 2 2 2 3 2 2 2 2 3" xfId="14920"/>
    <cellStyle name="Vérification 2 2 2 3 2 2 2 2 4" xfId="31141"/>
    <cellStyle name="Vérification 2 2 2 3 2 2 2 3" xfId="10291"/>
    <cellStyle name="Vérification 2 2 2 3 2 2 2 3 2" xfId="26515"/>
    <cellStyle name="Vérification 2 2 2 3 2 2 2 3 2 2" xfId="38522"/>
    <cellStyle name="Vérification 2 2 2 3 2 2 2 3 3" xfId="16298"/>
    <cellStyle name="Vérification 2 2 2 3 2 2 2 3 4" xfId="32519"/>
    <cellStyle name="Vérification 2 2 2 3 2 2 2 4" xfId="22756"/>
    <cellStyle name="Vérification 2 2 2 3 2 2 2 4 2" xfId="34763"/>
    <cellStyle name="Vérification 2 2 2 3 2 2 2 5" xfId="12617"/>
    <cellStyle name="Vérification 2 2 2 3 2 2 2 6" xfId="28838"/>
    <cellStyle name="Vérification 2 2 2 3 2 2 3" xfId="7580"/>
    <cellStyle name="Vérification 2 2 2 3 2 2 3 2" xfId="9624"/>
    <cellStyle name="Vérification 2 2 2 3 2 2 3 2 2" xfId="25848"/>
    <cellStyle name="Vérification 2 2 2 3 2 2 3 2 2 2" xfId="37855"/>
    <cellStyle name="Vérification 2 2 2 3 2 2 3 2 3" xfId="15631"/>
    <cellStyle name="Vérification 2 2 2 3 2 2 3 2 4" xfId="31852"/>
    <cellStyle name="Vérification 2 2 2 3 2 2 3 3" xfId="23804"/>
    <cellStyle name="Vérification 2 2 2 3 2 2 3 3 2" xfId="35811"/>
    <cellStyle name="Vérification 2 2 2 3 2 2 3 4" xfId="13328"/>
    <cellStyle name="Vérification 2 2 2 3 2 2 3 5" xfId="29549"/>
    <cellStyle name="Vérification 2 2 2 3 2 2 4" xfId="7957"/>
    <cellStyle name="Vérification 2 2 2 3 2 2 4 2" xfId="24181"/>
    <cellStyle name="Vérification 2 2 2 3 2 2 4 2 2" xfId="36188"/>
    <cellStyle name="Vérification 2 2 2 3 2 2 4 3" xfId="13964"/>
    <cellStyle name="Vérification 2 2 2 3 2 2 4 4" xfId="30185"/>
    <cellStyle name="Vérification 2 2 2 3 2 2 5" xfId="19072"/>
    <cellStyle name="Vérification 2 2 2 3 2 2 5 2" xfId="33186"/>
    <cellStyle name="Vérification 2 2 2 3 2 2 6" xfId="11313"/>
    <cellStyle name="Vérification 2 2 2 3 2 2 7" xfId="27534"/>
    <cellStyle name="Vérification 2 2 2 3 2 3" xfId="5063"/>
    <cellStyle name="Vérification 2 2 2 3 2 3 2" xfId="7090"/>
    <cellStyle name="Vérification 2 2 2 3 2 3 2 2" xfId="9291"/>
    <cellStyle name="Vérification 2 2 2 3 2 3 2 2 2" xfId="25515"/>
    <cellStyle name="Vérification 2 2 2 3 2 3 2 2 2 2" xfId="37522"/>
    <cellStyle name="Vérification 2 2 2 3 2 3 2 2 3" xfId="15298"/>
    <cellStyle name="Vérification 2 2 2 3 2 3 2 2 4" xfId="31519"/>
    <cellStyle name="Vérification 2 2 2 3 2 3 2 3" xfId="23314"/>
    <cellStyle name="Vérification 2 2 2 3 2 3 2 3 2" xfId="35321"/>
    <cellStyle name="Vérification 2 2 2 3 2 3 2 4" xfId="12995"/>
    <cellStyle name="Vérification 2 2 2 3 2 3 2 5" xfId="29216"/>
    <cellStyle name="Vérification 2 2 2 3 2 3 3" xfId="6647"/>
    <cellStyle name="Vérification 2 2 2 3 2 3 3 2" xfId="22871"/>
    <cellStyle name="Vérification 2 2 2 3 2 3 3 2 2" xfId="34878"/>
    <cellStyle name="Vérification 2 2 2 3 2 3 3 3" xfId="11487"/>
    <cellStyle name="Vérification 2 2 2 3 2 3 3 4" xfId="27708"/>
    <cellStyle name="Vérification 2 2 2 3 2 3 4" xfId="21289"/>
    <cellStyle name="Vérification 2 2 2 3 2 3 4 2" xfId="34430"/>
    <cellStyle name="Vérification 2 2 2 3 2 3 5" xfId="10977"/>
    <cellStyle name="Vérification 2 2 2 3 2 3 6" xfId="27200"/>
    <cellStyle name="Vérification 2 2 2 3 2 4" xfId="3454"/>
    <cellStyle name="Vérification 2 2 2 3 2 4 2" xfId="8421"/>
    <cellStyle name="Vérification 2 2 2 3 2 4 2 2" xfId="24645"/>
    <cellStyle name="Vérification 2 2 2 3 2 4 2 2 2" xfId="36652"/>
    <cellStyle name="Vérification 2 2 2 3 2 4 2 3" xfId="14428"/>
    <cellStyle name="Vérification 2 2 2 3 2 4 2 4" xfId="30649"/>
    <cellStyle name="Vérification 2 2 2 3 2 4 3" xfId="9958"/>
    <cellStyle name="Vérification 2 2 2 3 2 4 3 2" xfId="26182"/>
    <cellStyle name="Vérification 2 2 2 3 2 4 3 2 2" xfId="38189"/>
    <cellStyle name="Vérification 2 2 2 3 2 4 3 3" xfId="15965"/>
    <cellStyle name="Vérification 2 2 2 3 2 4 3 4" xfId="32186"/>
    <cellStyle name="Vérification 2 2 2 3 2 4 4" xfId="19682"/>
    <cellStyle name="Vérification 2 2 2 3 2 4 4 2" xfId="33796"/>
    <cellStyle name="Vérification 2 2 2 3 2 4 5" xfId="11976"/>
    <cellStyle name="Vérification 2 2 2 3 2 4 6" xfId="28197"/>
    <cellStyle name="Vérification 2 2 2 3 2 5" xfId="3688"/>
    <cellStyle name="Vérification 2 2 2 3 2 5 2" xfId="8578"/>
    <cellStyle name="Vérification 2 2 2 3 2 5 2 2" xfId="24802"/>
    <cellStyle name="Vérification 2 2 2 3 2 5 2 2 2" xfId="36809"/>
    <cellStyle name="Vérification 2 2 2 3 2 5 2 3" xfId="14585"/>
    <cellStyle name="Vérification 2 2 2 3 2 5 2 4" xfId="30806"/>
    <cellStyle name="Vérification 2 2 2 3 2 5 3" xfId="19916"/>
    <cellStyle name="Vérification 2 2 2 3 2 5 3 2" xfId="34030"/>
    <cellStyle name="Vérification 2 2 2 3 2 5 4" xfId="12133"/>
    <cellStyle name="Vérification 2 2 2 3 2 5 5" xfId="28354"/>
    <cellStyle name="Vérification 2 2 2 3 2 6" xfId="3739"/>
    <cellStyle name="Vérification 2 2 2 3 2 6 2" xfId="19967"/>
    <cellStyle name="Vérification 2 2 2 3 2 6 2 2" xfId="34081"/>
    <cellStyle name="Vérification 2 2 2 3 2 6 3" xfId="12292"/>
    <cellStyle name="Vérification 2 2 2 3 2 6 4" xfId="28513"/>
    <cellStyle name="Vérification 2 2 2 3 2 7" xfId="17605"/>
    <cellStyle name="Vérification 2 2 2 3 2 7 2" xfId="32853"/>
    <cellStyle name="Vérification 2 2 2 3 2 8" xfId="10625"/>
    <cellStyle name="Vérification 2 2 2 3 2 9" xfId="26850"/>
    <cellStyle name="Vérification 2 2 2 3 3" xfId="1115"/>
    <cellStyle name="Vérification 2 2 2 3 3 2" xfId="2755"/>
    <cellStyle name="Vérification 2 2 2 3 3 2 2" xfId="6443"/>
    <cellStyle name="Vérification 2 2 2 3 3 2 2 2" xfId="8824"/>
    <cellStyle name="Vérification 2 2 2 3 3 2 2 2 2" xfId="25048"/>
    <cellStyle name="Vérification 2 2 2 3 3 2 2 2 2 2" xfId="37055"/>
    <cellStyle name="Vérification 2 2 2 3 3 2 2 2 3" xfId="14831"/>
    <cellStyle name="Vérification 2 2 2 3 3 2 2 2 4" xfId="31052"/>
    <cellStyle name="Vérification 2 2 2 3 3 2 2 3" xfId="10202"/>
    <cellStyle name="Vérification 2 2 2 3 3 2 2 3 2" xfId="26426"/>
    <cellStyle name="Vérification 2 2 2 3 3 2 2 3 2 2" xfId="38433"/>
    <cellStyle name="Vérification 2 2 2 3 3 2 2 3 3" xfId="16209"/>
    <cellStyle name="Vérification 2 2 2 3 3 2 2 3 4" xfId="32430"/>
    <cellStyle name="Vérification 2 2 2 3 3 2 2 4" xfId="22667"/>
    <cellStyle name="Vérification 2 2 2 3 3 2 2 4 2" xfId="34674"/>
    <cellStyle name="Vérification 2 2 2 3 3 2 2 5" xfId="12528"/>
    <cellStyle name="Vérification 2 2 2 3 3 2 2 6" xfId="28749"/>
    <cellStyle name="Vérification 2 2 2 3 3 2 3" xfId="7491"/>
    <cellStyle name="Vérification 2 2 2 3 3 2 3 2" xfId="9535"/>
    <cellStyle name="Vérification 2 2 2 3 3 2 3 2 2" xfId="25759"/>
    <cellStyle name="Vérification 2 2 2 3 3 2 3 2 2 2" xfId="37766"/>
    <cellStyle name="Vérification 2 2 2 3 3 2 3 2 3" xfId="15542"/>
    <cellStyle name="Vérification 2 2 2 3 3 2 3 2 4" xfId="31763"/>
    <cellStyle name="Vérification 2 2 2 3 3 2 3 3" xfId="23715"/>
    <cellStyle name="Vérification 2 2 2 3 3 2 3 3 2" xfId="35722"/>
    <cellStyle name="Vérification 2 2 2 3 3 2 3 4" xfId="13239"/>
    <cellStyle name="Vérification 2 2 2 3 3 2 3 5" xfId="29460"/>
    <cellStyle name="Vérification 2 2 2 3 3 2 4" xfId="7868"/>
    <cellStyle name="Vérification 2 2 2 3 3 2 4 2" xfId="24092"/>
    <cellStyle name="Vérification 2 2 2 3 3 2 4 2 2" xfId="36099"/>
    <cellStyle name="Vérification 2 2 2 3 3 2 4 3" xfId="13875"/>
    <cellStyle name="Vérification 2 2 2 3 3 2 4 4" xfId="30096"/>
    <cellStyle name="Vérification 2 2 2 3 3 2 5" xfId="18983"/>
    <cellStyle name="Vérification 2 2 2 3 3 2 5 2" xfId="33097"/>
    <cellStyle name="Vérification 2 2 2 3 3 2 6" xfId="11224"/>
    <cellStyle name="Vérification 2 2 2 3 3 2 7" xfId="27445"/>
    <cellStyle name="Vérification 2 2 2 3 3 3" xfId="4812"/>
    <cellStyle name="Vérification 2 2 2 3 3 3 2" xfId="6982"/>
    <cellStyle name="Vérification 2 2 2 3 3 3 2 2" xfId="9202"/>
    <cellStyle name="Vérification 2 2 2 3 3 3 2 2 2" xfId="25426"/>
    <cellStyle name="Vérification 2 2 2 3 3 3 2 2 2 2" xfId="37433"/>
    <cellStyle name="Vérification 2 2 2 3 3 3 2 2 3" xfId="15209"/>
    <cellStyle name="Vérification 2 2 2 3 3 3 2 2 4" xfId="31430"/>
    <cellStyle name="Vérification 2 2 2 3 3 3 2 3" xfId="23206"/>
    <cellStyle name="Vérification 2 2 2 3 3 3 2 3 2" xfId="35213"/>
    <cellStyle name="Vérification 2 2 2 3 3 3 2 4" xfId="12906"/>
    <cellStyle name="Vérification 2 2 2 3 3 3 2 5" xfId="29127"/>
    <cellStyle name="Vérification 2 2 2 3 3 3 3" xfId="3249"/>
    <cellStyle name="Vérification 2 2 2 3 3 3 3 2" xfId="19477"/>
    <cellStyle name="Vérification 2 2 2 3 3 3 3 2 2" xfId="33591"/>
    <cellStyle name="Vérification 2 2 2 3 3 3 3 3" xfId="13500"/>
    <cellStyle name="Vérification 2 2 2 3 3 3 3 4" xfId="29721"/>
    <cellStyle name="Vérification 2 2 2 3 3 3 4" xfId="21038"/>
    <cellStyle name="Vérification 2 2 2 3 3 3 4 2" xfId="34341"/>
    <cellStyle name="Vérification 2 2 2 3 3 3 5" xfId="10888"/>
    <cellStyle name="Vérification 2 2 2 3 3 3 6" xfId="27111"/>
    <cellStyle name="Vérification 2 2 2 3 3 4" xfId="3326"/>
    <cellStyle name="Vérification 2 2 2 3 3 4 2" xfId="8309"/>
    <cellStyle name="Vérification 2 2 2 3 3 4 2 2" xfId="24533"/>
    <cellStyle name="Vérification 2 2 2 3 3 4 2 2 2" xfId="36540"/>
    <cellStyle name="Vérification 2 2 2 3 3 4 2 3" xfId="14316"/>
    <cellStyle name="Vérification 2 2 2 3 3 4 2 4" xfId="30537"/>
    <cellStyle name="Vérification 2 2 2 3 3 4 3" xfId="9869"/>
    <cellStyle name="Vérification 2 2 2 3 3 4 3 2" xfId="26093"/>
    <cellStyle name="Vérification 2 2 2 3 3 4 3 2 2" xfId="38100"/>
    <cellStyle name="Vérification 2 2 2 3 3 4 3 3" xfId="15876"/>
    <cellStyle name="Vérification 2 2 2 3 3 4 3 4" xfId="32097"/>
    <cellStyle name="Vérification 2 2 2 3 3 4 4" xfId="19554"/>
    <cellStyle name="Vérification 2 2 2 3 3 4 4 2" xfId="33668"/>
    <cellStyle name="Vérification 2 2 2 3 3 4 5" xfId="11864"/>
    <cellStyle name="Vérification 2 2 2 3 3 4 6" xfId="28085"/>
    <cellStyle name="Vérification 2 2 2 3 3 5" xfId="3679"/>
    <cellStyle name="Vérification 2 2 2 3 3 5 2" xfId="8572"/>
    <cellStyle name="Vérification 2 2 2 3 3 5 2 2" xfId="24796"/>
    <cellStyle name="Vérification 2 2 2 3 3 5 2 2 2" xfId="36803"/>
    <cellStyle name="Vérification 2 2 2 3 3 5 2 3" xfId="14579"/>
    <cellStyle name="Vérification 2 2 2 3 3 5 2 4" xfId="30800"/>
    <cellStyle name="Vérification 2 2 2 3 3 5 3" xfId="19907"/>
    <cellStyle name="Vérification 2 2 2 3 3 5 3 2" xfId="34021"/>
    <cellStyle name="Vérification 2 2 2 3 3 5 4" xfId="12127"/>
    <cellStyle name="Vérification 2 2 2 3 3 5 5" xfId="28348"/>
    <cellStyle name="Vérification 2 2 2 3 3 6" xfId="6811"/>
    <cellStyle name="Vérification 2 2 2 3 3 6 2" xfId="23035"/>
    <cellStyle name="Vérification 2 2 2 3 3 6 2 2" xfId="35042"/>
    <cellStyle name="Vérification 2 2 2 3 3 6 3" xfId="13508"/>
    <cellStyle name="Vérification 2 2 2 3 3 6 4" xfId="29729"/>
    <cellStyle name="Vérification 2 2 2 3 3 7" xfId="17354"/>
    <cellStyle name="Vérification 2 2 2 3 3 7 2" xfId="32764"/>
    <cellStyle name="Vérification 2 2 2 3 3 8" xfId="10536"/>
    <cellStyle name="Vérification 2 2 2 3 3 9" xfId="26761"/>
    <cellStyle name="Vérification 2 2 2 3 4" xfId="2666"/>
    <cellStyle name="Vérification 2 2 2 3 4 2" xfId="6354"/>
    <cellStyle name="Vérification 2 2 2 3 4 2 2" xfId="8735"/>
    <cellStyle name="Vérification 2 2 2 3 4 2 2 2" xfId="24959"/>
    <cellStyle name="Vérification 2 2 2 3 4 2 2 2 2" xfId="36966"/>
    <cellStyle name="Vérification 2 2 2 3 4 2 2 3" xfId="14742"/>
    <cellStyle name="Vérification 2 2 2 3 4 2 2 4" xfId="30963"/>
    <cellStyle name="Vérification 2 2 2 3 4 2 3" xfId="10113"/>
    <cellStyle name="Vérification 2 2 2 3 4 2 3 2" xfId="26337"/>
    <cellStyle name="Vérification 2 2 2 3 4 2 3 2 2" xfId="38344"/>
    <cellStyle name="Vérification 2 2 2 3 4 2 3 3" xfId="16120"/>
    <cellStyle name="Vérification 2 2 2 3 4 2 3 4" xfId="32341"/>
    <cellStyle name="Vérification 2 2 2 3 4 2 4" xfId="22578"/>
    <cellStyle name="Vérification 2 2 2 3 4 2 4 2" xfId="34585"/>
    <cellStyle name="Vérification 2 2 2 3 4 2 5" xfId="12439"/>
    <cellStyle name="Vérification 2 2 2 3 4 2 6" xfId="28660"/>
    <cellStyle name="Vérification 2 2 2 3 4 3" xfId="7402"/>
    <cellStyle name="Vérification 2 2 2 3 4 3 2" xfId="9446"/>
    <cellStyle name="Vérification 2 2 2 3 4 3 2 2" xfId="25670"/>
    <cellStyle name="Vérification 2 2 2 3 4 3 2 2 2" xfId="37677"/>
    <cellStyle name="Vérification 2 2 2 3 4 3 2 3" xfId="15453"/>
    <cellStyle name="Vérification 2 2 2 3 4 3 2 4" xfId="31674"/>
    <cellStyle name="Vérification 2 2 2 3 4 3 3" xfId="23626"/>
    <cellStyle name="Vérification 2 2 2 3 4 3 3 2" xfId="35633"/>
    <cellStyle name="Vérification 2 2 2 3 4 3 4" xfId="13150"/>
    <cellStyle name="Vérification 2 2 2 3 4 3 5" xfId="29371"/>
    <cellStyle name="Vérification 2 2 2 3 4 4" xfId="7779"/>
    <cellStyle name="Vérification 2 2 2 3 4 4 2" xfId="24003"/>
    <cellStyle name="Vérification 2 2 2 3 4 4 2 2" xfId="36010"/>
    <cellStyle name="Vérification 2 2 2 3 4 4 3" xfId="13786"/>
    <cellStyle name="Vérification 2 2 2 3 4 4 4" xfId="30007"/>
    <cellStyle name="Vérification 2 2 2 3 4 5" xfId="18894"/>
    <cellStyle name="Vérification 2 2 2 3 4 5 2" xfId="33008"/>
    <cellStyle name="Vérification 2 2 2 3 4 6" xfId="11135"/>
    <cellStyle name="Vérification 2 2 2 3 4 7" xfId="27356"/>
    <cellStyle name="Vérification 2 2 2 3 5" xfId="4237"/>
    <cellStyle name="Vérification 2 2 2 3 5 2" xfId="6817"/>
    <cellStyle name="Vérification 2 2 2 3 5 2 2" xfId="9113"/>
    <cellStyle name="Vérification 2 2 2 3 5 2 2 2" xfId="25337"/>
    <cellStyle name="Vérification 2 2 2 3 5 2 2 2 2" xfId="37344"/>
    <cellStyle name="Vérification 2 2 2 3 5 2 2 3" xfId="15120"/>
    <cellStyle name="Vérification 2 2 2 3 5 2 2 4" xfId="31341"/>
    <cellStyle name="Vérification 2 2 2 3 5 2 3" xfId="23041"/>
    <cellStyle name="Vérification 2 2 2 3 5 2 3 2" xfId="35048"/>
    <cellStyle name="Vérification 2 2 2 3 5 2 4" xfId="12817"/>
    <cellStyle name="Vérification 2 2 2 3 5 2 5" xfId="29038"/>
    <cellStyle name="Vérification 2 2 2 3 5 3" xfId="3615"/>
    <cellStyle name="Vérification 2 2 2 3 5 3 2" xfId="19843"/>
    <cellStyle name="Vérification 2 2 2 3 5 3 2 2" xfId="33957"/>
    <cellStyle name="Vérification 2 2 2 3 5 3 3" xfId="11586"/>
    <cellStyle name="Vérification 2 2 2 3 5 3 4" xfId="27807"/>
    <cellStyle name="Vérification 2 2 2 3 5 4" xfId="20463"/>
    <cellStyle name="Vérification 2 2 2 3 5 4 2" xfId="34252"/>
    <cellStyle name="Vérification 2 2 2 3 5 5" xfId="10792"/>
    <cellStyle name="Vérification 2 2 2 3 5 6" xfId="27015"/>
    <cellStyle name="Vérification 2 2 2 3 6" xfId="3105"/>
    <cellStyle name="Vérification 2 2 2 3 6 2" xfId="8157"/>
    <cellStyle name="Vérification 2 2 2 3 6 2 2" xfId="24381"/>
    <cellStyle name="Vérification 2 2 2 3 6 2 2 2" xfId="36388"/>
    <cellStyle name="Vérification 2 2 2 3 6 2 3" xfId="14164"/>
    <cellStyle name="Vérification 2 2 2 3 6 2 4" xfId="30385"/>
    <cellStyle name="Vérification 2 2 2 3 6 3" xfId="9780"/>
    <cellStyle name="Vérification 2 2 2 3 6 3 2" xfId="26004"/>
    <cellStyle name="Vérification 2 2 2 3 6 3 2 2" xfId="38011"/>
    <cellStyle name="Vérification 2 2 2 3 6 3 3" xfId="15787"/>
    <cellStyle name="Vérification 2 2 2 3 6 3 4" xfId="32008"/>
    <cellStyle name="Vérification 2 2 2 3 6 4" xfId="19333"/>
    <cellStyle name="Vérification 2 2 2 3 6 4 2" xfId="33447"/>
    <cellStyle name="Vérification 2 2 2 3 6 5" xfId="11712"/>
    <cellStyle name="Vérification 2 2 2 3 6 6" xfId="27933"/>
    <cellStyle name="Vérification 2 2 2 3 7" xfId="3841"/>
    <cellStyle name="Vérification 2 2 2 3 7 2" xfId="8667"/>
    <cellStyle name="Vérification 2 2 2 3 7 2 2" xfId="24891"/>
    <cellStyle name="Vérification 2 2 2 3 7 2 2 2" xfId="36898"/>
    <cellStyle name="Vérification 2 2 2 3 7 2 3" xfId="14674"/>
    <cellStyle name="Vérification 2 2 2 3 7 2 4" xfId="30895"/>
    <cellStyle name="Vérification 2 2 2 3 7 3" xfId="20069"/>
    <cellStyle name="Vérification 2 2 2 3 7 3 2" xfId="34183"/>
    <cellStyle name="Vérification 2 2 2 3 7 4" xfId="12222"/>
    <cellStyle name="Vérification 2 2 2 3 7 5" xfId="28443"/>
    <cellStyle name="Vérification 2 2 2 3 8" xfId="7160"/>
    <cellStyle name="Vérification 2 2 2 3 8 2" xfId="23384"/>
    <cellStyle name="Vérification 2 2 2 3 8 2 2" xfId="35391"/>
    <cellStyle name="Vérification 2 2 2 3 8 3" xfId="13544"/>
    <cellStyle name="Vérification 2 2 2 3 8 4" xfId="29765"/>
    <cellStyle name="Vérification 2 2 2 3 9" xfId="16779"/>
    <cellStyle name="Vérification 2 2 2 3 9 2" xfId="32675"/>
    <cellStyle name="Vérification 2 2 2 4" xfId="571"/>
    <cellStyle name="Vérification 2 2 2 4 10" xfId="10470"/>
    <cellStyle name="Vérification 2 2 2 4 11" xfId="26695"/>
    <cellStyle name="Vérification 2 2 2 4 2" xfId="1389"/>
    <cellStyle name="Vérification 2 2 2 4 2 2" xfId="2867"/>
    <cellStyle name="Vérification 2 2 2 4 2 2 2" xfId="6555"/>
    <cellStyle name="Vérification 2 2 2 4 2 2 2 2" xfId="8936"/>
    <cellStyle name="Vérification 2 2 2 4 2 2 2 2 2" xfId="25160"/>
    <cellStyle name="Vérification 2 2 2 4 2 2 2 2 2 2" xfId="37167"/>
    <cellStyle name="Vérification 2 2 2 4 2 2 2 2 3" xfId="14943"/>
    <cellStyle name="Vérification 2 2 2 4 2 2 2 2 4" xfId="31164"/>
    <cellStyle name="Vérification 2 2 2 4 2 2 2 3" xfId="10314"/>
    <cellStyle name="Vérification 2 2 2 4 2 2 2 3 2" xfId="26538"/>
    <cellStyle name="Vérification 2 2 2 4 2 2 2 3 2 2" xfId="38545"/>
    <cellStyle name="Vérification 2 2 2 4 2 2 2 3 3" xfId="16321"/>
    <cellStyle name="Vérification 2 2 2 4 2 2 2 3 4" xfId="32542"/>
    <cellStyle name="Vérification 2 2 2 4 2 2 2 4" xfId="22779"/>
    <cellStyle name="Vérification 2 2 2 4 2 2 2 4 2" xfId="34786"/>
    <cellStyle name="Vérification 2 2 2 4 2 2 2 5" xfId="12640"/>
    <cellStyle name="Vérification 2 2 2 4 2 2 2 6" xfId="28861"/>
    <cellStyle name="Vérification 2 2 2 4 2 2 3" xfId="7603"/>
    <cellStyle name="Vérification 2 2 2 4 2 2 3 2" xfId="9647"/>
    <cellStyle name="Vérification 2 2 2 4 2 2 3 2 2" xfId="25871"/>
    <cellStyle name="Vérification 2 2 2 4 2 2 3 2 2 2" xfId="37878"/>
    <cellStyle name="Vérification 2 2 2 4 2 2 3 2 3" xfId="15654"/>
    <cellStyle name="Vérification 2 2 2 4 2 2 3 2 4" xfId="31875"/>
    <cellStyle name="Vérification 2 2 2 4 2 2 3 3" xfId="23827"/>
    <cellStyle name="Vérification 2 2 2 4 2 2 3 3 2" xfId="35834"/>
    <cellStyle name="Vérification 2 2 2 4 2 2 3 4" xfId="13351"/>
    <cellStyle name="Vérification 2 2 2 4 2 2 3 5" xfId="29572"/>
    <cellStyle name="Vérification 2 2 2 4 2 2 4" xfId="7980"/>
    <cellStyle name="Vérification 2 2 2 4 2 2 4 2" xfId="24204"/>
    <cellStyle name="Vérification 2 2 2 4 2 2 4 2 2" xfId="36211"/>
    <cellStyle name="Vérification 2 2 2 4 2 2 4 3" xfId="13987"/>
    <cellStyle name="Vérification 2 2 2 4 2 2 4 4" xfId="30208"/>
    <cellStyle name="Vérification 2 2 2 4 2 2 5" xfId="19095"/>
    <cellStyle name="Vérification 2 2 2 4 2 2 5 2" xfId="33209"/>
    <cellStyle name="Vérification 2 2 2 4 2 2 6" xfId="11336"/>
    <cellStyle name="Vérification 2 2 2 4 2 2 7" xfId="27557"/>
    <cellStyle name="Vérification 2 2 2 4 2 3" xfId="5086"/>
    <cellStyle name="Vérification 2 2 2 4 2 3 2" xfId="7113"/>
    <cellStyle name="Vérification 2 2 2 4 2 3 2 2" xfId="9314"/>
    <cellStyle name="Vérification 2 2 2 4 2 3 2 2 2" xfId="25538"/>
    <cellStyle name="Vérification 2 2 2 4 2 3 2 2 2 2" xfId="37545"/>
    <cellStyle name="Vérification 2 2 2 4 2 3 2 2 3" xfId="15321"/>
    <cellStyle name="Vérification 2 2 2 4 2 3 2 2 4" xfId="31542"/>
    <cellStyle name="Vérification 2 2 2 4 2 3 2 3" xfId="23337"/>
    <cellStyle name="Vérification 2 2 2 4 2 3 2 3 2" xfId="35344"/>
    <cellStyle name="Vérification 2 2 2 4 2 3 2 4" xfId="13018"/>
    <cellStyle name="Vérification 2 2 2 4 2 3 2 5" xfId="29239"/>
    <cellStyle name="Vérification 2 2 2 4 2 3 3" xfId="3632"/>
    <cellStyle name="Vérification 2 2 2 4 2 3 3 2" xfId="19860"/>
    <cellStyle name="Vérification 2 2 2 4 2 3 3 2 2" xfId="33974"/>
    <cellStyle name="Vérification 2 2 2 4 2 3 3 3" xfId="11563"/>
    <cellStyle name="Vérification 2 2 2 4 2 3 3 4" xfId="27784"/>
    <cellStyle name="Vérification 2 2 2 4 2 3 4" xfId="21312"/>
    <cellStyle name="Vérification 2 2 2 4 2 3 4 2" xfId="34453"/>
    <cellStyle name="Vérification 2 2 2 4 2 3 5" xfId="11000"/>
    <cellStyle name="Vérification 2 2 2 4 2 3 6" xfId="27223"/>
    <cellStyle name="Vérification 2 2 2 4 2 4" xfId="3477"/>
    <cellStyle name="Vérification 2 2 2 4 2 4 2" xfId="8444"/>
    <cellStyle name="Vérification 2 2 2 4 2 4 2 2" xfId="24668"/>
    <cellStyle name="Vérification 2 2 2 4 2 4 2 2 2" xfId="36675"/>
    <cellStyle name="Vérification 2 2 2 4 2 4 2 3" xfId="14451"/>
    <cellStyle name="Vérification 2 2 2 4 2 4 2 4" xfId="30672"/>
    <cellStyle name="Vérification 2 2 2 4 2 4 3" xfId="9981"/>
    <cellStyle name="Vérification 2 2 2 4 2 4 3 2" xfId="26205"/>
    <cellStyle name="Vérification 2 2 2 4 2 4 3 2 2" xfId="38212"/>
    <cellStyle name="Vérification 2 2 2 4 2 4 3 3" xfId="15988"/>
    <cellStyle name="Vérification 2 2 2 4 2 4 3 4" xfId="32209"/>
    <cellStyle name="Vérification 2 2 2 4 2 4 4" xfId="19705"/>
    <cellStyle name="Vérification 2 2 2 4 2 4 4 2" xfId="33819"/>
    <cellStyle name="Vérification 2 2 2 4 2 4 5" xfId="11999"/>
    <cellStyle name="Vérification 2 2 2 4 2 4 6" xfId="28220"/>
    <cellStyle name="Vérification 2 2 2 4 2 5" xfId="3183"/>
    <cellStyle name="Vérification 2 2 2 4 2 5 2" xfId="8209"/>
    <cellStyle name="Vérification 2 2 2 4 2 5 2 2" xfId="24433"/>
    <cellStyle name="Vérification 2 2 2 4 2 5 2 2 2" xfId="36440"/>
    <cellStyle name="Vérification 2 2 2 4 2 5 2 3" xfId="14216"/>
    <cellStyle name="Vérification 2 2 2 4 2 5 2 4" xfId="30437"/>
    <cellStyle name="Vérification 2 2 2 4 2 5 3" xfId="19411"/>
    <cellStyle name="Vérification 2 2 2 4 2 5 3 2" xfId="33525"/>
    <cellStyle name="Vérification 2 2 2 4 2 5 4" xfId="11764"/>
    <cellStyle name="Vérification 2 2 2 4 2 5 5" xfId="27985"/>
    <cellStyle name="Vérification 2 2 2 4 2 6" xfId="6914"/>
    <cellStyle name="Vérification 2 2 2 4 2 6 2" xfId="23138"/>
    <cellStyle name="Vérification 2 2 2 4 2 6 2 2" xfId="35145"/>
    <cellStyle name="Vérification 2 2 2 4 2 6 3" xfId="11456"/>
    <cellStyle name="Vérification 2 2 2 4 2 6 4" xfId="27677"/>
    <cellStyle name="Vérification 2 2 2 4 2 7" xfId="17628"/>
    <cellStyle name="Vérification 2 2 2 4 2 7 2" xfId="32876"/>
    <cellStyle name="Vérification 2 2 2 4 2 8" xfId="10648"/>
    <cellStyle name="Vérification 2 2 2 4 2 9" xfId="26873"/>
    <cellStyle name="Vérification 2 2 2 4 3" xfId="1168"/>
    <cellStyle name="Vérification 2 2 2 4 3 2" xfId="2778"/>
    <cellStyle name="Vérification 2 2 2 4 3 2 2" xfId="6466"/>
    <cellStyle name="Vérification 2 2 2 4 3 2 2 2" xfId="8847"/>
    <cellStyle name="Vérification 2 2 2 4 3 2 2 2 2" xfId="25071"/>
    <cellStyle name="Vérification 2 2 2 4 3 2 2 2 2 2" xfId="37078"/>
    <cellStyle name="Vérification 2 2 2 4 3 2 2 2 3" xfId="14854"/>
    <cellStyle name="Vérification 2 2 2 4 3 2 2 2 4" xfId="31075"/>
    <cellStyle name="Vérification 2 2 2 4 3 2 2 3" xfId="10225"/>
    <cellStyle name="Vérification 2 2 2 4 3 2 2 3 2" xfId="26449"/>
    <cellStyle name="Vérification 2 2 2 4 3 2 2 3 2 2" xfId="38456"/>
    <cellStyle name="Vérification 2 2 2 4 3 2 2 3 3" xfId="16232"/>
    <cellStyle name="Vérification 2 2 2 4 3 2 2 3 4" xfId="32453"/>
    <cellStyle name="Vérification 2 2 2 4 3 2 2 4" xfId="22690"/>
    <cellStyle name="Vérification 2 2 2 4 3 2 2 4 2" xfId="34697"/>
    <cellStyle name="Vérification 2 2 2 4 3 2 2 5" xfId="12551"/>
    <cellStyle name="Vérification 2 2 2 4 3 2 2 6" xfId="28772"/>
    <cellStyle name="Vérification 2 2 2 4 3 2 3" xfId="7514"/>
    <cellStyle name="Vérification 2 2 2 4 3 2 3 2" xfId="9558"/>
    <cellStyle name="Vérification 2 2 2 4 3 2 3 2 2" xfId="25782"/>
    <cellStyle name="Vérification 2 2 2 4 3 2 3 2 2 2" xfId="37789"/>
    <cellStyle name="Vérification 2 2 2 4 3 2 3 2 3" xfId="15565"/>
    <cellStyle name="Vérification 2 2 2 4 3 2 3 2 4" xfId="31786"/>
    <cellStyle name="Vérification 2 2 2 4 3 2 3 3" xfId="23738"/>
    <cellStyle name="Vérification 2 2 2 4 3 2 3 3 2" xfId="35745"/>
    <cellStyle name="Vérification 2 2 2 4 3 2 3 4" xfId="13262"/>
    <cellStyle name="Vérification 2 2 2 4 3 2 3 5" xfId="29483"/>
    <cellStyle name="Vérification 2 2 2 4 3 2 4" xfId="7891"/>
    <cellStyle name="Vérification 2 2 2 4 3 2 4 2" xfId="24115"/>
    <cellStyle name="Vérification 2 2 2 4 3 2 4 2 2" xfId="36122"/>
    <cellStyle name="Vérification 2 2 2 4 3 2 4 3" xfId="13898"/>
    <cellStyle name="Vérification 2 2 2 4 3 2 4 4" xfId="30119"/>
    <cellStyle name="Vérification 2 2 2 4 3 2 5" xfId="19006"/>
    <cellStyle name="Vérification 2 2 2 4 3 2 5 2" xfId="33120"/>
    <cellStyle name="Vérification 2 2 2 4 3 2 6" xfId="11247"/>
    <cellStyle name="Vérification 2 2 2 4 3 2 7" xfId="27468"/>
    <cellStyle name="Vérification 2 2 2 4 3 3" xfId="4865"/>
    <cellStyle name="Vérification 2 2 2 4 3 3 2" xfId="7009"/>
    <cellStyle name="Vérification 2 2 2 4 3 3 2 2" xfId="9225"/>
    <cellStyle name="Vérification 2 2 2 4 3 3 2 2 2" xfId="25449"/>
    <cellStyle name="Vérification 2 2 2 4 3 3 2 2 2 2" xfId="37456"/>
    <cellStyle name="Vérification 2 2 2 4 3 3 2 2 3" xfId="15232"/>
    <cellStyle name="Vérification 2 2 2 4 3 3 2 2 4" xfId="31453"/>
    <cellStyle name="Vérification 2 2 2 4 3 3 2 3" xfId="23233"/>
    <cellStyle name="Vérification 2 2 2 4 3 3 2 3 2" xfId="35240"/>
    <cellStyle name="Vérification 2 2 2 4 3 3 2 4" xfId="12929"/>
    <cellStyle name="Vérification 2 2 2 4 3 3 2 5" xfId="29150"/>
    <cellStyle name="Vérification 2 2 2 4 3 3 3" xfId="7193"/>
    <cellStyle name="Vérification 2 2 2 4 3 3 3 2" xfId="23417"/>
    <cellStyle name="Vérification 2 2 2 4 3 3 3 2 2" xfId="35424"/>
    <cellStyle name="Vérification 2 2 2 4 3 3 3 3" xfId="13577"/>
    <cellStyle name="Vérification 2 2 2 4 3 3 3 4" xfId="29798"/>
    <cellStyle name="Vérification 2 2 2 4 3 3 4" xfId="21091"/>
    <cellStyle name="Vérification 2 2 2 4 3 3 4 2" xfId="34364"/>
    <cellStyle name="Vérification 2 2 2 4 3 3 5" xfId="10911"/>
    <cellStyle name="Vérification 2 2 2 4 3 3 6" xfId="27134"/>
    <cellStyle name="Vérification 2 2 2 4 3 4" xfId="3359"/>
    <cellStyle name="Vérification 2 2 2 4 3 4 2" xfId="8337"/>
    <cellStyle name="Vérification 2 2 2 4 3 4 2 2" xfId="24561"/>
    <cellStyle name="Vérification 2 2 2 4 3 4 2 2 2" xfId="36568"/>
    <cellStyle name="Vérification 2 2 2 4 3 4 2 3" xfId="14344"/>
    <cellStyle name="Vérification 2 2 2 4 3 4 2 4" xfId="30565"/>
    <cellStyle name="Vérification 2 2 2 4 3 4 3" xfId="9892"/>
    <cellStyle name="Vérification 2 2 2 4 3 4 3 2" xfId="26116"/>
    <cellStyle name="Vérification 2 2 2 4 3 4 3 2 2" xfId="38123"/>
    <cellStyle name="Vérification 2 2 2 4 3 4 3 3" xfId="15899"/>
    <cellStyle name="Vérification 2 2 2 4 3 4 3 4" xfId="32120"/>
    <cellStyle name="Vérification 2 2 2 4 3 4 4" xfId="19587"/>
    <cellStyle name="Vérification 2 2 2 4 3 4 4 2" xfId="33701"/>
    <cellStyle name="Vérification 2 2 2 4 3 4 5" xfId="11892"/>
    <cellStyle name="Vérification 2 2 2 4 3 4 6" xfId="28113"/>
    <cellStyle name="Vérification 2 2 2 4 3 5" xfId="3651"/>
    <cellStyle name="Vérification 2 2 2 4 3 5 2" xfId="8558"/>
    <cellStyle name="Vérification 2 2 2 4 3 5 2 2" xfId="24782"/>
    <cellStyle name="Vérification 2 2 2 4 3 5 2 2 2" xfId="36789"/>
    <cellStyle name="Vérification 2 2 2 4 3 5 2 3" xfId="14565"/>
    <cellStyle name="Vérification 2 2 2 4 3 5 2 4" xfId="30786"/>
    <cellStyle name="Vérification 2 2 2 4 3 5 3" xfId="19879"/>
    <cellStyle name="Vérification 2 2 2 4 3 5 3 2" xfId="33993"/>
    <cellStyle name="Vérification 2 2 2 4 3 5 4" xfId="12113"/>
    <cellStyle name="Vérification 2 2 2 4 3 5 5" xfId="28334"/>
    <cellStyle name="Vérification 2 2 2 4 3 6" xfId="7190"/>
    <cellStyle name="Vérification 2 2 2 4 3 6 2" xfId="23414"/>
    <cellStyle name="Vérification 2 2 2 4 3 6 2 2" xfId="35421"/>
    <cellStyle name="Vérification 2 2 2 4 3 6 3" xfId="13574"/>
    <cellStyle name="Vérification 2 2 2 4 3 6 4" xfId="29795"/>
    <cellStyle name="Vérification 2 2 2 4 3 7" xfId="17407"/>
    <cellStyle name="Vérification 2 2 2 4 3 7 2" xfId="32787"/>
    <cellStyle name="Vérification 2 2 2 4 3 8" xfId="10559"/>
    <cellStyle name="Vérification 2 2 2 4 3 9" xfId="26784"/>
    <cellStyle name="Vérification 2 2 2 4 4" xfId="2689"/>
    <cellStyle name="Vérification 2 2 2 4 4 2" xfId="6377"/>
    <cellStyle name="Vérification 2 2 2 4 4 2 2" xfId="8758"/>
    <cellStyle name="Vérification 2 2 2 4 4 2 2 2" xfId="24982"/>
    <cellStyle name="Vérification 2 2 2 4 4 2 2 2 2" xfId="36989"/>
    <cellStyle name="Vérification 2 2 2 4 4 2 2 3" xfId="14765"/>
    <cellStyle name="Vérification 2 2 2 4 4 2 2 4" xfId="30986"/>
    <cellStyle name="Vérification 2 2 2 4 4 2 3" xfId="10136"/>
    <cellStyle name="Vérification 2 2 2 4 4 2 3 2" xfId="26360"/>
    <cellStyle name="Vérification 2 2 2 4 4 2 3 2 2" xfId="38367"/>
    <cellStyle name="Vérification 2 2 2 4 4 2 3 3" xfId="16143"/>
    <cellStyle name="Vérification 2 2 2 4 4 2 3 4" xfId="32364"/>
    <cellStyle name="Vérification 2 2 2 4 4 2 4" xfId="22601"/>
    <cellStyle name="Vérification 2 2 2 4 4 2 4 2" xfId="34608"/>
    <cellStyle name="Vérification 2 2 2 4 4 2 5" xfId="12462"/>
    <cellStyle name="Vérification 2 2 2 4 4 2 6" xfId="28683"/>
    <cellStyle name="Vérification 2 2 2 4 4 3" xfId="7425"/>
    <cellStyle name="Vérification 2 2 2 4 4 3 2" xfId="9469"/>
    <cellStyle name="Vérification 2 2 2 4 4 3 2 2" xfId="25693"/>
    <cellStyle name="Vérification 2 2 2 4 4 3 2 2 2" xfId="37700"/>
    <cellStyle name="Vérification 2 2 2 4 4 3 2 3" xfId="15476"/>
    <cellStyle name="Vérification 2 2 2 4 4 3 2 4" xfId="31697"/>
    <cellStyle name="Vérification 2 2 2 4 4 3 3" xfId="23649"/>
    <cellStyle name="Vérification 2 2 2 4 4 3 3 2" xfId="35656"/>
    <cellStyle name="Vérification 2 2 2 4 4 3 4" xfId="13173"/>
    <cellStyle name="Vérification 2 2 2 4 4 3 5" xfId="29394"/>
    <cellStyle name="Vérification 2 2 2 4 4 4" xfId="7802"/>
    <cellStyle name="Vérification 2 2 2 4 4 4 2" xfId="24026"/>
    <cellStyle name="Vérification 2 2 2 4 4 4 2 2" xfId="36033"/>
    <cellStyle name="Vérification 2 2 2 4 4 4 3" xfId="13809"/>
    <cellStyle name="Vérification 2 2 2 4 4 4 4" xfId="30030"/>
    <cellStyle name="Vérification 2 2 2 4 4 5" xfId="18917"/>
    <cellStyle name="Vérification 2 2 2 4 4 5 2" xfId="33031"/>
    <cellStyle name="Vérification 2 2 2 4 4 6" xfId="11158"/>
    <cellStyle name="Vérification 2 2 2 4 4 7" xfId="27379"/>
    <cellStyle name="Vérification 2 2 2 4 5" xfId="4290"/>
    <cellStyle name="Vérification 2 2 2 4 5 2" xfId="6847"/>
    <cellStyle name="Vérification 2 2 2 4 5 2 2" xfId="9136"/>
    <cellStyle name="Vérification 2 2 2 4 5 2 2 2" xfId="25360"/>
    <cellStyle name="Vérification 2 2 2 4 5 2 2 2 2" xfId="37367"/>
    <cellStyle name="Vérification 2 2 2 4 5 2 2 3" xfId="15143"/>
    <cellStyle name="Vérification 2 2 2 4 5 2 2 4" xfId="31364"/>
    <cellStyle name="Vérification 2 2 2 4 5 2 3" xfId="23071"/>
    <cellStyle name="Vérification 2 2 2 4 5 2 3 2" xfId="35078"/>
    <cellStyle name="Vérification 2 2 2 4 5 2 4" xfId="12840"/>
    <cellStyle name="Vérification 2 2 2 4 5 2 5" xfId="29061"/>
    <cellStyle name="Vérification 2 2 2 4 5 3" xfId="2966"/>
    <cellStyle name="Vérification 2 2 2 4 5 3 2" xfId="19194"/>
    <cellStyle name="Vérification 2 2 2 4 5 3 2 2" xfId="33308"/>
    <cellStyle name="Vérification 2 2 2 4 5 3 3" xfId="12267"/>
    <cellStyle name="Vérification 2 2 2 4 5 3 4" xfId="28488"/>
    <cellStyle name="Vérification 2 2 2 4 5 4" xfId="20516"/>
    <cellStyle name="Vérification 2 2 2 4 5 4 2" xfId="34275"/>
    <cellStyle name="Vérification 2 2 2 4 5 5" xfId="10817"/>
    <cellStyle name="Vérification 2 2 2 4 5 6" xfId="27040"/>
    <cellStyle name="Vérification 2 2 2 4 6" xfId="3140"/>
    <cellStyle name="Vérification 2 2 2 4 6 2" xfId="8184"/>
    <cellStyle name="Vérification 2 2 2 4 6 2 2" xfId="24408"/>
    <cellStyle name="Vérification 2 2 2 4 6 2 2 2" xfId="36415"/>
    <cellStyle name="Vérification 2 2 2 4 6 2 3" xfId="14191"/>
    <cellStyle name="Vérification 2 2 2 4 6 2 4" xfId="30412"/>
    <cellStyle name="Vérification 2 2 2 4 6 3" xfId="9803"/>
    <cellStyle name="Vérification 2 2 2 4 6 3 2" xfId="26027"/>
    <cellStyle name="Vérification 2 2 2 4 6 3 2 2" xfId="38034"/>
    <cellStyle name="Vérification 2 2 2 4 6 3 3" xfId="15810"/>
    <cellStyle name="Vérification 2 2 2 4 6 3 4" xfId="32031"/>
    <cellStyle name="Vérification 2 2 2 4 6 4" xfId="19368"/>
    <cellStyle name="Vérification 2 2 2 4 6 4 2" xfId="33482"/>
    <cellStyle name="Vérification 2 2 2 4 6 5" xfId="11739"/>
    <cellStyle name="Vérification 2 2 2 4 6 6" xfId="27960"/>
    <cellStyle name="Vérification 2 2 2 4 7" xfId="3134"/>
    <cellStyle name="Vérification 2 2 2 4 7 2" xfId="8182"/>
    <cellStyle name="Vérification 2 2 2 4 7 2 2" xfId="24406"/>
    <cellStyle name="Vérification 2 2 2 4 7 2 2 2" xfId="36413"/>
    <cellStyle name="Vérification 2 2 2 4 7 2 3" xfId="14189"/>
    <cellStyle name="Vérification 2 2 2 4 7 2 4" xfId="30410"/>
    <cellStyle name="Vérification 2 2 2 4 7 3" xfId="19362"/>
    <cellStyle name="Vérification 2 2 2 4 7 3 2" xfId="33476"/>
    <cellStyle name="Vérification 2 2 2 4 7 4" xfId="11737"/>
    <cellStyle name="Vérification 2 2 2 4 7 5" xfId="27958"/>
    <cellStyle name="Vérification 2 2 2 4 8" xfId="2968"/>
    <cellStyle name="Vérification 2 2 2 4 8 2" xfId="19196"/>
    <cellStyle name="Vérification 2 2 2 4 8 2 2" xfId="33310"/>
    <cellStyle name="Vérification 2 2 2 4 8 3" xfId="12326"/>
    <cellStyle name="Vérification 2 2 2 4 8 4" xfId="28547"/>
    <cellStyle name="Vérification 2 2 2 4 9" xfId="16832"/>
    <cellStyle name="Vérification 2 2 2 4 9 2" xfId="32698"/>
    <cellStyle name="Vérification 2 2 2 5" xfId="743"/>
    <cellStyle name="Vérification 2 2 2 5 10" xfId="26717"/>
    <cellStyle name="Vérification 2 2 2 5 2" xfId="1411"/>
    <cellStyle name="Vérification 2 2 2 5 2 2" xfId="2889"/>
    <cellStyle name="Vérification 2 2 2 5 2 2 2" xfId="6577"/>
    <cellStyle name="Vérification 2 2 2 5 2 2 2 2" xfId="8958"/>
    <cellStyle name="Vérification 2 2 2 5 2 2 2 2 2" xfId="25182"/>
    <cellStyle name="Vérification 2 2 2 5 2 2 2 2 2 2" xfId="37189"/>
    <cellStyle name="Vérification 2 2 2 5 2 2 2 2 3" xfId="14965"/>
    <cellStyle name="Vérification 2 2 2 5 2 2 2 2 4" xfId="31186"/>
    <cellStyle name="Vérification 2 2 2 5 2 2 2 3" xfId="10336"/>
    <cellStyle name="Vérification 2 2 2 5 2 2 2 3 2" xfId="26560"/>
    <cellStyle name="Vérification 2 2 2 5 2 2 2 3 2 2" xfId="38567"/>
    <cellStyle name="Vérification 2 2 2 5 2 2 2 3 3" xfId="16343"/>
    <cellStyle name="Vérification 2 2 2 5 2 2 2 3 4" xfId="32564"/>
    <cellStyle name="Vérification 2 2 2 5 2 2 2 4" xfId="22801"/>
    <cellStyle name="Vérification 2 2 2 5 2 2 2 4 2" xfId="34808"/>
    <cellStyle name="Vérification 2 2 2 5 2 2 2 5" xfId="12662"/>
    <cellStyle name="Vérification 2 2 2 5 2 2 2 6" xfId="28883"/>
    <cellStyle name="Vérification 2 2 2 5 2 2 3" xfId="7625"/>
    <cellStyle name="Vérification 2 2 2 5 2 2 3 2" xfId="9669"/>
    <cellStyle name="Vérification 2 2 2 5 2 2 3 2 2" xfId="25893"/>
    <cellStyle name="Vérification 2 2 2 5 2 2 3 2 2 2" xfId="37900"/>
    <cellStyle name="Vérification 2 2 2 5 2 2 3 2 3" xfId="15676"/>
    <cellStyle name="Vérification 2 2 2 5 2 2 3 2 4" xfId="31897"/>
    <cellStyle name="Vérification 2 2 2 5 2 2 3 3" xfId="23849"/>
    <cellStyle name="Vérification 2 2 2 5 2 2 3 3 2" xfId="35856"/>
    <cellStyle name="Vérification 2 2 2 5 2 2 3 4" xfId="13373"/>
    <cellStyle name="Vérification 2 2 2 5 2 2 3 5" xfId="29594"/>
    <cellStyle name="Vérification 2 2 2 5 2 2 4" xfId="8002"/>
    <cellStyle name="Vérification 2 2 2 5 2 2 4 2" xfId="24226"/>
    <cellStyle name="Vérification 2 2 2 5 2 2 4 2 2" xfId="36233"/>
    <cellStyle name="Vérification 2 2 2 5 2 2 4 3" xfId="14009"/>
    <cellStyle name="Vérification 2 2 2 5 2 2 4 4" xfId="30230"/>
    <cellStyle name="Vérification 2 2 2 5 2 2 5" xfId="19117"/>
    <cellStyle name="Vérification 2 2 2 5 2 2 5 2" xfId="33231"/>
    <cellStyle name="Vérification 2 2 2 5 2 2 6" xfId="11358"/>
    <cellStyle name="Vérification 2 2 2 5 2 2 7" xfId="27579"/>
    <cellStyle name="Vérification 2 2 2 5 2 3" xfId="5108"/>
    <cellStyle name="Vérification 2 2 2 5 2 3 2" xfId="7135"/>
    <cellStyle name="Vérification 2 2 2 5 2 3 2 2" xfId="9336"/>
    <cellStyle name="Vérification 2 2 2 5 2 3 2 2 2" xfId="25560"/>
    <cellStyle name="Vérification 2 2 2 5 2 3 2 2 2 2" xfId="37567"/>
    <cellStyle name="Vérification 2 2 2 5 2 3 2 2 3" xfId="15343"/>
    <cellStyle name="Vérification 2 2 2 5 2 3 2 2 4" xfId="31564"/>
    <cellStyle name="Vérification 2 2 2 5 2 3 2 3" xfId="23359"/>
    <cellStyle name="Vérification 2 2 2 5 2 3 2 3 2" xfId="35366"/>
    <cellStyle name="Vérification 2 2 2 5 2 3 2 4" xfId="13040"/>
    <cellStyle name="Vérification 2 2 2 5 2 3 2 5" xfId="29261"/>
    <cellStyle name="Vérification 2 2 2 5 2 3 3" xfId="7206"/>
    <cellStyle name="Vérification 2 2 2 5 2 3 3 2" xfId="23430"/>
    <cellStyle name="Vérification 2 2 2 5 2 3 3 2 2" xfId="35437"/>
    <cellStyle name="Vérification 2 2 2 5 2 3 3 3" xfId="13590"/>
    <cellStyle name="Vérification 2 2 2 5 2 3 3 4" xfId="29811"/>
    <cellStyle name="Vérification 2 2 2 5 2 3 4" xfId="21334"/>
    <cellStyle name="Vérification 2 2 2 5 2 3 4 2" xfId="34475"/>
    <cellStyle name="Vérification 2 2 2 5 2 3 5" xfId="11022"/>
    <cellStyle name="Vérification 2 2 2 5 2 3 6" xfId="27245"/>
    <cellStyle name="Vérification 2 2 2 5 2 4" xfId="3499"/>
    <cellStyle name="Vérification 2 2 2 5 2 4 2" xfId="8466"/>
    <cellStyle name="Vérification 2 2 2 5 2 4 2 2" xfId="24690"/>
    <cellStyle name="Vérification 2 2 2 5 2 4 2 2 2" xfId="36697"/>
    <cellStyle name="Vérification 2 2 2 5 2 4 2 3" xfId="14473"/>
    <cellStyle name="Vérification 2 2 2 5 2 4 2 4" xfId="30694"/>
    <cellStyle name="Vérification 2 2 2 5 2 4 3" xfId="10003"/>
    <cellStyle name="Vérification 2 2 2 5 2 4 3 2" xfId="26227"/>
    <cellStyle name="Vérification 2 2 2 5 2 4 3 2 2" xfId="38234"/>
    <cellStyle name="Vérification 2 2 2 5 2 4 3 3" xfId="16010"/>
    <cellStyle name="Vérification 2 2 2 5 2 4 3 4" xfId="32231"/>
    <cellStyle name="Vérification 2 2 2 5 2 4 4" xfId="19727"/>
    <cellStyle name="Vérification 2 2 2 5 2 4 4 2" xfId="33841"/>
    <cellStyle name="Vérification 2 2 2 5 2 4 5" xfId="12021"/>
    <cellStyle name="Vérification 2 2 2 5 2 4 6" xfId="28242"/>
    <cellStyle name="Vérification 2 2 2 5 2 5" xfId="3238"/>
    <cellStyle name="Vérification 2 2 2 5 2 5 2" xfId="8248"/>
    <cellStyle name="Vérification 2 2 2 5 2 5 2 2" xfId="24472"/>
    <cellStyle name="Vérification 2 2 2 5 2 5 2 2 2" xfId="36479"/>
    <cellStyle name="Vérification 2 2 2 5 2 5 2 3" xfId="14255"/>
    <cellStyle name="Vérification 2 2 2 5 2 5 2 4" xfId="30476"/>
    <cellStyle name="Vérification 2 2 2 5 2 5 3" xfId="19466"/>
    <cellStyle name="Vérification 2 2 2 5 2 5 3 2" xfId="33580"/>
    <cellStyle name="Vérification 2 2 2 5 2 5 4" xfId="11803"/>
    <cellStyle name="Vérification 2 2 2 5 2 5 5" xfId="28024"/>
    <cellStyle name="Vérification 2 2 2 5 2 6" xfId="7296"/>
    <cellStyle name="Vérification 2 2 2 5 2 6 2" xfId="23520"/>
    <cellStyle name="Vérification 2 2 2 5 2 6 2 2" xfId="35527"/>
    <cellStyle name="Vérification 2 2 2 5 2 6 3" xfId="13679"/>
    <cellStyle name="Vérification 2 2 2 5 2 6 4" xfId="29900"/>
    <cellStyle name="Vérification 2 2 2 5 2 7" xfId="17650"/>
    <cellStyle name="Vérification 2 2 2 5 2 7 2" xfId="32898"/>
    <cellStyle name="Vérification 2 2 2 5 2 8" xfId="10670"/>
    <cellStyle name="Vérification 2 2 2 5 2 9" xfId="26895"/>
    <cellStyle name="Vérification 2 2 2 5 3" xfId="2711"/>
    <cellStyle name="Vérification 2 2 2 5 3 2" xfId="6399"/>
    <cellStyle name="Vérification 2 2 2 5 3 2 2" xfId="8780"/>
    <cellStyle name="Vérification 2 2 2 5 3 2 2 2" xfId="25004"/>
    <cellStyle name="Vérification 2 2 2 5 3 2 2 2 2" xfId="37011"/>
    <cellStyle name="Vérification 2 2 2 5 3 2 2 3" xfId="14787"/>
    <cellStyle name="Vérification 2 2 2 5 3 2 2 4" xfId="31008"/>
    <cellStyle name="Vérification 2 2 2 5 3 2 3" xfId="10158"/>
    <cellStyle name="Vérification 2 2 2 5 3 2 3 2" xfId="26382"/>
    <cellStyle name="Vérification 2 2 2 5 3 2 3 2 2" xfId="38389"/>
    <cellStyle name="Vérification 2 2 2 5 3 2 3 3" xfId="16165"/>
    <cellStyle name="Vérification 2 2 2 5 3 2 3 4" xfId="32386"/>
    <cellStyle name="Vérification 2 2 2 5 3 2 4" xfId="22623"/>
    <cellStyle name="Vérification 2 2 2 5 3 2 4 2" xfId="34630"/>
    <cellStyle name="Vérification 2 2 2 5 3 2 5" xfId="12484"/>
    <cellStyle name="Vérification 2 2 2 5 3 2 6" xfId="28705"/>
    <cellStyle name="Vérification 2 2 2 5 3 3" xfId="7447"/>
    <cellStyle name="Vérification 2 2 2 5 3 3 2" xfId="9491"/>
    <cellStyle name="Vérification 2 2 2 5 3 3 2 2" xfId="25715"/>
    <cellStyle name="Vérification 2 2 2 5 3 3 2 2 2" xfId="37722"/>
    <cellStyle name="Vérification 2 2 2 5 3 3 2 3" xfId="15498"/>
    <cellStyle name="Vérification 2 2 2 5 3 3 2 4" xfId="31719"/>
    <cellStyle name="Vérification 2 2 2 5 3 3 3" xfId="23671"/>
    <cellStyle name="Vérification 2 2 2 5 3 3 3 2" xfId="35678"/>
    <cellStyle name="Vérification 2 2 2 5 3 3 4" xfId="13195"/>
    <cellStyle name="Vérification 2 2 2 5 3 3 5" xfId="29416"/>
    <cellStyle name="Vérification 2 2 2 5 3 4" xfId="7824"/>
    <cellStyle name="Vérification 2 2 2 5 3 4 2" xfId="24048"/>
    <cellStyle name="Vérification 2 2 2 5 3 4 2 2" xfId="36055"/>
    <cellStyle name="Vérification 2 2 2 5 3 4 3" xfId="13831"/>
    <cellStyle name="Vérification 2 2 2 5 3 4 4" xfId="30052"/>
    <cellStyle name="Vérification 2 2 2 5 3 5" xfId="18939"/>
    <cellStyle name="Vérification 2 2 2 5 3 5 2" xfId="33053"/>
    <cellStyle name="Vérification 2 2 2 5 3 6" xfId="11180"/>
    <cellStyle name="Vérification 2 2 2 5 3 7" xfId="27401"/>
    <cellStyle name="Vérification 2 2 2 5 4" xfId="4444"/>
    <cellStyle name="Vérification 2 2 2 5 4 2" xfId="6889"/>
    <cellStyle name="Vérification 2 2 2 5 4 2 2" xfId="9158"/>
    <cellStyle name="Vérification 2 2 2 5 4 2 2 2" xfId="25382"/>
    <cellStyle name="Vérification 2 2 2 5 4 2 2 2 2" xfId="37389"/>
    <cellStyle name="Vérification 2 2 2 5 4 2 2 3" xfId="15165"/>
    <cellStyle name="Vérification 2 2 2 5 4 2 2 4" xfId="31386"/>
    <cellStyle name="Vérification 2 2 2 5 4 2 3" xfId="23113"/>
    <cellStyle name="Vérification 2 2 2 5 4 2 3 2" xfId="35120"/>
    <cellStyle name="Vérification 2 2 2 5 4 2 4" xfId="12862"/>
    <cellStyle name="Vérification 2 2 2 5 4 2 5" xfId="29083"/>
    <cellStyle name="Vérification 2 2 2 5 4 3" xfId="2982"/>
    <cellStyle name="Vérification 2 2 2 5 4 3 2" xfId="19210"/>
    <cellStyle name="Vérification 2 2 2 5 4 3 2 2" xfId="33324"/>
    <cellStyle name="Vérification 2 2 2 5 4 3 3" xfId="13497"/>
    <cellStyle name="Vérification 2 2 2 5 4 3 4" xfId="29718"/>
    <cellStyle name="Vérification 2 2 2 5 4 4" xfId="20670"/>
    <cellStyle name="Vérification 2 2 2 5 4 4 2" xfId="34297"/>
    <cellStyle name="Vérification 2 2 2 5 4 5" xfId="10843"/>
    <cellStyle name="Vérification 2 2 2 5 4 6" xfId="27066"/>
    <cellStyle name="Vérification 2 2 2 5 5" xfId="3200"/>
    <cellStyle name="Vérification 2 2 2 5 5 2" xfId="8221"/>
    <cellStyle name="Vérification 2 2 2 5 5 2 2" xfId="24445"/>
    <cellStyle name="Vérification 2 2 2 5 5 2 2 2" xfId="36452"/>
    <cellStyle name="Vérification 2 2 2 5 5 2 3" xfId="14228"/>
    <cellStyle name="Vérification 2 2 2 5 5 2 4" xfId="30449"/>
    <cellStyle name="Vérification 2 2 2 5 5 3" xfId="9825"/>
    <cellStyle name="Vérification 2 2 2 5 5 3 2" xfId="26049"/>
    <cellStyle name="Vérification 2 2 2 5 5 3 2 2" xfId="38056"/>
    <cellStyle name="Vérification 2 2 2 5 5 3 3" xfId="15832"/>
    <cellStyle name="Vérification 2 2 2 5 5 3 4" xfId="32053"/>
    <cellStyle name="Vérification 2 2 2 5 5 4" xfId="19428"/>
    <cellStyle name="Vérification 2 2 2 5 5 4 2" xfId="33542"/>
    <cellStyle name="Vérification 2 2 2 5 5 5" xfId="11776"/>
    <cellStyle name="Vérification 2 2 2 5 5 6" xfId="27997"/>
    <cellStyle name="Vérification 2 2 2 5 6" xfId="3048"/>
    <cellStyle name="Vérification 2 2 2 5 6 2" xfId="8119"/>
    <cellStyle name="Vérification 2 2 2 5 6 2 2" xfId="24343"/>
    <cellStyle name="Vérification 2 2 2 5 6 2 2 2" xfId="36350"/>
    <cellStyle name="Vérification 2 2 2 5 6 2 3" xfId="14126"/>
    <cellStyle name="Vérification 2 2 2 5 6 2 4" xfId="30347"/>
    <cellStyle name="Vérification 2 2 2 5 6 3" xfId="19276"/>
    <cellStyle name="Vérification 2 2 2 5 6 3 2" xfId="33390"/>
    <cellStyle name="Vérification 2 2 2 5 6 4" xfId="11674"/>
    <cellStyle name="Vérification 2 2 2 5 6 5" xfId="27895"/>
    <cellStyle name="Vérification 2 2 2 5 7" xfId="2971"/>
    <cellStyle name="Vérification 2 2 2 5 7 2" xfId="19199"/>
    <cellStyle name="Vérification 2 2 2 5 7 2 2" xfId="33313"/>
    <cellStyle name="Vérification 2 2 2 5 7 3" xfId="11527"/>
    <cellStyle name="Vérification 2 2 2 5 7 4" xfId="27748"/>
    <cellStyle name="Vérification 2 2 2 5 8" xfId="16986"/>
    <cellStyle name="Vérification 2 2 2 5 8 2" xfId="32720"/>
    <cellStyle name="Vérification 2 2 2 5 9" xfId="10492"/>
    <cellStyle name="Vérification 2 2 2 6" xfId="1322"/>
    <cellStyle name="Vérification 2 2 2 6 2" xfId="2800"/>
    <cellStyle name="Vérification 2 2 2 6 2 2" xfId="6488"/>
    <cellStyle name="Vérification 2 2 2 6 2 2 2" xfId="8869"/>
    <cellStyle name="Vérification 2 2 2 6 2 2 2 2" xfId="25093"/>
    <cellStyle name="Vérification 2 2 2 6 2 2 2 2 2" xfId="37100"/>
    <cellStyle name="Vérification 2 2 2 6 2 2 2 3" xfId="14876"/>
    <cellStyle name="Vérification 2 2 2 6 2 2 2 4" xfId="31097"/>
    <cellStyle name="Vérification 2 2 2 6 2 2 3" xfId="10247"/>
    <cellStyle name="Vérification 2 2 2 6 2 2 3 2" xfId="26471"/>
    <cellStyle name="Vérification 2 2 2 6 2 2 3 2 2" xfId="38478"/>
    <cellStyle name="Vérification 2 2 2 6 2 2 3 3" xfId="16254"/>
    <cellStyle name="Vérification 2 2 2 6 2 2 3 4" xfId="32475"/>
    <cellStyle name="Vérification 2 2 2 6 2 2 4" xfId="22712"/>
    <cellStyle name="Vérification 2 2 2 6 2 2 4 2" xfId="34719"/>
    <cellStyle name="Vérification 2 2 2 6 2 2 5" xfId="12573"/>
    <cellStyle name="Vérification 2 2 2 6 2 2 6" xfId="28794"/>
    <cellStyle name="Vérification 2 2 2 6 2 3" xfId="7536"/>
    <cellStyle name="Vérification 2 2 2 6 2 3 2" xfId="9580"/>
    <cellStyle name="Vérification 2 2 2 6 2 3 2 2" xfId="25804"/>
    <cellStyle name="Vérification 2 2 2 6 2 3 2 2 2" xfId="37811"/>
    <cellStyle name="Vérification 2 2 2 6 2 3 2 3" xfId="15587"/>
    <cellStyle name="Vérification 2 2 2 6 2 3 2 4" xfId="31808"/>
    <cellStyle name="Vérification 2 2 2 6 2 3 3" xfId="23760"/>
    <cellStyle name="Vérification 2 2 2 6 2 3 3 2" xfId="35767"/>
    <cellStyle name="Vérification 2 2 2 6 2 3 4" xfId="13284"/>
    <cellStyle name="Vérification 2 2 2 6 2 3 5" xfId="29505"/>
    <cellStyle name="Vérification 2 2 2 6 2 4" xfId="7913"/>
    <cellStyle name="Vérification 2 2 2 6 2 4 2" xfId="24137"/>
    <cellStyle name="Vérification 2 2 2 6 2 4 2 2" xfId="36144"/>
    <cellStyle name="Vérification 2 2 2 6 2 4 3" xfId="13920"/>
    <cellStyle name="Vérification 2 2 2 6 2 4 4" xfId="30141"/>
    <cellStyle name="Vérification 2 2 2 6 2 5" xfId="19028"/>
    <cellStyle name="Vérification 2 2 2 6 2 5 2" xfId="33142"/>
    <cellStyle name="Vérification 2 2 2 6 2 6" xfId="11269"/>
    <cellStyle name="Vérification 2 2 2 6 2 7" xfId="27490"/>
    <cellStyle name="Vérification 2 2 2 6 3" xfId="5019"/>
    <cellStyle name="Vérification 2 2 2 6 3 2" xfId="7046"/>
    <cellStyle name="Vérification 2 2 2 6 3 2 2" xfId="9247"/>
    <cellStyle name="Vérification 2 2 2 6 3 2 2 2" xfId="25471"/>
    <cellStyle name="Vérification 2 2 2 6 3 2 2 2 2" xfId="37478"/>
    <cellStyle name="Vérification 2 2 2 6 3 2 2 3" xfId="15254"/>
    <cellStyle name="Vérification 2 2 2 6 3 2 2 4" xfId="31475"/>
    <cellStyle name="Vérification 2 2 2 6 3 2 3" xfId="23270"/>
    <cellStyle name="Vérification 2 2 2 6 3 2 3 2" xfId="35277"/>
    <cellStyle name="Vérification 2 2 2 6 3 2 4" xfId="12951"/>
    <cellStyle name="Vérification 2 2 2 6 3 2 5" xfId="29172"/>
    <cellStyle name="Vérification 2 2 2 6 3 3" xfId="3046"/>
    <cellStyle name="Vérification 2 2 2 6 3 3 2" xfId="19274"/>
    <cellStyle name="Vérification 2 2 2 6 3 3 2 2" xfId="33388"/>
    <cellStyle name="Vérification 2 2 2 6 3 3 3" xfId="11550"/>
    <cellStyle name="Vérification 2 2 2 6 3 3 4" xfId="27771"/>
    <cellStyle name="Vérification 2 2 2 6 3 4" xfId="21245"/>
    <cellStyle name="Vérification 2 2 2 6 3 4 2" xfId="34386"/>
    <cellStyle name="Vérification 2 2 2 6 3 5" xfId="10933"/>
    <cellStyle name="Vérification 2 2 2 6 3 6" xfId="27156"/>
    <cellStyle name="Vérification 2 2 2 6 4" xfId="3410"/>
    <cellStyle name="Vérification 2 2 2 6 4 2" xfId="8377"/>
    <cellStyle name="Vérification 2 2 2 6 4 2 2" xfId="24601"/>
    <cellStyle name="Vérification 2 2 2 6 4 2 2 2" xfId="36608"/>
    <cellStyle name="Vérification 2 2 2 6 4 2 3" xfId="14384"/>
    <cellStyle name="Vérification 2 2 2 6 4 2 4" xfId="30605"/>
    <cellStyle name="Vérification 2 2 2 6 4 3" xfId="9914"/>
    <cellStyle name="Vérification 2 2 2 6 4 3 2" xfId="26138"/>
    <cellStyle name="Vérification 2 2 2 6 4 3 2 2" xfId="38145"/>
    <cellStyle name="Vérification 2 2 2 6 4 3 3" xfId="15921"/>
    <cellStyle name="Vérification 2 2 2 6 4 3 4" xfId="32142"/>
    <cellStyle name="Vérification 2 2 2 6 4 4" xfId="19638"/>
    <cellStyle name="Vérification 2 2 2 6 4 4 2" xfId="33752"/>
    <cellStyle name="Vérification 2 2 2 6 4 5" xfId="11932"/>
    <cellStyle name="Vérification 2 2 2 6 4 6" xfId="28153"/>
    <cellStyle name="Vérification 2 2 2 6 5" xfId="3751"/>
    <cellStyle name="Vérification 2 2 2 6 5 2" xfId="8613"/>
    <cellStyle name="Vérification 2 2 2 6 5 2 2" xfId="24837"/>
    <cellStyle name="Vérification 2 2 2 6 5 2 2 2" xfId="36844"/>
    <cellStyle name="Vérification 2 2 2 6 5 2 3" xfId="14620"/>
    <cellStyle name="Vérification 2 2 2 6 5 2 4" xfId="30841"/>
    <cellStyle name="Vérification 2 2 2 6 5 3" xfId="19979"/>
    <cellStyle name="Vérification 2 2 2 6 5 3 2" xfId="34093"/>
    <cellStyle name="Vérification 2 2 2 6 5 4" xfId="12168"/>
    <cellStyle name="Vérification 2 2 2 6 5 5" xfId="28389"/>
    <cellStyle name="Vérification 2 2 2 6 6" xfId="3642"/>
    <cellStyle name="Vérification 2 2 2 6 6 2" xfId="19870"/>
    <cellStyle name="Vérification 2 2 2 6 6 2 2" xfId="33984"/>
    <cellStyle name="Vérification 2 2 2 6 6 3" xfId="11482"/>
    <cellStyle name="Vérification 2 2 2 6 6 4" xfId="27703"/>
    <cellStyle name="Vérification 2 2 2 6 7" xfId="17561"/>
    <cellStyle name="Vérification 2 2 2 6 7 2" xfId="32809"/>
    <cellStyle name="Vérification 2 2 2 6 8" xfId="10581"/>
    <cellStyle name="Vérification 2 2 2 6 9" xfId="26806"/>
    <cellStyle name="Vérification 2 2 2 7" xfId="2444"/>
    <cellStyle name="Vérification 2 2 2 7 2" xfId="2912"/>
    <cellStyle name="Vérification 2 2 2 7 2 2" xfId="6600"/>
    <cellStyle name="Vérification 2 2 2 7 2 2 2" xfId="8981"/>
    <cellStyle name="Vérification 2 2 2 7 2 2 2 2" xfId="25205"/>
    <cellStyle name="Vérification 2 2 2 7 2 2 2 2 2" xfId="37212"/>
    <cellStyle name="Vérification 2 2 2 7 2 2 2 3" xfId="14988"/>
    <cellStyle name="Vérification 2 2 2 7 2 2 2 4" xfId="31209"/>
    <cellStyle name="Vérification 2 2 2 7 2 2 3" xfId="10359"/>
    <cellStyle name="Vérification 2 2 2 7 2 2 3 2" xfId="26583"/>
    <cellStyle name="Vérification 2 2 2 7 2 2 3 2 2" xfId="38590"/>
    <cellStyle name="Vérification 2 2 2 7 2 2 3 3" xfId="16366"/>
    <cellStyle name="Vérification 2 2 2 7 2 2 3 4" xfId="32587"/>
    <cellStyle name="Vérification 2 2 2 7 2 2 4" xfId="22824"/>
    <cellStyle name="Vérification 2 2 2 7 2 2 4 2" xfId="34831"/>
    <cellStyle name="Vérification 2 2 2 7 2 2 5" xfId="12685"/>
    <cellStyle name="Vérification 2 2 2 7 2 2 6" xfId="28906"/>
    <cellStyle name="Vérification 2 2 2 7 2 3" xfId="7648"/>
    <cellStyle name="Vérification 2 2 2 7 2 3 2" xfId="9692"/>
    <cellStyle name="Vérification 2 2 2 7 2 3 2 2" xfId="25916"/>
    <cellStyle name="Vérification 2 2 2 7 2 3 2 2 2" xfId="37923"/>
    <cellStyle name="Vérification 2 2 2 7 2 3 2 3" xfId="15699"/>
    <cellStyle name="Vérification 2 2 2 7 2 3 2 4" xfId="31920"/>
    <cellStyle name="Vérification 2 2 2 7 2 3 3" xfId="23872"/>
    <cellStyle name="Vérification 2 2 2 7 2 3 3 2" xfId="35879"/>
    <cellStyle name="Vérification 2 2 2 7 2 3 4" xfId="13396"/>
    <cellStyle name="Vérification 2 2 2 7 2 3 5" xfId="29617"/>
    <cellStyle name="Vérification 2 2 2 7 2 4" xfId="8025"/>
    <cellStyle name="Vérification 2 2 2 7 2 4 2" xfId="24249"/>
    <cellStyle name="Vérification 2 2 2 7 2 4 2 2" xfId="36256"/>
    <cellStyle name="Vérification 2 2 2 7 2 4 3" xfId="14032"/>
    <cellStyle name="Vérification 2 2 2 7 2 4 4" xfId="30253"/>
    <cellStyle name="Vérification 2 2 2 7 2 5" xfId="19140"/>
    <cellStyle name="Vérification 2 2 2 7 2 5 2" xfId="33254"/>
    <cellStyle name="Vérification 2 2 2 7 2 6" xfId="11381"/>
    <cellStyle name="Vérification 2 2 2 7 2 7" xfId="27602"/>
    <cellStyle name="Vérification 2 2 2 7 3" xfId="6135"/>
    <cellStyle name="Vérification 2 2 2 7 3 2" xfId="7300"/>
    <cellStyle name="Vérification 2 2 2 7 3 2 2" xfId="9359"/>
    <cellStyle name="Vérification 2 2 2 7 3 2 2 2" xfId="25583"/>
    <cellStyle name="Vérification 2 2 2 7 3 2 2 2 2" xfId="37590"/>
    <cellStyle name="Vérification 2 2 2 7 3 2 2 3" xfId="15366"/>
    <cellStyle name="Vérification 2 2 2 7 3 2 2 4" xfId="31587"/>
    <cellStyle name="Vérification 2 2 2 7 3 2 3" xfId="23524"/>
    <cellStyle name="Vérification 2 2 2 7 3 2 3 2" xfId="35531"/>
    <cellStyle name="Vérification 2 2 2 7 3 2 4" xfId="13063"/>
    <cellStyle name="Vérification 2 2 2 7 3 2 5" xfId="29284"/>
    <cellStyle name="Vérification 2 2 2 7 3 3" xfId="7692"/>
    <cellStyle name="Vérification 2 2 2 7 3 3 2" xfId="23916"/>
    <cellStyle name="Vérification 2 2 2 7 3 3 2 2" xfId="35923"/>
    <cellStyle name="Vérification 2 2 2 7 3 3 3" xfId="13699"/>
    <cellStyle name="Vérification 2 2 2 7 3 3 4" xfId="29920"/>
    <cellStyle name="Vérification 2 2 2 7 3 4" xfId="22359"/>
    <cellStyle name="Vérification 2 2 2 7 3 4 2" xfId="34498"/>
    <cellStyle name="Vérification 2 2 2 7 3 5" xfId="11047"/>
    <cellStyle name="Vérification 2 2 2 7 3 6" xfId="27268"/>
    <cellStyle name="Vérification 2 2 2 7 4" xfId="3788"/>
    <cellStyle name="Vérification 2 2 2 7 4 2" xfId="8631"/>
    <cellStyle name="Vérification 2 2 2 7 4 2 2" xfId="24855"/>
    <cellStyle name="Vérification 2 2 2 7 4 2 2 2" xfId="36862"/>
    <cellStyle name="Vérification 2 2 2 7 4 2 3" xfId="14638"/>
    <cellStyle name="Vérification 2 2 2 7 4 2 4" xfId="30859"/>
    <cellStyle name="Vérification 2 2 2 7 4 3" xfId="10026"/>
    <cellStyle name="Vérification 2 2 2 7 4 3 2" xfId="26250"/>
    <cellStyle name="Vérification 2 2 2 7 4 3 2 2" xfId="38257"/>
    <cellStyle name="Vérification 2 2 2 7 4 3 3" xfId="16033"/>
    <cellStyle name="Vérification 2 2 2 7 4 3 4" xfId="32254"/>
    <cellStyle name="Vérification 2 2 2 7 4 4" xfId="20016"/>
    <cellStyle name="Vérification 2 2 2 7 4 4 2" xfId="34130"/>
    <cellStyle name="Vérification 2 2 2 7 4 5" xfId="12186"/>
    <cellStyle name="Vérification 2 2 2 7 4 6" xfId="28407"/>
    <cellStyle name="Vérification 2 2 2 7 5" xfId="6664"/>
    <cellStyle name="Vérification 2 2 2 7 5 2" xfId="9025"/>
    <cellStyle name="Vérification 2 2 2 7 5 2 2" xfId="25249"/>
    <cellStyle name="Vérification 2 2 2 7 5 2 2 2" xfId="37256"/>
    <cellStyle name="Vérification 2 2 2 7 5 2 3" xfId="15032"/>
    <cellStyle name="Vérification 2 2 2 7 5 2 4" xfId="31253"/>
    <cellStyle name="Vérification 2 2 2 7 5 3" xfId="22888"/>
    <cellStyle name="Vérification 2 2 2 7 5 3 2" xfId="34895"/>
    <cellStyle name="Vérification 2 2 2 7 5 4" xfId="12729"/>
    <cellStyle name="Vérification 2 2 2 7 5 5" xfId="28950"/>
    <cellStyle name="Vérification 2 2 2 7 6" xfId="3174"/>
    <cellStyle name="Vérification 2 2 2 7 6 2" xfId="19402"/>
    <cellStyle name="Vérification 2 2 2 7 6 2 2" xfId="33516"/>
    <cellStyle name="Vérification 2 2 2 7 6 3" xfId="11514"/>
    <cellStyle name="Vérification 2 2 2 7 6 4" xfId="27735"/>
    <cellStyle name="Vérification 2 2 2 7 7" xfId="18675"/>
    <cellStyle name="Vérification 2 2 2 7 7 2" xfId="32921"/>
    <cellStyle name="Vérification 2 2 2 7 8" xfId="10695"/>
    <cellStyle name="Vérification 2 2 2 7 9" xfId="26918"/>
    <cellStyle name="Vérification 2 2 2 8" xfId="2600"/>
    <cellStyle name="Vérification 2 2 2 8 2" xfId="2933"/>
    <cellStyle name="Vérification 2 2 2 8 2 2" xfId="6621"/>
    <cellStyle name="Vérification 2 2 2 8 2 2 2" xfId="9002"/>
    <cellStyle name="Vérification 2 2 2 8 2 2 2 2" xfId="25226"/>
    <cellStyle name="Vérification 2 2 2 8 2 2 2 2 2" xfId="37233"/>
    <cellStyle name="Vérification 2 2 2 8 2 2 2 3" xfId="15009"/>
    <cellStyle name="Vérification 2 2 2 8 2 2 2 4" xfId="31230"/>
    <cellStyle name="Vérification 2 2 2 8 2 2 3" xfId="10380"/>
    <cellStyle name="Vérification 2 2 2 8 2 2 3 2" xfId="26604"/>
    <cellStyle name="Vérification 2 2 2 8 2 2 3 2 2" xfId="38611"/>
    <cellStyle name="Vérification 2 2 2 8 2 2 3 3" xfId="16387"/>
    <cellStyle name="Vérification 2 2 2 8 2 2 3 4" xfId="32608"/>
    <cellStyle name="Vérification 2 2 2 8 2 2 4" xfId="22845"/>
    <cellStyle name="Vérification 2 2 2 8 2 2 4 2" xfId="34852"/>
    <cellStyle name="Vérification 2 2 2 8 2 2 5" xfId="12706"/>
    <cellStyle name="Vérification 2 2 2 8 2 2 6" xfId="28927"/>
    <cellStyle name="Vérification 2 2 2 8 2 3" xfId="7669"/>
    <cellStyle name="Vérification 2 2 2 8 2 3 2" xfId="9713"/>
    <cellStyle name="Vérification 2 2 2 8 2 3 2 2" xfId="25937"/>
    <cellStyle name="Vérification 2 2 2 8 2 3 2 2 2" xfId="37944"/>
    <cellStyle name="Vérification 2 2 2 8 2 3 2 3" xfId="15720"/>
    <cellStyle name="Vérification 2 2 2 8 2 3 2 4" xfId="31941"/>
    <cellStyle name="Vérification 2 2 2 8 2 3 3" xfId="23893"/>
    <cellStyle name="Vérification 2 2 2 8 2 3 3 2" xfId="35900"/>
    <cellStyle name="Vérification 2 2 2 8 2 3 4" xfId="13417"/>
    <cellStyle name="Vérification 2 2 2 8 2 3 5" xfId="29638"/>
    <cellStyle name="Vérification 2 2 2 8 2 4" xfId="8046"/>
    <cellStyle name="Vérification 2 2 2 8 2 4 2" xfId="24270"/>
    <cellStyle name="Vérification 2 2 2 8 2 4 2 2" xfId="36277"/>
    <cellStyle name="Vérification 2 2 2 8 2 4 3" xfId="14053"/>
    <cellStyle name="Vérification 2 2 2 8 2 4 4" xfId="30274"/>
    <cellStyle name="Vérification 2 2 2 8 2 5" xfId="19161"/>
    <cellStyle name="Vérification 2 2 2 8 2 5 2" xfId="33275"/>
    <cellStyle name="Vérification 2 2 2 8 2 6" xfId="11402"/>
    <cellStyle name="Vérification 2 2 2 8 2 7" xfId="27623"/>
    <cellStyle name="Vérification 2 2 2 8 3" xfId="6288"/>
    <cellStyle name="Vérification 2 2 2 8 3 2" xfId="7336"/>
    <cellStyle name="Vérification 2 2 2 8 3 2 2" xfId="9380"/>
    <cellStyle name="Vérification 2 2 2 8 3 2 2 2" xfId="25604"/>
    <cellStyle name="Vérification 2 2 2 8 3 2 2 2 2" xfId="37611"/>
    <cellStyle name="Vérification 2 2 2 8 3 2 2 3" xfId="15387"/>
    <cellStyle name="Vérification 2 2 2 8 3 2 2 4" xfId="31608"/>
    <cellStyle name="Vérification 2 2 2 8 3 2 3" xfId="23560"/>
    <cellStyle name="Vérification 2 2 2 8 3 2 3 2" xfId="35567"/>
    <cellStyle name="Vérification 2 2 2 8 3 2 4" xfId="13084"/>
    <cellStyle name="Vérification 2 2 2 8 3 2 5" xfId="29305"/>
    <cellStyle name="Vérification 2 2 2 8 3 3" xfId="7713"/>
    <cellStyle name="Vérification 2 2 2 8 3 3 2" xfId="23937"/>
    <cellStyle name="Vérification 2 2 2 8 3 3 2 2" xfId="35944"/>
    <cellStyle name="Vérification 2 2 2 8 3 3 3" xfId="13720"/>
    <cellStyle name="Vérification 2 2 2 8 3 3 4" xfId="29941"/>
    <cellStyle name="Vérification 2 2 2 8 3 4" xfId="22512"/>
    <cellStyle name="Vérification 2 2 2 8 3 4 2" xfId="34519"/>
    <cellStyle name="Vérification 2 2 2 8 3 5" xfId="11069"/>
    <cellStyle name="Vérification 2 2 2 8 3 6" xfId="27290"/>
    <cellStyle name="Vérification 2 2 2 8 4" xfId="3843"/>
    <cellStyle name="Vérification 2 2 2 8 4 2" xfId="8669"/>
    <cellStyle name="Vérification 2 2 2 8 4 2 2" xfId="24893"/>
    <cellStyle name="Vérification 2 2 2 8 4 2 2 2" xfId="36900"/>
    <cellStyle name="Vérification 2 2 2 8 4 2 3" xfId="14676"/>
    <cellStyle name="Vérification 2 2 2 8 4 2 4" xfId="30897"/>
    <cellStyle name="Vérification 2 2 2 8 4 3" xfId="10047"/>
    <cellStyle name="Vérification 2 2 2 8 4 3 2" xfId="26271"/>
    <cellStyle name="Vérification 2 2 2 8 4 3 2 2" xfId="38278"/>
    <cellStyle name="Vérification 2 2 2 8 4 3 3" xfId="16054"/>
    <cellStyle name="Vérification 2 2 2 8 4 3 4" xfId="32275"/>
    <cellStyle name="Vérification 2 2 2 8 4 4" xfId="20071"/>
    <cellStyle name="Vérification 2 2 2 8 4 4 2" xfId="34185"/>
    <cellStyle name="Vérification 2 2 2 8 4 5" xfId="12224"/>
    <cellStyle name="Vérification 2 2 2 8 4 6" xfId="28445"/>
    <cellStyle name="Vérification 2 2 2 8 5" xfId="6700"/>
    <cellStyle name="Vérification 2 2 2 8 5 2" xfId="9046"/>
    <cellStyle name="Vérification 2 2 2 8 5 2 2" xfId="25270"/>
    <cellStyle name="Vérification 2 2 2 8 5 2 2 2" xfId="37277"/>
    <cellStyle name="Vérification 2 2 2 8 5 2 3" xfId="15053"/>
    <cellStyle name="Vérification 2 2 2 8 5 2 4" xfId="31274"/>
    <cellStyle name="Vérification 2 2 2 8 5 3" xfId="22924"/>
    <cellStyle name="Vérification 2 2 2 8 5 3 2" xfId="34931"/>
    <cellStyle name="Vérification 2 2 2 8 5 4" xfId="12750"/>
    <cellStyle name="Vérification 2 2 2 8 5 5" xfId="28971"/>
    <cellStyle name="Vérification 2 2 2 8 6" xfId="6949"/>
    <cellStyle name="Vérification 2 2 2 8 6 2" xfId="23173"/>
    <cellStyle name="Vérification 2 2 2 8 6 2 2" xfId="35180"/>
    <cellStyle name="Vérification 2 2 2 8 6 3" xfId="12270"/>
    <cellStyle name="Vérification 2 2 2 8 6 4" xfId="28491"/>
    <cellStyle name="Vérification 2 2 2 8 7" xfId="18828"/>
    <cellStyle name="Vérification 2 2 2 8 7 2" xfId="32942"/>
    <cellStyle name="Vérification 2 2 2 8 8" xfId="10716"/>
    <cellStyle name="Vérification 2 2 2 8 9" xfId="26939"/>
    <cellStyle name="Vérification 2 2 2 9" xfId="2622"/>
    <cellStyle name="Vérification 2 2 2 9 2" xfId="6310"/>
    <cellStyle name="Vérification 2 2 2 9 2 2" xfId="8691"/>
    <cellStyle name="Vérification 2 2 2 9 2 2 2" xfId="24915"/>
    <cellStyle name="Vérification 2 2 2 9 2 2 2 2" xfId="36922"/>
    <cellStyle name="Vérification 2 2 2 9 2 2 3" xfId="14698"/>
    <cellStyle name="Vérification 2 2 2 9 2 2 4" xfId="30919"/>
    <cellStyle name="Vérification 2 2 2 9 2 3" xfId="10069"/>
    <cellStyle name="Vérification 2 2 2 9 2 3 2" xfId="26293"/>
    <cellStyle name="Vérification 2 2 2 9 2 3 2 2" xfId="38300"/>
    <cellStyle name="Vérification 2 2 2 9 2 3 3" xfId="16076"/>
    <cellStyle name="Vérification 2 2 2 9 2 3 4" xfId="32297"/>
    <cellStyle name="Vérification 2 2 2 9 2 4" xfId="22534"/>
    <cellStyle name="Vérification 2 2 2 9 2 4 2" xfId="34541"/>
    <cellStyle name="Vérification 2 2 2 9 2 5" xfId="12395"/>
    <cellStyle name="Vérification 2 2 2 9 2 6" xfId="28616"/>
    <cellStyle name="Vérification 2 2 2 9 3" xfId="7358"/>
    <cellStyle name="Vérification 2 2 2 9 3 2" xfId="9402"/>
    <cellStyle name="Vérification 2 2 2 9 3 2 2" xfId="25626"/>
    <cellStyle name="Vérification 2 2 2 9 3 2 2 2" xfId="37633"/>
    <cellStyle name="Vérification 2 2 2 9 3 2 3" xfId="15409"/>
    <cellStyle name="Vérification 2 2 2 9 3 2 4" xfId="31630"/>
    <cellStyle name="Vérification 2 2 2 9 3 3" xfId="23582"/>
    <cellStyle name="Vérification 2 2 2 9 3 3 2" xfId="35589"/>
    <cellStyle name="Vérification 2 2 2 9 3 4" xfId="13106"/>
    <cellStyle name="Vérification 2 2 2 9 3 5" xfId="29327"/>
    <cellStyle name="Vérification 2 2 2 9 4" xfId="7735"/>
    <cellStyle name="Vérification 2 2 2 9 4 2" xfId="23959"/>
    <cellStyle name="Vérification 2 2 2 9 4 2 2" xfId="35966"/>
    <cellStyle name="Vérification 2 2 2 9 4 3" xfId="13742"/>
    <cellStyle name="Vérification 2 2 2 9 4 4" xfId="29963"/>
    <cellStyle name="Vérification 2 2 2 9 5" xfId="18850"/>
    <cellStyle name="Vérification 2 2 2 9 5 2" xfId="32964"/>
    <cellStyle name="Vérification 2 2 2 9 6" xfId="11091"/>
    <cellStyle name="Vérification 2 2 2 9 7" xfId="27312"/>
    <cellStyle name="Vérification 2 2 20" xfId="2978"/>
    <cellStyle name="Vérification 2 2 20 2" xfId="8073"/>
    <cellStyle name="Vérification 2 2 20 2 2" xfId="24297"/>
    <cellStyle name="Vérification 2 2 20 2 2 2" xfId="36304"/>
    <cellStyle name="Vérification 2 2 20 2 3" xfId="14080"/>
    <cellStyle name="Vérification 2 2 20 2 4" xfId="30301"/>
    <cellStyle name="Vérification 2 2 20 3" xfId="9734"/>
    <cellStyle name="Vérification 2 2 20 3 2" xfId="25958"/>
    <cellStyle name="Vérification 2 2 20 3 2 2" xfId="37965"/>
    <cellStyle name="Vérification 2 2 20 3 3" xfId="15741"/>
    <cellStyle name="Vérification 2 2 20 3 4" xfId="31962"/>
    <cellStyle name="Vérification 2 2 20 4" xfId="19206"/>
    <cellStyle name="Vérification 2 2 20 4 2" xfId="33320"/>
    <cellStyle name="Vérification 2 2 20 5" xfId="11628"/>
    <cellStyle name="Vérification 2 2 20 6" xfId="27849"/>
    <cellStyle name="Vérification 2 2 21" xfId="3691"/>
    <cellStyle name="Vérification 2 2 21 2" xfId="8580"/>
    <cellStyle name="Vérification 2 2 21 2 2" xfId="24804"/>
    <cellStyle name="Vérification 2 2 21 2 2 2" xfId="36811"/>
    <cellStyle name="Vérification 2 2 21 2 3" xfId="14587"/>
    <cellStyle name="Vérification 2 2 21 2 4" xfId="30808"/>
    <cellStyle name="Vérification 2 2 21 3" xfId="19919"/>
    <cellStyle name="Vérification 2 2 21 3 2" xfId="34033"/>
    <cellStyle name="Vérification 2 2 21 4" xfId="12135"/>
    <cellStyle name="Vérification 2 2 21 5" xfId="28356"/>
    <cellStyle name="Vérification 2 2 22" xfId="3173"/>
    <cellStyle name="Vérification 2 2 22 2" xfId="19401"/>
    <cellStyle name="Vérification 2 2 22 2 2" xfId="33515"/>
    <cellStyle name="Vérification 2 2 22 3" xfId="13512"/>
    <cellStyle name="Vérification 2 2 22 4" xfId="29733"/>
    <cellStyle name="Vérification 2 2 23" xfId="16421"/>
    <cellStyle name="Vérification 2 2 23 2" xfId="32629"/>
    <cellStyle name="Vérification 2 2 24" xfId="10401"/>
    <cellStyle name="Vérification 2 2 25" xfId="26626"/>
    <cellStyle name="Vérification 2 2 3" xfId="155"/>
    <cellStyle name="Vérification 2 2 3 10" xfId="3912"/>
    <cellStyle name="Vérification 2 2 3 10 2" xfId="6734"/>
    <cellStyle name="Vérification 2 2 3 10 2 2" xfId="9071"/>
    <cellStyle name="Vérification 2 2 3 10 2 2 2" xfId="25295"/>
    <cellStyle name="Vérification 2 2 3 10 2 2 2 2" xfId="37302"/>
    <cellStyle name="Vérification 2 2 3 10 2 2 3" xfId="15078"/>
    <cellStyle name="Vérification 2 2 3 10 2 2 4" xfId="31299"/>
    <cellStyle name="Vérification 2 2 3 10 2 3" xfId="22958"/>
    <cellStyle name="Vérification 2 2 3 10 2 3 2" xfId="34965"/>
    <cellStyle name="Vérification 2 2 3 10 2 4" xfId="12775"/>
    <cellStyle name="Vérification 2 2 3 10 2 5" xfId="28996"/>
    <cellStyle name="Vérification 2 2 3 10 3" xfId="7291"/>
    <cellStyle name="Vérification 2 2 3 10 3 2" xfId="23515"/>
    <cellStyle name="Vérification 2 2 3 10 3 2 2" xfId="35522"/>
    <cellStyle name="Vérification 2 2 3 10 3 3" xfId="13675"/>
    <cellStyle name="Vérification 2 2 3 10 3 4" xfId="29896"/>
    <cellStyle name="Vérification 2 2 3 10 4" xfId="20139"/>
    <cellStyle name="Vérification 2 2 3 10 4 2" xfId="34210"/>
    <cellStyle name="Vérification 2 2 3 10 5" xfId="10748"/>
    <cellStyle name="Vérification 2 2 3 10 6" xfId="26971"/>
    <cellStyle name="Vérification 2 2 3 11" xfId="2990"/>
    <cellStyle name="Vérification 2 2 3 11 2" xfId="8081"/>
    <cellStyle name="Vérification 2 2 3 11 2 2" xfId="24305"/>
    <cellStyle name="Vérification 2 2 3 11 2 2 2" xfId="36312"/>
    <cellStyle name="Vérification 2 2 3 11 2 3" xfId="14088"/>
    <cellStyle name="Vérification 2 2 3 11 2 4" xfId="30309"/>
    <cellStyle name="Vérification 2 2 3 11 3" xfId="9738"/>
    <cellStyle name="Vérification 2 2 3 11 3 2" xfId="25962"/>
    <cellStyle name="Vérification 2 2 3 11 3 2 2" xfId="37969"/>
    <cellStyle name="Vérification 2 2 3 11 3 3" xfId="15745"/>
    <cellStyle name="Vérification 2 2 3 11 3 4" xfId="31966"/>
    <cellStyle name="Vérification 2 2 3 11 4" xfId="19218"/>
    <cellStyle name="Vérification 2 2 3 11 4 2" xfId="33332"/>
    <cellStyle name="Vérification 2 2 3 11 5" xfId="11636"/>
    <cellStyle name="Vérification 2 2 3 11 6" xfId="27857"/>
    <cellStyle name="Vérification 2 2 3 12" xfId="3759"/>
    <cellStyle name="Vérification 2 2 3 12 2" xfId="8616"/>
    <cellStyle name="Vérification 2 2 3 12 2 2" xfId="24840"/>
    <cellStyle name="Vérification 2 2 3 12 2 2 2" xfId="36847"/>
    <cellStyle name="Vérification 2 2 3 12 2 3" xfId="14623"/>
    <cellStyle name="Vérification 2 2 3 12 2 4" xfId="30844"/>
    <cellStyle name="Vérification 2 2 3 12 3" xfId="19987"/>
    <cellStyle name="Vérification 2 2 3 12 3 2" xfId="34101"/>
    <cellStyle name="Vérification 2 2 3 12 4" xfId="12171"/>
    <cellStyle name="Vérification 2 2 3 12 5" xfId="28392"/>
    <cellStyle name="Vérification 2 2 3 13" xfId="7006"/>
    <cellStyle name="Vérification 2 2 3 13 2" xfId="23230"/>
    <cellStyle name="Vérification 2 2 3 13 2 2" xfId="35237"/>
    <cellStyle name="Vérification 2 2 3 13 3" xfId="12361"/>
    <cellStyle name="Vérification 2 2 3 13 4" xfId="28582"/>
    <cellStyle name="Vérification 2 2 3 14" xfId="16455"/>
    <cellStyle name="Vérification 2 2 3 14 2" xfId="32633"/>
    <cellStyle name="Vérification 2 2 3 15" xfId="10405"/>
    <cellStyle name="Vérification 2 2 3 16" xfId="26630"/>
    <cellStyle name="Vérification 2 2 3 2" xfId="361"/>
    <cellStyle name="Vérification 2 2 3 2 10" xfId="10428"/>
    <cellStyle name="Vérification 2 2 3 2 11" xfId="26653"/>
    <cellStyle name="Vérification 2 2 3 2 2" xfId="1347"/>
    <cellStyle name="Vérification 2 2 3 2 2 2" xfId="2825"/>
    <cellStyle name="Vérification 2 2 3 2 2 2 2" xfId="6513"/>
    <cellStyle name="Vérification 2 2 3 2 2 2 2 2" xfId="8894"/>
    <cellStyle name="Vérification 2 2 3 2 2 2 2 2 2" xfId="25118"/>
    <cellStyle name="Vérification 2 2 3 2 2 2 2 2 2 2" xfId="37125"/>
    <cellStyle name="Vérification 2 2 3 2 2 2 2 2 3" xfId="14901"/>
    <cellStyle name="Vérification 2 2 3 2 2 2 2 2 4" xfId="31122"/>
    <cellStyle name="Vérification 2 2 3 2 2 2 2 3" xfId="10272"/>
    <cellStyle name="Vérification 2 2 3 2 2 2 2 3 2" xfId="26496"/>
    <cellStyle name="Vérification 2 2 3 2 2 2 2 3 2 2" xfId="38503"/>
    <cellStyle name="Vérification 2 2 3 2 2 2 2 3 3" xfId="16279"/>
    <cellStyle name="Vérification 2 2 3 2 2 2 2 3 4" xfId="32500"/>
    <cellStyle name="Vérification 2 2 3 2 2 2 2 4" xfId="22737"/>
    <cellStyle name="Vérification 2 2 3 2 2 2 2 4 2" xfId="34744"/>
    <cellStyle name="Vérification 2 2 3 2 2 2 2 5" xfId="12598"/>
    <cellStyle name="Vérification 2 2 3 2 2 2 2 6" xfId="28819"/>
    <cellStyle name="Vérification 2 2 3 2 2 2 3" xfId="7561"/>
    <cellStyle name="Vérification 2 2 3 2 2 2 3 2" xfId="9605"/>
    <cellStyle name="Vérification 2 2 3 2 2 2 3 2 2" xfId="25829"/>
    <cellStyle name="Vérification 2 2 3 2 2 2 3 2 2 2" xfId="37836"/>
    <cellStyle name="Vérification 2 2 3 2 2 2 3 2 3" xfId="15612"/>
    <cellStyle name="Vérification 2 2 3 2 2 2 3 2 4" xfId="31833"/>
    <cellStyle name="Vérification 2 2 3 2 2 2 3 3" xfId="23785"/>
    <cellStyle name="Vérification 2 2 3 2 2 2 3 3 2" xfId="35792"/>
    <cellStyle name="Vérification 2 2 3 2 2 2 3 4" xfId="13309"/>
    <cellStyle name="Vérification 2 2 3 2 2 2 3 5" xfId="29530"/>
    <cellStyle name="Vérification 2 2 3 2 2 2 4" xfId="7938"/>
    <cellStyle name="Vérification 2 2 3 2 2 2 4 2" xfId="24162"/>
    <cellStyle name="Vérification 2 2 3 2 2 2 4 2 2" xfId="36169"/>
    <cellStyle name="Vérification 2 2 3 2 2 2 4 3" xfId="13945"/>
    <cellStyle name="Vérification 2 2 3 2 2 2 4 4" xfId="30166"/>
    <cellStyle name="Vérification 2 2 3 2 2 2 5" xfId="19053"/>
    <cellStyle name="Vérification 2 2 3 2 2 2 5 2" xfId="33167"/>
    <cellStyle name="Vérification 2 2 3 2 2 2 6" xfId="11294"/>
    <cellStyle name="Vérification 2 2 3 2 2 2 7" xfId="27515"/>
    <cellStyle name="Vérification 2 2 3 2 2 3" xfId="5044"/>
    <cellStyle name="Vérification 2 2 3 2 2 3 2" xfId="7071"/>
    <cellStyle name="Vérification 2 2 3 2 2 3 2 2" xfId="9272"/>
    <cellStyle name="Vérification 2 2 3 2 2 3 2 2 2" xfId="25496"/>
    <cellStyle name="Vérification 2 2 3 2 2 3 2 2 2 2" xfId="37503"/>
    <cellStyle name="Vérification 2 2 3 2 2 3 2 2 3" xfId="15279"/>
    <cellStyle name="Vérification 2 2 3 2 2 3 2 2 4" xfId="31500"/>
    <cellStyle name="Vérification 2 2 3 2 2 3 2 3" xfId="23295"/>
    <cellStyle name="Vérification 2 2 3 2 2 3 2 3 2" xfId="35302"/>
    <cellStyle name="Vérification 2 2 3 2 2 3 2 4" xfId="12976"/>
    <cellStyle name="Vérification 2 2 3 2 2 3 2 5" xfId="29197"/>
    <cellStyle name="Vérification 2 2 3 2 2 3 3" xfId="7260"/>
    <cellStyle name="Vérification 2 2 3 2 2 3 3 2" xfId="23484"/>
    <cellStyle name="Vérification 2 2 3 2 2 3 3 2 2" xfId="35491"/>
    <cellStyle name="Vérification 2 2 3 2 2 3 3 3" xfId="13644"/>
    <cellStyle name="Vérification 2 2 3 2 2 3 3 4" xfId="29865"/>
    <cellStyle name="Vérification 2 2 3 2 2 3 4" xfId="21270"/>
    <cellStyle name="Vérification 2 2 3 2 2 3 4 2" xfId="34411"/>
    <cellStyle name="Vérification 2 2 3 2 2 3 5" xfId="10958"/>
    <cellStyle name="Vérification 2 2 3 2 2 3 6" xfId="27181"/>
    <cellStyle name="Vérification 2 2 3 2 2 4" xfId="3435"/>
    <cellStyle name="Vérification 2 2 3 2 2 4 2" xfId="8402"/>
    <cellStyle name="Vérification 2 2 3 2 2 4 2 2" xfId="24626"/>
    <cellStyle name="Vérification 2 2 3 2 2 4 2 2 2" xfId="36633"/>
    <cellStyle name="Vérification 2 2 3 2 2 4 2 3" xfId="14409"/>
    <cellStyle name="Vérification 2 2 3 2 2 4 2 4" xfId="30630"/>
    <cellStyle name="Vérification 2 2 3 2 2 4 3" xfId="9939"/>
    <cellStyle name="Vérification 2 2 3 2 2 4 3 2" xfId="26163"/>
    <cellStyle name="Vérification 2 2 3 2 2 4 3 2 2" xfId="38170"/>
    <cellStyle name="Vérification 2 2 3 2 2 4 3 3" xfId="15946"/>
    <cellStyle name="Vérification 2 2 3 2 2 4 3 4" xfId="32167"/>
    <cellStyle name="Vérification 2 2 3 2 2 4 4" xfId="19663"/>
    <cellStyle name="Vérification 2 2 3 2 2 4 4 2" xfId="33777"/>
    <cellStyle name="Vérification 2 2 3 2 2 4 5" xfId="11957"/>
    <cellStyle name="Vérification 2 2 3 2 2 4 6" xfId="28178"/>
    <cellStyle name="Vérification 2 2 3 2 2 5" xfId="3605"/>
    <cellStyle name="Vérification 2 2 3 2 2 5 2" xfId="8535"/>
    <cellStyle name="Vérification 2 2 3 2 2 5 2 2" xfId="24759"/>
    <cellStyle name="Vérification 2 2 3 2 2 5 2 2 2" xfId="36766"/>
    <cellStyle name="Vérification 2 2 3 2 2 5 2 3" xfId="14542"/>
    <cellStyle name="Vérification 2 2 3 2 2 5 2 4" xfId="30763"/>
    <cellStyle name="Vérification 2 2 3 2 2 5 3" xfId="19833"/>
    <cellStyle name="Vérification 2 2 3 2 2 5 3 2" xfId="33947"/>
    <cellStyle name="Vérification 2 2 3 2 2 5 4" xfId="12090"/>
    <cellStyle name="Vérification 2 2 3 2 2 5 5" xfId="28311"/>
    <cellStyle name="Vérification 2 2 3 2 2 6" xfId="3583"/>
    <cellStyle name="Vérification 2 2 3 2 2 6 2" xfId="19811"/>
    <cellStyle name="Vérification 2 2 3 2 2 6 2 2" xfId="33925"/>
    <cellStyle name="Vérification 2 2 3 2 2 6 3" xfId="12248"/>
    <cellStyle name="Vérification 2 2 3 2 2 6 4" xfId="28469"/>
    <cellStyle name="Vérification 2 2 3 2 2 7" xfId="17586"/>
    <cellStyle name="Vérification 2 2 3 2 2 7 2" xfId="32834"/>
    <cellStyle name="Vérification 2 2 3 2 2 8" xfId="10606"/>
    <cellStyle name="Vérification 2 2 3 2 2 9" xfId="26831"/>
    <cellStyle name="Vérification 2 2 3 2 3" xfId="976"/>
    <cellStyle name="Vérification 2 2 3 2 3 2" xfId="2736"/>
    <cellStyle name="Vérification 2 2 3 2 3 2 2" xfId="6424"/>
    <cellStyle name="Vérification 2 2 3 2 3 2 2 2" xfId="8805"/>
    <cellStyle name="Vérification 2 2 3 2 3 2 2 2 2" xfId="25029"/>
    <cellStyle name="Vérification 2 2 3 2 3 2 2 2 2 2" xfId="37036"/>
    <cellStyle name="Vérification 2 2 3 2 3 2 2 2 3" xfId="14812"/>
    <cellStyle name="Vérification 2 2 3 2 3 2 2 2 4" xfId="31033"/>
    <cellStyle name="Vérification 2 2 3 2 3 2 2 3" xfId="10183"/>
    <cellStyle name="Vérification 2 2 3 2 3 2 2 3 2" xfId="26407"/>
    <cellStyle name="Vérification 2 2 3 2 3 2 2 3 2 2" xfId="38414"/>
    <cellStyle name="Vérification 2 2 3 2 3 2 2 3 3" xfId="16190"/>
    <cellStyle name="Vérification 2 2 3 2 3 2 2 3 4" xfId="32411"/>
    <cellStyle name="Vérification 2 2 3 2 3 2 2 4" xfId="22648"/>
    <cellStyle name="Vérification 2 2 3 2 3 2 2 4 2" xfId="34655"/>
    <cellStyle name="Vérification 2 2 3 2 3 2 2 5" xfId="12509"/>
    <cellStyle name="Vérification 2 2 3 2 3 2 2 6" xfId="28730"/>
    <cellStyle name="Vérification 2 2 3 2 3 2 3" xfId="7472"/>
    <cellStyle name="Vérification 2 2 3 2 3 2 3 2" xfId="9516"/>
    <cellStyle name="Vérification 2 2 3 2 3 2 3 2 2" xfId="25740"/>
    <cellStyle name="Vérification 2 2 3 2 3 2 3 2 2 2" xfId="37747"/>
    <cellStyle name="Vérification 2 2 3 2 3 2 3 2 3" xfId="15523"/>
    <cellStyle name="Vérification 2 2 3 2 3 2 3 2 4" xfId="31744"/>
    <cellStyle name="Vérification 2 2 3 2 3 2 3 3" xfId="23696"/>
    <cellStyle name="Vérification 2 2 3 2 3 2 3 3 2" xfId="35703"/>
    <cellStyle name="Vérification 2 2 3 2 3 2 3 4" xfId="13220"/>
    <cellStyle name="Vérification 2 2 3 2 3 2 3 5" xfId="29441"/>
    <cellStyle name="Vérification 2 2 3 2 3 2 4" xfId="7849"/>
    <cellStyle name="Vérification 2 2 3 2 3 2 4 2" xfId="24073"/>
    <cellStyle name="Vérification 2 2 3 2 3 2 4 2 2" xfId="36080"/>
    <cellStyle name="Vérification 2 2 3 2 3 2 4 3" xfId="13856"/>
    <cellStyle name="Vérification 2 2 3 2 3 2 4 4" xfId="30077"/>
    <cellStyle name="Vérification 2 2 3 2 3 2 5" xfId="18964"/>
    <cellStyle name="Vérification 2 2 3 2 3 2 5 2" xfId="33078"/>
    <cellStyle name="Vérification 2 2 3 2 3 2 6" xfId="11205"/>
    <cellStyle name="Vérification 2 2 3 2 3 2 7" xfId="27426"/>
    <cellStyle name="Vérification 2 2 3 2 3 3" xfId="4673"/>
    <cellStyle name="Vérification 2 2 3 2 3 3 2" xfId="6944"/>
    <cellStyle name="Vérification 2 2 3 2 3 3 2 2" xfId="9183"/>
    <cellStyle name="Vérification 2 2 3 2 3 3 2 2 2" xfId="25407"/>
    <cellStyle name="Vérification 2 2 3 2 3 3 2 2 2 2" xfId="37414"/>
    <cellStyle name="Vérification 2 2 3 2 3 3 2 2 3" xfId="15190"/>
    <cellStyle name="Vérification 2 2 3 2 3 3 2 2 4" xfId="31411"/>
    <cellStyle name="Vérification 2 2 3 2 3 3 2 3" xfId="23168"/>
    <cellStyle name="Vérification 2 2 3 2 3 3 2 3 2" xfId="35175"/>
    <cellStyle name="Vérification 2 2 3 2 3 3 2 4" xfId="12887"/>
    <cellStyle name="Vérification 2 2 3 2 3 3 2 5" xfId="29108"/>
    <cellStyle name="Vérification 2 2 3 2 3 3 3" xfId="3789"/>
    <cellStyle name="Vérification 2 2 3 2 3 3 3 2" xfId="20017"/>
    <cellStyle name="Vérification 2 2 3 2 3 3 3 2 2" xfId="34131"/>
    <cellStyle name="Vérification 2 2 3 2 3 3 3 3" xfId="13509"/>
    <cellStyle name="Vérification 2 2 3 2 3 3 3 4" xfId="29730"/>
    <cellStyle name="Vérification 2 2 3 2 3 3 4" xfId="20899"/>
    <cellStyle name="Vérification 2 2 3 2 3 3 4 2" xfId="34322"/>
    <cellStyle name="Vérification 2 2 3 2 3 3 5" xfId="10869"/>
    <cellStyle name="Vérification 2 2 3 2 3 3 6" xfId="27092"/>
    <cellStyle name="Vérification 2 2 3 2 3 4" xfId="3275"/>
    <cellStyle name="Vérification 2 2 3 2 3 4 2" xfId="8272"/>
    <cellStyle name="Vérification 2 2 3 2 3 4 2 2" xfId="24496"/>
    <cellStyle name="Vérification 2 2 3 2 3 4 2 2 2" xfId="36503"/>
    <cellStyle name="Vérification 2 2 3 2 3 4 2 3" xfId="14279"/>
    <cellStyle name="Vérification 2 2 3 2 3 4 2 4" xfId="30500"/>
    <cellStyle name="Vérification 2 2 3 2 3 4 3" xfId="9850"/>
    <cellStyle name="Vérification 2 2 3 2 3 4 3 2" xfId="26074"/>
    <cellStyle name="Vérification 2 2 3 2 3 4 3 2 2" xfId="38081"/>
    <cellStyle name="Vérification 2 2 3 2 3 4 3 3" xfId="15857"/>
    <cellStyle name="Vérification 2 2 3 2 3 4 3 4" xfId="32078"/>
    <cellStyle name="Vérification 2 2 3 2 3 4 4" xfId="19503"/>
    <cellStyle name="Vérification 2 2 3 2 3 4 4 2" xfId="33617"/>
    <cellStyle name="Vérification 2 2 3 2 3 4 5" xfId="11827"/>
    <cellStyle name="Vérification 2 2 3 2 3 4 6" xfId="28048"/>
    <cellStyle name="Vérification 2 2 3 2 3 5" xfId="3294"/>
    <cellStyle name="Vérification 2 2 3 2 3 5 2" xfId="8285"/>
    <cellStyle name="Vérification 2 2 3 2 3 5 2 2" xfId="24509"/>
    <cellStyle name="Vérification 2 2 3 2 3 5 2 2 2" xfId="36516"/>
    <cellStyle name="Vérification 2 2 3 2 3 5 2 3" xfId="14292"/>
    <cellStyle name="Vérification 2 2 3 2 3 5 2 4" xfId="30513"/>
    <cellStyle name="Vérification 2 2 3 2 3 5 3" xfId="19522"/>
    <cellStyle name="Vérification 2 2 3 2 3 5 3 2" xfId="33636"/>
    <cellStyle name="Vérification 2 2 3 2 3 5 4" xfId="11840"/>
    <cellStyle name="Vérification 2 2 3 2 3 5 5" xfId="28061"/>
    <cellStyle name="Vérification 2 2 3 2 3 6" xfId="3362"/>
    <cellStyle name="Vérification 2 2 3 2 3 6 2" xfId="19590"/>
    <cellStyle name="Vérification 2 2 3 2 3 6 2 2" xfId="33704"/>
    <cellStyle name="Vérification 2 2 3 2 3 6 3" xfId="10833"/>
    <cellStyle name="Vérification 2 2 3 2 3 6 4" xfId="27056"/>
    <cellStyle name="Vérification 2 2 3 2 3 7" xfId="17215"/>
    <cellStyle name="Vérification 2 2 3 2 3 7 2" xfId="32745"/>
    <cellStyle name="Vérification 2 2 3 2 3 8" xfId="10517"/>
    <cellStyle name="Vérification 2 2 3 2 3 9" xfId="26742"/>
    <cellStyle name="Vérification 2 2 3 2 4" xfId="2647"/>
    <cellStyle name="Vérification 2 2 3 2 4 2" xfId="6335"/>
    <cellStyle name="Vérification 2 2 3 2 4 2 2" xfId="8716"/>
    <cellStyle name="Vérification 2 2 3 2 4 2 2 2" xfId="24940"/>
    <cellStyle name="Vérification 2 2 3 2 4 2 2 2 2" xfId="36947"/>
    <cellStyle name="Vérification 2 2 3 2 4 2 2 3" xfId="14723"/>
    <cellStyle name="Vérification 2 2 3 2 4 2 2 4" xfId="30944"/>
    <cellStyle name="Vérification 2 2 3 2 4 2 3" xfId="10094"/>
    <cellStyle name="Vérification 2 2 3 2 4 2 3 2" xfId="26318"/>
    <cellStyle name="Vérification 2 2 3 2 4 2 3 2 2" xfId="38325"/>
    <cellStyle name="Vérification 2 2 3 2 4 2 3 3" xfId="16101"/>
    <cellStyle name="Vérification 2 2 3 2 4 2 3 4" xfId="32322"/>
    <cellStyle name="Vérification 2 2 3 2 4 2 4" xfId="22559"/>
    <cellStyle name="Vérification 2 2 3 2 4 2 4 2" xfId="34566"/>
    <cellStyle name="Vérification 2 2 3 2 4 2 5" xfId="12420"/>
    <cellStyle name="Vérification 2 2 3 2 4 2 6" xfId="28641"/>
    <cellStyle name="Vérification 2 2 3 2 4 3" xfId="7383"/>
    <cellStyle name="Vérification 2 2 3 2 4 3 2" xfId="9427"/>
    <cellStyle name="Vérification 2 2 3 2 4 3 2 2" xfId="25651"/>
    <cellStyle name="Vérification 2 2 3 2 4 3 2 2 2" xfId="37658"/>
    <cellStyle name="Vérification 2 2 3 2 4 3 2 3" xfId="15434"/>
    <cellStyle name="Vérification 2 2 3 2 4 3 2 4" xfId="31655"/>
    <cellStyle name="Vérification 2 2 3 2 4 3 3" xfId="23607"/>
    <cellStyle name="Vérification 2 2 3 2 4 3 3 2" xfId="35614"/>
    <cellStyle name="Vérification 2 2 3 2 4 3 4" xfId="13131"/>
    <cellStyle name="Vérification 2 2 3 2 4 3 5" xfId="29352"/>
    <cellStyle name="Vérification 2 2 3 2 4 4" xfId="7760"/>
    <cellStyle name="Vérification 2 2 3 2 4 4 2" xfId="23984"/>
    <cellStyle name="Vérification 2 2 3 2 4 4 2 2" xfId="35991"/>
    <cellStyle name="Vérification 2 2 3 2 4 4 3" xfId="13767"/>
    <cellStyle name="Vérification 2 2 3 2 4 4 4" xfId="29988"/>
    <cellStyle name="Vérification 2 2 3 2 4 5" xfId="18875"/>
    <cellStyle name="Vérification 2 2 3 2 4 5 2" xfId="32989"/>
    <cellStyle name="Vérification 2 2 3 2 4 6" xfId="11116"/>
    <cellStyle name="Vérification 2 2 3 2 4 7" xfId="27337"/>
    <cellStyle name="Vérification 2 2 3 2 5" xfId="4098"/>
    <cellStyle name="Vérification 2 2 3 2 5 2" xfId="6782"/>
    <cellStyle name="Vérification 2 2 3 2 5 2 2" xfId="9094"/>
    <cellStyle name="Vérification 2 2 3 2 5 2 2 2" xfId="25318"/>
    <cellStyle name="Vérification 2 2 3 2 5 2 2 2 2" xfId="37325"/>
    <cellStyle name="Vérification 2 2 3 2 5 2 2 3" xfId="15101"/>
    <cellStyle name="Vérification 2 2 3 2 5 2 2 4" xfId="31322"/>
    <cellStyle name="Vérification 2 2 3 2 5 2 3" xfId="23006"/>
    <cellStyle name="Vérification 2 2 3 2 5 2 3 2" xfId="35013"/>
    <cellStyle name="Vérification 2 2 3 2 5 2 4" xfId="12798"/>
    <cellStyle name="Vérification 2 2 3 2 5 2 5" xfId="29019"/>
    <cellStyle name="Vérification 2 2 3 2 5 3" xfId="3746"/>
    <cellStyle name="Vérification 2 2 3 2 5 3 2" xfId="19974"/>
    <cellStyle name="Vérification 2 2 3 2 5 3 2 2" xfId="34088"/>
    <cellStyle name="Vérification 2 2 3 2 5 3 3" xfId="11617"/>
    <cellStyle name="Vérification 2 2 3 2 5 3 4" xfId="27838"/>
    <cellStyle name="Vérification 2 2 3 2 5 4" xfId="20324"/>
    <cellStyle name="Vérification 2 2 3 2 5 4 2" xfId="34233"/>
    <cellStyle name="Vérification 2 2 3 2 5 5" xfId="10773"/>
    <cellStyle name="Vérification 2 2 3 2 5 6" xfId="26996"/>
    <cellStyle name="Vérification 2 2 3 2 6" xfId="3055"/>
    <cellStyle name="Vérification 2 2 3 2 6 2" xfId="8125"/>
    <cellStyle name="Vérification 2 2 3 2 6 2 2" xfId="24349"/>
    <cellStyle name="Vérification 2 2 3 2 6 2 2 2" xfId="36356"/>
    <cellStyle name="Vérification 2 2 3 2 6 2 3" xfId="14132"/>
    <cellStyle name="Vérification 2 2 3 2 6 2 4" xfId="30353"/>
    <cellStyle name="Vérification 2 2 3 2 6 3" xfId="9761"/>
    <cellStyle name="Vérification 2 2 3 2 6 3 2" xfId="25985"/>
    <cellStyle name="Vérification 2 2 3 2 6 3 2 2" xfId="37992"/>
    <cellStyle name="Vérification 2 2 3 2 6 3 3" xfId="15768"/>
    <cellStyle name="Vérification 2 2 3 2 6 3 4" xfId="31989"/>
    <cellStyle name="Vérification 2 2 3 2 6 4" xfId="19283"/>
    <cellStyle name="Vérification 2 2 3 2 6 4 2" xfId="33397"/>
    <cellStyle name="Vérification 2 2 3 2 6 5" xfId="11680"/>
    <cellStyle name="Vérification 2 2 3 2 6 6" xfId="27901"/>
    <cellStyle name="Vérification 2 2 3 2 7" xfId="3734"/>
    <cellStyle name="Vérification 2 2 3 2 7 2" xfId="8607"/>
    <cellStyle name="Vérification 2 2 3 2 7 2 2" xfId="24831"/>
    <cellStyle name="Vérification 2 2 3 2 7 2 2 2" xfId="36838"/>
    <cellStyle name="Vérification 2 2 3 2 7 2 3" xfId="14614"/>
    <cellStyle name="Vérification 2 2 3 2 7 2 4" xfId="30835"/>
    <cellStyle name="Vérification 2 2 3 2 7 3" xfId="19962"/>
    <cellStyle name="Vérification 2 2 3 2 7 3 2" xfId="34076"/>
    <cellStyle name="Vérification 2 2 3 2 7 4" xfId="12162"/>
    <cellStyle name="Vérification 2 2 3 2 7 5" xfId="28383"/>
    <cellStyle name="Vérification 2 2 3 2 8" xfId="6979"/>
    <cellStyle name="Vérification 2 2 3 2 8 2" xfId="23203"/>
    <cellStyle name="Vérification 2 2 3 2 8 2 2" xfId="35210"/>
    <cellStyle name="Vérification 2 2 3 2 8 3" xfId="12315"/>
    <cellStyle name="Vérification 2 2 3 2 8 4" xfId="28536"/>
    <cellStyle name="Vérification 2 2 3 2 9" xfId="16640"/>
    <cellStyle name="Vérification 2 2 3 2 9 2" xfId="32656"/>
    <cellStyle name="Vérification 2 2 3 3" xfId="502"/>
    <cellStyle name="Vérification 2 2 3 3 10" xfId="10449"/>
    <cellStyle name="Vérification 2 2 3 3 11" xfId="26674"/>
    <cellStyle name="Vérification 2 2 3 3 2" xfId="1368"/>
    <cellStyle name="Vérification 2 2 3 3 2 2" xfId="2846"/>
    <cellStyle name="Vérification 2 2 3 3 2 2 2" xfId="6534"/>
    <cellStyle name="Vérification 2 2 3 3 2 2 2 2" xfId="8915"/>
    <cellStyle name="Vérification 2 2 3 3 2 2 2 2 2" xfId="25139"/>
    <cellStyle name="Vérification 2 2 3 3 2 2 2 2 2 2" xfId="37146"/>
    <cellStyle name="Vérification 2 2 3 3 2 2 2 2 3" xfId="14922"/>
    <cellStyle name="Vérification 2 2 3 3 2 2 2 2 4" xfId="31143"/>
    <cellStyle name="Vérification 2 2 3 3 2 2 2 3" xfId="10293"/>
    <cellStyle name="Vérification 2 2 3 3 2 2 2 3 2" xfId="26517"/>
    <cellStyle name="Vérification 2 2 3 3 2 2 2 3 2 2" xfId="38524"/>
    <cellStyle name="Vérification 2 2 3 3 2 2 2 3 3" xfId="16300"/>
    <cellStyle name="Vérification 2 2 3 3 2 2 2 3 4" xfId="32521"/>
    <cellStyle name="Vérification 2 2 3 3 2 2 2 4" xfId="22758"/>
    <cellStyle name="Vérification 2 2 3 3 2 2 2 4 2" xfId="34765"/>
    <cellStyle name="Vérification 2 2 3 3 2 2 2 5" xfId="12619"/>
    <cellStyle name="Vérification 2 2 3 3 2 2 2 6" xfId="28840"/>
    <cellStyle name="Vérification 2 2 3 3 2 2 3" xfId="7582"/>
    <cellStyle name="Vérification 2 2 3 3 2 2 3 2" xfId="9626"/>
    <cellStyle name="Vérification 2 2 3 3 2 2 3 2 2" xfId="25850"/>
    <cellStyle name="Vérification 2 2 3 3 2 2 3 2 2 2" xfId="37857"/>
    <cellStyle name="Vérification 2 2 3 3 2 2 3 2 3" xfId="15633"/>
    <cellStyle name="Vérification 2 2 3 3 2 2 3 2 4" xfId="31854"/>
    <cellStyle name="Vérification 2 2 3 3 2 2 3 3" xfId="23806"/>
    <cellStyle name="Vérification 2 2 3 3 2 2 3 3 2" xfId="35813"/>
    <cellStyle name="Vérification 2 2 3 3 2 2 3 4" xfId="13330"/>
    <cellStyle name="Vérification 2 2 3 3 2 2 3 5" xfId="29551"/>
    <cellStyle name="Vérification 2 2 3 3 2 2 4" xfId="7959"/>
    <cellStyle name="Vérification 2 2 3 3 2 2 4 2" xfId="24183"/>
    <cellStyle name="Vérification 2 2 3 3 2 2 4 2 2" xfId="36190"/>
    <cellStyle name="Vérification 2 2 3 3 2 2 4 3" xfId="13966"/>
    <cellStyle name="Vérification 2 2 3 3 2 2 4 4" xfId="30187"/>
    <cellStyle name="Vérification 2 2 3 3 2 2 5" xfId="19074"/>
    <cellStyle name="Vérification 2 2 3 3 2 2 5 2" xfId="33188"/>
    <cellStyle name="Vérification 2 2 3 3 2 2 6" xfId="11315"/>
    <cellStyle name="Vérification 2 2 3 3 2 2 7" xfId="27536"/>
    <cellStyle name="Vérification 2 2 3 3 2 3" xfId="5065"/>
    <cellStyle name="Vérification 2 2 3 3 2 3 2" xfId="7092"/>
    <cellStyle name="Vérification 2 2 3 3 2 3 2 2" xfId="9293"/>
    <cellStyle name="Vérification 2 2 3 3 2 3 2 2 2" xfId="25517"/>
    <cellStyle name="Vérification 2 2 3 3 2 3 2 2 2 2" xfId="37524"/>
    <cellStyle name="Vérification 2 2 3 3 2 3 2 2 3" xfId="15300"/>
    <cellStyle name="Vérification 2 2 3 3 2 3 2 2 4" xfId="31521"/>
    <cellStyle name="Vérification 2 2 3 3 2 3 2 3" xfId="23316"/>
    <cellStyle name="Vérification 2 2 3 3 2 3 2 3 2" xfId="35323"/>
    <cellStyle name="Vérification 2 2 3 3 2 3 2 4" xfId="12997"/>
    <cellStyle name="Vérification 2 2 3 3 2 3 2 5" xfId="29218"/>
    <cellStyle name="Vérification 2 2 3 3 2 3 3" xfId="3150"/>
    <cellStyle name="Vérification 2 2 3 3 2 3 3 2" xfId="19378"/>
    <cellStyle name="Vérification 2 2 3 3 2 3 3 2 2" xfId="33492"/>
    <cellStyle name="Vérification 2 2 3 3 2 3 3 3" xfId="11574"/>
    <cellStyle name="Vérification 2 2 3 3 2 3 3 4" xfId="27795"/>
    <cellStyle name="Vérification 2 2 3 3 2 3 4" xfId="21291"/>
    <cellStyle name="Vérification 2 2 3 3 2 3 4 2" xfId="34432"/>
    <cellStyle name="Vérification 2 2 3 3 2 3 5" xfId="10979"/>
    <cellStyle name="Vérification 2 2 3 3 2 3 6" xfId="27202"/>
    <cellStyle name="Vérification 2 2 3 3 2 4" xfId="3456"/>
    <cellStyle name="Vérification 2 2 3 3 2 4 2" xfId="8423"/>
    <cellStyle name="Vérification 2 2 3 3 2 4 2 2" xfId="24647"/>
    <cellStyle name="Vérification 2 2 3 3 2 4 2 2 2" xfId="36654"/>
    <cellStyle name="Vérification 2 2 3 3 2 4 2 3" xfId="14430"/>
    <cellStyle name="Vérification 2 2 3 3 2 4 2 4" xfId="30651"/>
    <cellStyle name="Vérification 2 2 3 3 2 4 3" xfId="9960"/>
    <cellStyle name="Vérification 2 2 3 3 2 4 3 2" xfId="26184"/>
    <cellStyle name="Vérification 2 2 3 3 2 4 3 2 2" xfId="38191"/>
    <cellStyle name="Vérification 2 2 3 3 2 4 3 3" xfId="15967"/>
    <cellStyle name="Vérification 2 2 3 3 2 4 3 4" xfId="32188"/>
    <cellStyle name="Vérification 2 2 3 3 2 4 4" xfId="19684"/>
    <cellStyle name="Vérification 2 2 3 3 2 4 4 2" xfId="33798"/>
    <cellStyle name="Vérification 2 2 3 3 2 4 5" xfId="11978"/>
    <cellStyle name="Vérification 2 2 3 3 2 4 6" xfId="28199"/>
    <cellStyle name="Vérification 2 2 3 3 2 5" xfId="3039"/>
    <cellStyle name="Vérification 2 2 3 3 2 5 2" xfId="8116"/>
    <cellStyle name="Vérification 2 2 3 3 2 5 2 2" xfId="24340"/>
    <cellStyle name="Vérification 2 2 3 3 2 5 2 2 2" xfId="36347"/>
    <cellStyle name="Vérification 2 2 3 3 2 5 2 3" xfId="14123"/>
    <cellStyle name="Vérification 2 2 3 3 2 5 2 4" xfId="30344"/>
    <cellStyle name="Vérification 2 2 3 3 2 5 3" xfId="19267"/>
    <cellStyle name="Vérification 2 2 3 3 2 5 3 2" xfId="33381"/>
    <cellStyle name="Vérification 2 2 3 3 2 5 4" xfId="11671"/>
    <cellStyle name="Vérification 2 2 3 3 2 5 5" xfId="27892"/>
    <cellStyle name="Vérification 2 2 3 3 2 6" xfId="7211"/>
    <cellStyle name="Vérification 2 2 3 3 2 6 2" xfId="23435"/>
    <cellStyle name="Vérification 2 2 3 3 2 6 2 2" xfId="35442"/>
    <cellStyle name="Vérification 2 2 3 3 2 6 3" xfId="13595"/>
    <cellStyle name="Vérification 2 2 3 3 2 6 4" xfId="29816"/>
    <cellStyle name="Vérification 2 2 3 3 2 7" xfId="17607"/>
    <cellStyle name="Vérification 2 2 3 3 2 7 2" xfId="32855"/>
    <cellStyle name="Vérification 2 2 3 3 2 8" xfId="10627"/>
    <cellStyle name="Vérification 2 2 3 3 2 9" xfId="26852"/>
    <cellStyle name="Vérification 2 2 3 3 3" xfId="1117"/>
    <cellStyle name="Vérification 2 2 3 3 3 2" xfId="2757"/>
    <cellStyle name="Vérification 2 2 3 3 3 2 2" xfId="6445"/>
    <cellStyle name="Vérification 2 2 3 3 3 2 2 2" xfId="8826"/>
    <cellStyle name="Vérification 2 2 3 3 3 2 2 2 2" xfId="25050"/>
    <cellStyle name="Vérification 2 2 3 3 3 2 2 2 2 2" xfId="37057"/>
    <cellStyle name="Vérification 2 2 3 3 3 2 2 2 3" xfId="14833"/>
    <cellStyle name="Vérification 2 2 3 3 3 2 2 2 4" xfId="31054"/>
    <cellStyle name="Vérification 2 2 3 3 3 2 2 3" xfId="10204"/>
    <cellStyle name="Vérification 2 2 3 3 3 2 2 3 2" xfId="26428"/>
    <cellStyle name="Vérification 2 2 3 3 3 2 2 3 2 2" xfId="38435"/>
    <cellStyle name="Vérification 2 2 3 3 3 2 2 3 3" xfId="16211"/>
    <cellStyle name="Vérification 2 2 3 3 3 2 2 3 4" xfId="32432"/>
    <cellStyle name="Vérification 2 2 3 3 3 2 2 4" xfId="22669"/>
    <cellStyle name="Vérification 2 2 3 3 3 2 2 4 2" xfId="34676"/>
    <cellStyle name="Vérification 2 2 3 3 3 2 2 5" xfId="12530"/>
    <cellStyle name="Vérification 2 2 3 3 3 2 2 6" xfId="28751"/>
    <cellStyle name="Vérification 2 2 3 3 3 2 3" xfId="7493"/>
    <cellStyle name="Vérification 2 2 3 3 3 2 3 2" xfId="9537"/>
    <cellStyle name="Vérification 2 2 3 3 3 2 3 2 2" xfId="25761"/>
    <cellStyle name="Vérification 2 2 3 3 3 2 3 2 2 2" xfId="37768"/>
    <cellStyle name="Vérification 2 2 3 3 3 2 3 2 3" xfId="15544"/>
    <cellStyle name="Vérification 2 2 3 3 3 2 3 2 4" xfId="31765"/>
    <cellStyle name="Vérification 2 2 3 3 3 2 3 3" xfId="23717"/>
    <cellStyle name="Vérification 2 2 3 3 3 2 3 3 2" xfId="35724"/>
    <cellStyle name="Vérification 2 2 3 3 3 2 3 4" xfId="13241"/>
    <cellStyle name="Vérification 2 2 3 3 3 2 3 5" xfId="29462"/>
    <cellStyle name="Vérification 2 2 3 3 3 2 4" xfId="7870"/>
    <cellStyle name="Vérification 2 2 3 3 3 2 4 2" xfId="24094"/>
    <cellStyle name="Vérification 2 2 3 3 3 2 4 2 2" xfId="36101"/>
    <cellStyle name="Vérification 2 2 3 3 3 2 4 3" xfId="13877"/>
    <cellStyle name="Vérification 2 2 3 3 3 2 4 4" xfId="30098"/>
    <cellStyle name="Vérification 2 2 3 3 3 2 5" xfId="18985"/>
    <cellStyle name="Vérification 2 2 3 3 3 2 5 2" xfId="33099"/>
    <cellStyle name="Vérification 2 2 3 3 3 2 6" xfId="11226"/>
    <cellStyle name="Vérification 2 2 3 3 3 2 7" xfId="27447"/>
    <cellStyle name="Vérification 2 2 3 3 3 3" xfId="4814"/>
    <cellStyle name="Vérification 2 2 3 3 3 3 2" xfId="6984"/>
    <cellStyle name="Vérification 2 2 3 3 3 3 2 2" xfId="9204"/>
    <cellStyle name="Vérification 2 2 3 3 3 3 2 2 2" xfId="25428"/>
    <cellStyle name="Vérification 2 2 3 3 3 3 2 2 2 2" xfId="37435"/>
    <cellStyle name="Vérification 2 2 3 3 3 3 2 2 3" xfId="15211"/>
    <cellStyle name="Vérification 2 2 3 3 3 3 2 2 4" xfId="31432"/>
    <cellStyle name="Vérification 2 2 3 3 3 3 2 3" xfId="23208"/>
    <cellStyle name="Vérification 2 2 3 3 3 3 2 3 2" xfId="35215"/>
    <cellStyle name="Vérification 2 2 3 3 3 3 2 4" xfId="12908"/>
    <cellStyle name="Vérification 2 2 3 3 3 3 2 5" xfId="29129"/>
    <cellStyle name="Vérification 2 2 3 3 3 3 3" xfId="7265"/>
    <cellStyle name="Vérification 2 2 3 3 3 3 3 2" xfId="23489"/>
    <cellStyle name="Vérification 2 2 3 3 3 3 3 2 2" xfId="35496"/>
    <cellStyle name="Vérification 2 2 3 3 3 3 3 3" xfId="13649"/>
    <cellStyle name="Vérification 2 2 3 3 3 3 3 4" xfId="29870"/>
    <cellStyle name="Vérification 2 2 3 3 3 3 4" xfId="21040"/>
    <cellStyle name="Vérification 2 2 3 3 3 3 4 2" xfId="34343"/>
    <cellStyle name="Vérification 2 2 3 3 3 3 5" xfId="10890"/>
    <cellStyle name="Vérification 2 2 3 3 3 3 6" xfId="27113"/>
    <cellStyle name="Vérification 2 2 3 3 3 4" xfId="3328"/>
    <cellStyle name="Vérification 2 2 3 3 3 4 2" xfId="8311"/>
    <cellStyle name="Vérification 2 2 3 3 3 4 2 2" xfId="24535"/>
    <cellStyle name="Vérification 2 2 3 3 3 4 2 2 2" xfId="36542"/>
    <cellStyle name="Vérification 2 2 3 3 3 4 2 3" xfId="14318"/>
    <cellStyle name="Vérification 2 2 3 3 3 4 2 4" xfId="30539"/>
    <cellStyle name="Vérification 2 2 3 3 3 4 3" xfId="9871"/>
    <cellStyle name="Vérification 2 2 3 3 3 4 3 2" xfId="26095"/>
    <cellStyle name="Vérification 2 2 3 3 3 4 3 2 2" xfId="38102"/>
    <cellStyle name="Vérification 2 2 3 3 3 4 3 3" xfId="15878"/>
    <cellStyle name="Vérification 2 2 3 3 3 4 3 4" xfId="32099"/>
    <cellStyle name="Vérification 2 2 3 3 3 4 4" xfId="19556"/>
    <cellStyle name="Vérification 2 2 3 3 3 4 4 2" xfId="33670"/>
    <cellStyle name="Vérification 2 2 3 3 3 4 5" xfId="11866"/>
    <cellStyle name="Vérification 2 2 3 3 3 4 6" xfId="28087"/>
    <cellStyle name="Vérification 2 2 3 3 3 5" xfId="3634"/>
    <cellStyle name="Vérification 2 2 3 3 3 5 2" xfId="8550"/>
    <cellStyle name="Vérification 2 2 3 3 3 5 2 2" xfId="24774"/>
    <cellStyle name="Vérification 2 2 3 3 3 5 2 2 2" xfId="36781"/>
    <cellStyle name="Vérification 2 2 3 3 3 5 2 3" xfId="14557"/>
    <cellStyle name="Vérification 2 2 3 3 3 5 2 4" xfId="30778"/>
    <cellStyle name="Vérification 2 2 3 3 3 5 3" xfId="19862"/>
    <cellStyle name="Vérification 2 2 3 3 3 5 3 2" xfId="33976"/>
    <cellStyle name="Vérification 2 2 3 3 3 5 4" xfId="12105"/>
    <cellStyle name="Vérification 2 2 3 3 3 5 5" xfId="28326"/>
    <cellStyle name="Vérification 2 2 3 3 3 6" xfId="3194"/>
    <cellStyle name="Vérification 2 2 3 3 3 6 2" xfId="19422"/>
    <cellStyle name="Vérification 2 2 3 3 3 6 2 2" xfId="33536"/>
    <cellStyle name="Vérification 2 2 3 3 3 6 3" xfId="12374"/>
    <cellStyle name="Vérification 2 2 3 3 3 6 4" xfId="28595"/>
    <cellStyle name="Vérification 2 2 3 3 3 7" xfId="17356"/>
    <cellStyle name="Vérification 2 2 3 3 3 7 2" xfId="32766"/>
    <cellStyle name="Vérification 2 2 3 3 3 8" xfId="10538"/>
    <cellStyle name="Vérification 2 2 3 3 3 9" xfId="26763"/>
    <cellStyle name="Vérification 2 2 3 3 4" xfId="2668"/>
    <cellStyle name="Vérification 2 2 3 3 4 2" xfId="6356"/>
    <cellStyle name="Vérification 2 2 3 3 4 2 2" xfId="8737"/>
    <cellStyle name="Vérification 2 2 3 3 4 2 2 2" xfId="24961"/>
    <cellStyle name="Vérification 2 2 3 3 4 2 2 2 2" xfId="36968"/>
    <cellStyle name="Vérification 2 2 3 3 4 2 2 3" xfId="14744"/>
    <cellStyle name="Vérification 2 2 3 3 4 2 2 4" xfId="30965"/>
    <cellStyle name="Vérification 2 2 3 3 4 2 3" xfId="10115"/>
    <cellStyle name="Vérification 2 2 3 3 4 2 3 2" xfId="26339"/>
    <cellStyle name="Vérification 2 2 3 3 4 2 3 2 2" xfId="38346"/>
    <cellStyle name="Vérification 2 2 3 3 4 2 3 3" xfId="16122"/>
    <cellStyle name="Vérification 2 2 3 3 4 2 3 4" xfId="32343"/>
    <cellStyle name="Vérification 2 2 3 3 4 2 4" xfId="22580"/>
    <cellStyle name="Vérification 2 2 3 3 4 2 4 2" xfId="34587"/>
    <cellStyle name="Vérification 2 2 3 3 4 2 5" xfId="12441"/>
    <cellStyle name="Vérification 2 2 3 3 4 2 6" xfId="28662"/>
    <cellStyle name="Vérification 2 2 3 3 4 3" xfId="7404"/>
    <cellStyle name="Vérification 2 2 3 3 4 3 2" xfId="9448"/>
    <cellStyle name="Vérification 2 2 3 3 4 3 2 2" xfId="25672"/>
    <cellStyle name="Vérification 2 2 3 3 4 3 2 2 2" xfId="37679"/>
    <cellStyle name="Vérification 2 2 3 3 4 3 2 3" xfId="15455"/>
    <cellStyle name="Vérification 2 2 3 3 4 3 2 4" xfId="31676"/>
    <cellStyle name="Vérification 2 2 3 3 4 3 3" xfId="23628"/>
    <cellStyle name="Vérification 2 2 3 3 4 3 3 2" xfId="35635"/>
    <cellStyle name="Vérification 2 2 3 3 4 3 4" xfId="13152"/>
    <cellStyle name="Vérification 2 2 3 3 4 3 5" xfId="29373"/>
    <cellStyle name="Vérification 2 2 3 3 4 4" xfId="7781"/>
    <cellStyle name="Vérification 2 2 3 3 4 4 2" xfId="24005"/>
    <cellStyle name="Vérification 2 2 3 3 4 4 2 2" xfId="36012"/>
    <cellStyle name="Vérification 2 2 3 3 4 4 3" xfId="13788"/>
    <cellStyle name="Vérification 2 2 3 3 4 4 4" xfId="30009"/>
    <cellStyle name="Vérification 2 2 3 3 4 5" xfId="18896"/>
    <cellStyle name="Vérification 2 2 3 3 4 5 2" xfId="33010"/>
    <cellStyle name="Vérification 2 2 3 3 4 6" xfId="11137"/>
    <cellStyle name="Vérification 2 2 3 3 4 7" xfId="27358"/>
    <cellStyle name="Vérification 2 2 3 3 5" xfId="4239"/>
    <cellStyle name="Vérification 2 2 3 3 5 2" xfId="6819"/>
    <cellStyle name="Vérification 2 2 3 3 5 2 2" xfId="9115"/>
    <cellStyle name="Vérification 2 2 3 3 5 2 2 2" xfId="25339"/>
    <cellStyle name="Vérification 2 2 3 3 5 2 2 2 2" xfId="37346"/>
    <cellStyle name="Vérification 2 2 3 3 5 2 2 3" xfId="15122"/>
    <cellStyle name="Vérification 2 2 3 3 5 2 2 4" xfId="31343"/>
    <cellStyle name="Vérification 2 2 3 3 5 2 3" xfId="23043"/>
    <cellStyle name="Vérification 2 2 3 3 5 2 3 2" xfId="35050"/>
    <cellStyle name="Vérification 2 2 3 3 5 2 4" xfId="12819"/>
    <cellStyle name="Vérification 2 2 3 3 5 2 5" xfId="29040"/>
    <cellStyle name="Vérification 2 2 3 3 5 3" xfId="6775"/>
    <cellStyle name="Vérification 2 2 3 3 5 3 2" xfId="22999"/>
    <cellStyle name="Vérification 2 2 3 3 5 3 2 2" xfId="35006"/>
    <cellStyle name="Vérification 2 2 3 3 5 3 3" xfId="13506"/>
    <cellStyle name="Vérification 2 2 3 3 5 3 4" xfId="29727"/>
    <cellStyle name="Vérification 2 2 3 3 5 4" xfId="20465"/>
    <cellStyle name="Vérification 2 2 3 3 5 4 2" xfId="34254"/>
    <cellStyle name="Vérification 2 2 3 3 5 5" xfId="10794"/>
    <cellStyle name="Vérification 2 2 3 3 5 6" xfId="27017"/>
    <cellStyle name="Vérification 2 2 3 3 6" xfId="3107"/>
    <cellStyle name="Vérification 2 2 3 3 6 2" xfId="8159"/>
    <cellStyle name="Vérification 2 2 3 3 6 2 2" xfId="24383"/>
    <cellStyle name="Vérification 2 2 3 3 6 2 2 2" xfId="36390"/>
    <cellStyle name="Vérification 2 2 3 3 6 2 3" xfId="14166"/>
    <cellStyle name="Vérification 2 2 3 3 6 2 4" xfId="30387"/>
    <cellStyle name="Vérification 2 2 3 3 6 3" xfId="9782"/>
    <cellStyle name="Vérification 2 2 3 3 6 3 2" xfId="26006"/>
    <cellStyle name="Vérification 2 2 3 3 6 3 2 2" xfId="38013"/>
    <cellStyle name="Vérification 2 2 3 3 6 3 3" xfId="15789"/>
    <cellStyle name="Vérification 2 2 3 3 6 3 4" xfId="32010"/>
    <cellStyle name="Vérification 2 2 3 3 6 4" xfId="19335"/>
    <cellStyle name="Vérification 2 2 3 3 6 4 2" xfId="33449"/>
    <cellStyle name="Vérification 2 2 3 3 6 5" xfId="11714"/>
    <cellStyle name="Vérification 2 2 3 3 6 6" xfId="27935"/>
    <cellStyle name="Vérification 2 2 3 3 7" xfId="3685"/>
    <cellStyle name="Vérification 2 2 3 3 7 2" xfId="8576"/>
    <cellStyle name="Vérification 2 2 3 3 7 2 2" xfId="24800"/>
    <cellStyle name="Vérification 2 2 3 3 7 2 2 2" xfId="36807"/>
    <cellStyle name="Vérification 2 2 3 3 7 2 3" xfId="14583"/>
    <cellStyle name="Vérification 2 2 3 3 7 2 4" xfId="30804"/>
    <cellStyle name="Vérification 2 2 3 3 7 3" xfId="19913"/>
    <cellStyle name="Vérification 2 2 3 3 7 3 2" xfId="34027"/>
    <cellStyle name="Vérification 2 2 3 3 7 4" xfId="12131"/>
    <cellStyle name="Vérification 2 2 3 3 7 5" xfId="28352"/>
    <cellStyle name="Vérification 2 2 3 3 8" xfId="6911"/>
    <cellStyle name="Vérification 2 2 3 3 8 2" xfId="23135"/>
    <cellStyle name="Vérification 2 2 3 3 8 2 2" xfId="35142"/>
    <cellStyle name="Vérification 2 2 3 3 8 3" xfId="11556"/>
    <cellStyle name="Vérification 2 2 3 3 8 4" xfId="27777"/>
    <cellStyle name="Vérification 2 2 3 3 9" xfId="16781"/>
    <cellStyle name="Vérification 2 2 3 3 9 2" xfId="32677"/>
    <cellStyle name="Vérification 2 2 3 4" xfId="585"/>
    <cellStyle name="Vérification 2 2 3 4 10" xfId="10472"/>
    <cellStyle name="Vérification 2 2 3 4 11" xfId="26697"/>
    <cellStyle name="Vérification 2 2 3 4 2" xfId="1391"/>
    <cellStyle name="Vérification 2 2 3 4 2 2" xfId="2869"/>
    <cellStyle name="Vérification 2 2 3 4 2 2 2" xfId="6557"/>
    <cellStyle name="Vérification 2 2 3 4 2 2 2 2" xfId="8938"/>
    <cellStyle name="Vérification 2 2 3 4 2 2 2 2 2" xfId="25162"/>
    <cellStyle name="Vérification 2 2 3 4 2 2 2 2 2 2" xfId="37169"/>
    <cellStyle name="Vérification 2 2 3 4 2 2 2 2 3" xfId="14945"/>
    <cellStyle name="Vérification 2 2 3 4 2 2 2 2 4" xfId="31166"/>
    <cellStyle name="Vérification 2 2 3 4 2 2 2 3" xfId="10316"/>
    <cellStyle name="Vérification 2 2 3 4 2 2 2 3 2" xfId="26540"/>
    <cellStyle name="Vérification 2 2 3 4 2 2 2 3 2 2" xfId="38547"/>
    <cellStyle name="Vérification 2 2 3 4 2 2 2 3 3" xfId="16323"/>
    <cellStyle name="Vérification 2 2 3 4 2 2 2 3 4" xfId="32544"/>
    <cellStyle name="Vérification 2 2 3 4 2 2 2 4" xfId="22781"/>
    <cellStyle name="Vérification 2 2 3 4 2 2 2 4 2" xfId="34788"/>
    <cellStyle name="Vérification 2 2 3 4 2 2 2 5" xfId="12642"/>
    <cellStyle name="Vérification 2 2 3 4 2 2 2 6" xfId="28863"/>
    <cellStyle name="Vérification 2 2 3 4 2 2 3" xfId="7605"/>
    <cellStyle name="Vérification 2 2 3 4 2 2 3 2" xfId="9649"/>
    <cellStyle name="Vérification 2 2 3 4 2 2 3 2 2" xfId="25873"/>
    <cellStyle name="Vérification 2 2 3 4 2 2 3 2 2 2" xfId="37880"/>
    <cellStyle name="Vérification 2 2 3 4 2 2 3 2 3" xfId="15656"/>
    <cellStyle name="Vérification 2 2 3 4 2 2 3 2 4" xfId="31877"/>
    <cellStyle name="Vérification 2 2 3 4 2 2 3 3" xfId="23829"/>
    <cellStyle name="Vérification 2 2 3 4 2 2 3 3 2" xfId="35836"/>
    <cellStyle name="Vérification 2 2 3 4 2 2 3 4" xfId="13353"/>
    <cellStyle name="Vérification 2 2 3 4 2 2 3 5" xfId="29574"/>
    <cellStyle name="Vérification 2 2 3 4 2 2 4" xfId="7982"/>
    <cellStyle name="Vérification 2 2 3 4 2 2 4 2" xfId="24206"/>
    <cellStyle name="Vérification 2 2 3 4 2 2 4 2 2" xfId="36213"/>
    <cellStyle name="Vérification 2 2 3 4 2 2 4 3" xfId="13989"/>
    <cellStyle name="Vérification 2 2 3 4 2 2 4 4" xfId="30210"/>
    <cellStyle name="Vérification 2 2 3 4 2 2 5" xfId="19097"/>
    <cellStyle name="Vérification 2 2 3 4 2 2 5 2" xfId="33211"/>
    <cellStyle name="Vérification 2 2 3 4 2 2 6" xfId="11338"/>
    <cellStyle name="Vérification 2 2 3 4 2 2 7" xfId="27559"/>
    <cellStyle name="Vérification 2 2 3 4 2 3" xfId="5088"/>
    <cellStyle name="Vérification 2 2 3 4 2 3 2" xfId="7115"/>
    <cellStyle name="Vérification 2 2 3 4 2 3 2 2" xfId="9316"/>
    <cellStyle name="Vérification 2 2 3 4 2 3 2 2 2" xfId="25540"/>
    <cellStyle name="Vérification 2 2 3 4 2 3 2 2 2 2" xfId="37547"/>
    <cellStyle name="Vérification 2 2 3 4 2 3 2 2 3" xfId="15323"/>
    <cellStyle name="Vérification 2 2 3 4 2 3 2 2 4" xfId="31544"/>
    <cellStyle name="Vérification 2 2 3 4 2 3 2 3" xfId="23339"/>
    <cellStyle name="Vérification 2 2 3 4 2 3 2 3 2" xfId="35346"/>
    <cellStyle name="Vérification 2 2 3 4 2 3 2 4" xfId="13020"/>
    <cellStyle name="Vérification 2 2 3 4 2 3 2 5" xfId="29241"/>
    <cellStyle name="Vérification 2 2 3 4 2 3 3" xfId="7279"/>
    <cellStyle name="Vérification 2 2 3 4 2 3 3 2" xfId="23503"/>
    <cellStyle name="Vérification 2 2 3 4 2 3 3 2 2" xfId="35510"/>
    <cellStyle name="Vérification 2 2 3 4 2 3 3 3" xfId="13663"/>
    <cellStyle name="Vérification 2 2 3 4 2 3 3 4" xfId="29884"/>
    <cellStyle name="Vérification 2 2 3 4 2 3 4" xfId="21314"/>
    <cellStyle name="Vérification 2 2 3 4 2 3 4 2" xfId="34455"/>
    <cellStyle name="Vérification 2 2 3 4 2 3 5" xfId="11002"/>
    <cellStyle name="Vérification 2 2 3 4 2 3 6" xfId="27225"/>
    <cellStyle name="Vérification 2 2 3 4 2 4" xfId="3479"/>
    <cellStyle name="Vérification 2 2 3 4 2 4 2" xfId="8446"/>
    <cellStyle name="Vérification 2 2 3 4 2 4 2 2" xfId="24670"/>
    <cellStyle name="Vérification 2 2 3 4 2 4 2 2 2" xfId="36677"/>
    <cellStyle name="Vérification 2 2 3 4 2 4 2 3" xfId="14453"/>
    <cellStyle name="Vérification 2 2 3 4 2 4 2 4" xfId="30674"/>
    <cellStyle name="Vérification 2 2 3 4 2 4 3" xfId="9983"/>
    <cellStyle name="Vérification 2 2 3 4 2 4 3 2" xfId="26207"/>
    <cellStyle name="Vérification 2 2 3 4 2 4 3 2 2" xfId="38214"/>
    <cellStyle name="Vérification 2 2 3 4 2 4 3 3" xfId="15990"/>
    <cellStyle name="Vérification 2 2 3 4 2 4 3 4" xfId="32211"/>
    <cellStyle name="Vérification 2 2 3 4 2 4 4" xfId="19707"/>
    <cellStyle name="Vérification 2 2 3 4 2 4 4 2" xfId="33821"/>
    <cellStyle name="Vérification 2 2 3 4 2 4 5" xfId="12001"/>
    <cellStyle name="Vérification 2 2 3 4 2 4 6" xfId="28222"/>
    <cellStyle name="Vérification 2 2 3 4 2 5" xfId="3713"/>
    <cellStyle name="Vérification 2 2 3 4 2 5 2" xfId="8596"/>
    <cellStyle name="Vérification 2 2 3 4 2 5 2 2" xfId="24820"/>
    <cellStyle name="Vérification 2 2 3 4 2 5 2 2 2" xfId="36827"/>
    <cellStyle name="Vérification 2 2 3 4 2 5 2 3" xfId="14603"/>
    <cellStyle name="Vérification 2 2 3 4 2 5 2 4" xfId="30824"/>
    <cellStyle name="Vérification 2 2 3 4 2 5 3" xfId="19941"/>
    <cellStyle name="Vérification 2 2 3 4 2 5 3 2" xfId="34055"/>
    <cellStyle name="Vérification 2 2 3 4 2 5 4" xfId="12151"/>
    <cellStyle name="Vérification 2 2 3 4 2 5 5" xfId="28372"/>
    <cellStyle name="Vérification 2 2 3 4 2 6" xfId="3161"/>
    <cellStyle name="Vérification 2 2 3 4 2 6 2" xfId="19389"/>
    <cellStyle name="Vérification 2 2 3 4 2 6 2 2" xfId="33503"/>
    <cellStyle name="Vérification 2 2 3 4 2 6 3" xfId="11500"/>
    <cellStyle name="Vérification 2 2 3 4 2 6 4" xfId="27721"/>
    <cellStyle name="Vérification 2 2 3 4 2 7" xfId="17630"/>
    <cellStyle name="Vérification 2 2 3 4 2 7 2" xfId="32878"/>
    <cellStyle name="Vérification 2 2 3 4 2 8" xfId="10650"/>
    <cellStyle name="Vérification 2 2 3 4 2 9" xfId="26875"/>
    <cellStyle name="Vérification 2 2 3 4 3" xfId="1182"/>
    <cellStyle name="Vérification 2 2 3 4 3 2" xfId="2780"/>
    <cellStyle name="Vérification 2 2 3 4 3 2 2" xfId="6468"/>
    <cellStyle name="Vérification 2 2 3 4 3 2 2 2" xfId="8849"/>
    <cellStyle name="Vérification 2 2 3 4 3 2 2 2 2" xfId="25073"/>
    <cellStyle name="Vérification 2 2 3 4 3 2 2 2 2 2" xfId="37080"/>
    <cellStyle name="Vérification 2 2 3 4 3 2 2 2 3" xfId="14856"/>
    <cellStyle name="Vérification 2 2 3 4 3 2 2 2 4" xfId="31077"/>
    <cellStyle name="Vérification 2 2 3 4 3 2 2 3" xfId="10227"/>
    <cellStyle name="Vérification 2 2 3 4 3 2 2 3 2" xfId="26451"/>
    <cellStyle name="Vérification 2 2 3 4 3 2 2 3 2 2" xfId="38458"/>
    <cellStyle name="Vérification 2 2 3 4 3 2 2 3 3" xfId="16234"/>
    <cellStyle name="Vérification 2 2 3 4 3 2 2 3 4" xfId="32455"/>
    <cellStyle name="Vérification 2 2 3 4 3 2 2 4" xfId="22692"/>
    <cellStyle name="Vérification 2 2 3 4 3 2 2 4 2" xfId="34699"/>
    <cellStyle name="Vérification 2 2 3 4 3 2 2 5" xfId="12553"/>
    <cellStyle name="Vérification 2 2 3 4 3 2 2 6" xfId="28774"/>
    <cellStyle name="Vérification 2 2 3 4 3 2 3" xfId="7516"/>
    <cellStyle name="Vérification 2 2 3 4 3 2 3 2" xfId="9560"/>
    <cellStyle name="Vérification 2 2 3 4 3 2 3 2 2" xfId="25784"/>
    <cellStyle name="Vérification 2 2 3 4 3 2 3 2 2 2" xfId="37791"/>
    <cellStyle name="Vérification 2 2 3 4 3 2 3 2 3" xfId="15567"/>
    <cellStyle name="Vérification 2 2 3 4 3 2 3 2 4" xfId="31788"/>
    <cellStyle name="Vérification 2 2 3 4 3 2 3 3" xfId="23740"/>
    <cellStyle name="Vérification 2 2 3 4 3 2 3 3 2" xfId="35747"/>
    <cellStyle name="Vérification 2 2 3 4 3 2 3 4" xfId="13264"/>
    <cellStyle name="Vérification 2 2 3 4 3 2 3 5" xfId="29485"/>
    <cellStyle name="Vérification 2 2 3 4 3 2 4" xfId="7893"/>
    <cellStyle name="Vérification 2 2 3 4 3 2 4 2" xfId="24117"/>
    <cellStyle name="Vérification 2 2 3 4 3 2 4 2 2" xfId="36124"/>
    <cellStyle name="Vérification 2 2 3 4 3 2 4 3" xfId="13900"/>
    <cellStyle name="Vérification 2 2 3 4 3 2 4 4" xfId="30121"/>
    <cellStyle name="Vérification 2 2 3 4 3 2 5" xfId="19008"/>
    <cellStyle name="Vérification 2 2 3 4 3 2 5 2" xfId="33122"/>
    <cellStyle name="Vérification 2 2 3 4 3 2 6" xfId="11249"/>
    <cellStyle name="Vérification 2 2 3 4 3 2 7" xfId="27470"/>
    <cellStyle name="Vérification 2 2 3 4 3 3" xfId="4879"/>
    <cellStyle name="Vérification 2 2 3 4 3 3 2" xfId="7013"/>
    <cellStyle name="Vérification 2 2 3 4 3 3 2 2" xfId="9227"/>
    <cellStyle name="Vérification 2 2 3 4 3 3 2 2 2" xfId="25451"/>
    <cellStyle name="Vérification 2 2 3 4 3 3 2 2 2 2" xfId="37458"/>
    <cellStyle name="Vérification 2 2 3 4 3 3 2 2 3" xfId="15234"/>
    <cellStyle name="Vérification 2 2 3 4 3 3 2 2 4" xfId="31455"/>
    <cellStyle name="Vérification 2 2 3 4 3 3 2 3" xfId="23237"/>
    <cellStyle name="Vérification 2 2 3 4 3 3 2 3 2" xfId="35244"/>
    <cellStyle name="Vérification 2 2 3 4 3 3 2 4" xfId="12931"/>
    <cellStyle name="Vérification 2 2 3 4 3 3 2 5" xfId="29152"/>
    <cellStyle name="Vérification 2 2 3 4 3 3 3" xfId="7234"/>
    <cellStyle name="Vérification 2 2 3 4 3 3 3 2" xfId="23458"/>
    <cellStyle name="Vérification 2 2 3 4 3 3 3 2 2" xfId="35465"/>
    <cellStyle name="Vérification 2 2 3 4 3 3 3 3" xfId="13618"/>
    <cellStyle name="Vérification 2 2 3 4 3 3 3 4" xfId="29839"/>
    <cellStyle name="Vérification 2 2 3 4 3 3 4" xfId="21105"/>
    <cellStyle name="Vérification 2 2 3 4 3 3 4 2" xfId="34366"/>
    <cellStyle name="Vérification 2 2 3 4 3 3 5" xfId="10913"/>
    <cellStyle name="Vérification 2 2 3 4 3 3 6" xfId="27136"/>
    <cellStyle name="Vérification 2 2 3 4 3 4" xfId="3365"/>
    <cellStyle name="Vérification 2 2 3 4 3 4 2" xfId="8341"/>
    <cellStyle name="Vérification 2 2 3 4 3 4 2 2" xfId="24565"/>
    <cellStyle name="Vérification 2 2 3 4 3 4 2 2 2" xfId="36572"/>
    <cellStyle name="Vérification 2 2 3 4 3 4 2 3" xfId="14348"/>
    <cellStyle name="Vérification 2 2 3 4 3 4 2 4" xfId="30569"/>
    <cellStyle name="Vérification 2 2 3 4 3 4 3" xfId="9894"/>
    <cellStyle name="Vérification 2 2 3 4 3 4 3 2" xfId="26118"/>
    <cellStyle name="Vérification 2 2 3 4 3 4 3 2 2" xfId="38125"/>
    <cellStyle name="Vérification 2 2 3 4 3 4 3 3" xfId="15901"/>
    <cellStyle name="Vérification 2 2 3 4 3 4 3 4" xfId="32122"/>
    <cellStyle name="Vérification 2 2 3 4 3 4 4" xfId="19593"/>
    <cellStyle name="Vérification 2 2 3 4 3 4 4 2" xfId="33707"/>
    <cellStyle name="Vérification 2 2 3 4 3 4 5" xfId="11896"/>
    <cellStyle name="Vérification 2 2 3 4 3 4 6" xfId="28117"/>
    <cellStyle name="Vérification 2 2 3 4 3 5" xfId="3225"/>
    <cellStyle name="Vérification 2 2 3 4 3 5 2" xfId="8244"/>
    <cellStyle name="Vérification 2 2 3 4 3 5 2 2" xfId="24468"/>
    <cellStyle name="Vérification 2 2 3 4 3 5 2 2 2" xfId="36475"/>
    <cellStyle name="Vérification 2 2 3 4 3 5 2 3" xfId="14251"/>
    <cellStyle name="Vérification 2 2 3 4 3 5 2 4" xfId="30472"/>
    <cellStyle name="Vérification 2 2 3 4 3 5 3" xfId="19453"/>
    <cellStyle name="Vérification 2 2 3 4 3 5 3 2" xfId="33567"/>
    <cellStyle name="Vérification 2 2 3 4 3 5 4" xfId="11799"/>
    <cellStyle name="Vérification 2 2 3 4 3 5 5" xfId="28020"/>
    <cellStyle name="Vérification 2 2 3 4 3 6" xfId="7232"/>
    <cellStyle name="Vérification 2 2 3 4 3 6 2" xfId="23456"/>
    <cellStyle name="Vérification 2 2 3 4 3 6 2 2" xfId="35463"/>
    <cellStyle name="Vérification 2 2 3 4 3 6 3" xfId="13616"/>
    <cellStyle name="Vérification 2 2 3 4 3 6 4" xfId="29837"/>
    <cellStyle name="Vérification 2 2 3 4 3 7" xfId="17421"/>
    <cellStyle name="Vérification 2 2 3 4 3 7 2" xfId="32789"/>
    <cellStyle name="Vérification 2 2 3 4 3 8" xfId="10561"/>
    <cellStyle name="Vérification 2 2 3 4 3 9" xfId="26786"/>
    <cellStyle name="Vérification 2 2 3 4 4" xfId="2691"/>
    <cellStyle name="Vérification 2 2 3 4 4 2" xfId="6379"/>
    <cellStyle name="Vérification 2 2 3 4 4 2 2" xfId="8760"/>
    <cellStyle name="Vérification 2 2 3 4 4 2 2 2" xfId="24984"/>
    <cellStyle name="Vérification 2 2 3 4 4 2 2 2 2" xfId="36991"/>
    <cellStyle name="Vérification 2 2 3 4 4 2 2 3" xfId="14767"/>
    <cellStyle name="Vérification 2 2 3 4 4 2 2 4" xfId="30988"/>
    <cellStyle name="Vérification 2 2 3 4 4 2 3" xfId="10138"/>
    <cellStyle name="Vérification 2 2 3 4 4 2 3 2" xfId="26362"/>
    <cellStyle name="Vérification 2 2 3 4 4 2 3 2 2" xfId="38369"/>
    <cellStyle name="Vérification 2 2 3 4 4 2 3 3" xfId="16145"/>
    <cellStyle name="Vérification 2 2 3 4 4 2 3 4" xfId="32366"/>
    <cellStyle name="Vérification 2 2 3 4 4 2 4" xfId="22603"/>
    <cellStyle name="Vérification 2 2 3 4 4 2 4 2" xfId="34610"/>
    <cellStyle name="Vérification 2 2 3 4 4 2 5" xfId="12464"/>
    <cellStyle name="Vérification 2 2 3 4 4 2 6" xfId="28685"/>
    <cellStyle name="Vérification 2 2 3 4 4 3" xfId="7427"/>
    <cellStyle name="Vérification 2 2 3 4 4 3 2" xfId="9471"/>
    <cellStyle name="Vérification 2 2 3 4 4 3 2 2" xfId="25695"/>
    <cellStyle name="Vérification 2 2 3 4 4 3 2 2 2" xfId="37702"/>
    <cellStyle name="Vérification 2 2 3 4 4 3 2 3" xfId="15478"/>
    <cellStyle name="Vérification 2 2 3 4 4 3 2 4" xfId="31699"/>
    <cellStyle name="Vérification 2 2 3 4 4 3 3" xfId="23651"/>
    <cellStyle name="Vérification 2 2 3 4 4 3 3 2" xfId="35658"/>
    <cellStyle name="Vérification 2 2 3 4 4 3 4" xfId="13175"/>
    <cellStyle name="Vérification 2 2 3 4 4 3 5" xfId="29396"/>
    <cellStyle name="Vérification 2 2 3 4 4 4" xfId="7804"/>
    <cellStyle name="Vérification 2 2 3 4 4 4 2" xfId="24028"/>
    <cellStyle name="Vérification 2 2 3 4 4 4 2 2" xfId="36035"/>
    <cellStyle name="Vérification 2 2 3 4 4 4 3" xfId="13811"/>
    <cellStyle name="Vérification 2 2 3 4 4 4 4" xfId="30032"/>
    <cellStyle name="Vérification 2 2 3 4 4 5" xfId="18919"/>
    <cellStyle name="Vérification 2 2 3 4 4 5 2" xfId="33033"/>
    <cellStyle name="Vérification 2 2 3 4 4 6" xfId="11160"/>
    <cellStyle name="Vérification 2 2 3 4 4 7" xfId="27381"/>
    <cellStyle name="Vérification 2 2 3 4 5" xfId="4304"/>
    <cellStyle name="Vérification 2 2 3 4 5 2" xfId="6852"/>
    <cellStyle name="Vérification 2 2 3 4 5 2 2" xfId="9138"/>
    <cellStyle name="Vérification 2 2 3 4 5 2 2 2" xfId="25362"/>
    <cellStyle name="Vérification 2 2 3 4 5 2 2 2 2" xfId="37369"/>
    <cellStyle name="Vérification 2 2 3 4 5 2 2 3" xfId="15145"/>
    <cellStyle name="Vérification 2 2 3 4 5 2 2 4" xfId="31366"/>
    <cellStyle name="Vérification 2 2 3 4 5 2 3" xfId="23076"/>
    <cellStyle name="Vérification 2 2 3 4 5 2 3 2" xfId="35083"/>
    <cellStyle name="Vérification 2 2 3 4 5 2 4" xfId="12842"/>
    <cellStyle name="Vérification 2 2 3 4 5 2 5" xfId="29063"/>
    <cellStyle name="Vérification 2 2 3 4 5 3" xfId="7222"/>
    <cellStyle name="Vérification 2 2 3 4 5 3 2" xfId="23446"/>
    <cellStyle name="Vérification 2 2 3 4 5 3 2 2" xfId="35453"/>
    <cellStyle name="Vérification 2 2 3 4 5 3 3" xfId="13606"/>
    <cellStyle name="Vérification 2 2 3 4 5 3 4" xfId="29827"/>
    <cellStyle name="Vérification 2 2 3 4 5 4" xfId="20530"/>
    <cellStyle name="Vérification 2 2 3 4 5 4 2" xfId="34277"/>
    <cellStyle name="Vérification 2 2 3 4 5 5" xfId="10819"/>
    <cellStyle name="Vérification 2 2 3 4 5 6" xfId="27042"/>
    <cellStyle name="Vérification 2 2 3 4 6" xfId="3143"/>
    <cellStyle name="Vérification 2 2 3 4 6 2" xfId="8187"/>
    <cellStyle name="Vérification 2 2 3 4 6 2 2" xfId="24411"/>
    <cellStyle name="Vérification 2 2 3 4 6 2 2 2" xfId="36418"/>
    <cellStyle name="Vérification 2 2 3 4 6 2 3" xfId="14194"/>
    <cellStyle name="Vérification 2 2 3 4 6 2 4" xfId="30415"/>
    <cellStyle name="Vérification 2 2 3 4 6 3" xfId="9805"/>
    <cellStyle name="Vérification 2 2 3 4 6 3 2" xfId="26029"/>
    <cellStyle name="Vérification 2 2 3 4 6 3 2 2" xfId="38036"/>
    <cellStyle name="Vérification 2 2 3 4 6 3 3" xfId="15812"/>
    <cellStyle name="Vérification 2 2 3 4 6 3 4" xfId="32033"/>
    <cellStyle name="Vérification 2 2 3 4 6 4" xfId="19371"/>
    <cellStyle name="Vérification 2 2 3 4 6 4 2" xfId="33485"/>
    <cellStyle name="Vérification 2 2 3 4 6 5" xfId="11742"/>
    <cellStyle name="Vérification 2 2 3 4 6 6" xfId="27963"/>
    <cellStyle name="Vérification 2 2 3 4 7" xfId="3724"/>
    <cellStyle name="Vérification 2 2 3 4 7 2" xfId="8601"/>
    <cellStyle name="Vérification 2 2 3 4 7 2 2" xfId="24825"/>
    <cellStyle name="Vérification 2 2 3 4 7 2 2 2" xfId="36832"/>
    <cellStyle name="Vérification 2 2 3 4 7 2 3" xfId="14608"/>
    <cellStyle name="Vérification 2 2 3 4 7 2 4" xfId="30829"/>
    <cellStyle name="Vérification 2 2 3 4 7 3" xfId="19952"/>
    <cellStyle name="Vérification 2 2 3 4 7 3 2" xfId="34066"/>
    <cellStyle name="Vérification 2 2 3 4 7 4" xfId="12156"/>
    <cellStyle name="Vérification 2 2 3 4 7 5" xfId="28377"/>
    <cellStyle name="Vérification 2 2 3 4 8" xfId="7216"/>
    <cellStyle name="Vérification 2 2 3 4 8 2" xfId="23440"/>
    <cellStyle name="Vérification 2 2 3 4 8 2 2" xfId="35447"/>
    <cellStyle name="Vérification 2 2 3 4 8 3" xfId="13600"/>
    <cellStyle name="Vérification 2 2 3 4 8 4" xfId="29821"/>
    <cellStyle name="Vérification 2 2 3 4 9" xfId="16846"/>
    <cellStyle name="Vérification 2 2 3 4 9 2" xfId="32700"/>
    <cellStyle name="Vérification 2 2 3 5" xfId="745"/>
    <cellStyle name="Vérification 2 2 3 5 10" xfId="26719"/>
    <cellStyle name="Vérification 2 2 3 5 2" xfId="1413"/>
    <cellStyle name="Vérification 2 2 3 5 2 2" xfId="2891"/>
    <cellStyle name="Vérification 2 2 3 5 2 2 2" xfId="6579"/>
    <cellStyle name="Vérification 2 2 3 5 2 2 2 2" xfId="8960"/>
    <cellStyle name="Vérification 2 2 3 5 2 2 2 2 2" xfId="25184"/>
    <cellStyle name="Vérification 2 2 3 5 2 2 2 2 2 2" xfId="37191"/>
    <cellStyle name="Vérification 2 2 3 5 2 2 2 2 3" xfId="14967"/>
    <cellStyle name="Vérification 2 2 3 5 2 2 2 2 4" xfId="31188"/>
    <cellStyle name="Vérification 2 2 3 5 2 2 2 3" xfId="10338"/>
    <cellStyle name="Vérification 2 2 3 5 2 2 2 3 2" xfId="26562"/>
    <cellStyle name="Vérification 2 2 3 5 2 2 2 3 2 2" xfId="38569"/>
    <cellStyle name="Vérification 2 2 3 5 2 2 2 3 3" xfId="16345"/>
    <cellStyle name="Vérification 2 2 3 5 2 2 2 3 4" xfId="32566"/>
    <cellStyle name="Vérification 2 2 3 5 2 2 2 4" xfId="22803"/>
    <cellStyle name="Vérification 2 2 3 5 2 2 2 4 2" xfId="34810"/>
    <cellStyle name="Vérification 2 2 3 5 2 2 2 5" xfId="12664"/>
    <cellStyle name="Vérification 2 2 3 5 2 2 2 6" xfId="28885"/>
    <cellStyle name="Vérification 2 2 3 5 2 2 3" xfId="7627"/>
    <cellStyle name="Vérification 2 2 3 5 2 2 3 2" xfId="9671"/>
    <cellStyle name="Vérification 2 2 3 5 2 2 3 2 2" xfId="25895"/>
    <cellStyle name="Vérification 2 2 3 5 2 2 3 2 2 2" xfId="37902"/>
    <cellStyle name="Vérification 2 2 3 5 2 2 3 2 3" xfId="15678"/>
    <cellStyle name="Vérification 2 2 3 5 2 2 3 2 4" xfId="31899"/>
    <cellStyle name="Vérification 2 2 3 5 2 2 3 3" xfId="23851"/>
    <cellStyle name="Vérification 2 2 3 5 2 2 3 3 2" xfId="35858"/>
    <cellStyle name="Vérification 2 2 3 5 2 2 3 4" xfId="13375"/>
    <cellStyle name="Vérification 2 2 3 5 2 2 3 5" xfId="29596"/>
    <cellStyle name="Vérification 2 2 3 5 2 2 4" xfId="8004"/>
    <cellStyle name="Vérification 2 2 3 5 2 2 4 2" xfId="24228"/>
    <cellStyle name="Vérification 2 2 3 5 2 2 4 2 2" xfId="36235"/>
    <cellStyle name="Vérification 2 2 3 5 2 2 4 3" xfId="14011"/>
    <cellStyle name="Vérification 2 2 3 5 2 2 4 4" xfId="30232"/>
    <cellStyle name="Vérification 2 2 3 5 2 2 5" xfId="19119"/>
    <cellStyle name="Vérification 2 2 3 5 2 2 5 2" xfId="33233"/>
    <cellStyle name="Vérification 2 2 3 5 2 2 6" xfId="11360"/>
    <cellStyle name="Vérification 2 2 3 5 2 2 7" xfId="27581"/>
    <cellStyle name="Vérification 2 2 3 5 2 3" xfId="5110"/>
    <cellStyle name="Vérification 2 2 3 5 2 3 2" xfId="7137"/>
    <cellStyle name="Vérification 2 2 3 5 2 3 2 2" xfId="9338"/>
    <cellStyle name="Vérification 2 2 3 5 2 3 2 2 2" xfId="25562"/>
    <cellStyle name="Vérification 2 2 3 5 2 3 2 2 2 2" xfId="37569"/>
    <cellStyle name="Vérification 2 2 3 5 2 3 2 2 3" xfId="15345"/>
    <cellStyle name="Vérification 2 2 3 5 2 3 2 2 4" xfId="31566"/>
    <cellStyle name="Vérification 2 2 3 5 2 3 2 3" xfId="23361"/>
    <cellStyle name="Vérification 2 2 3 5 2 3 2 3 2" xfId="35368"/>
    <cellStyle name="Vérification 2 2 3 5 2 3 2 4" xfId="13042"/>
    <cellStyle name="Vérification 2 2 3 5 2 3 2 5" xfId="29263"/>
    <cellStyle name="Vérification 2 2 3 5 2 3 3" xfId="7005"/>
    <cellStyle name="Vérification 2 2 3 5 2 3 3 2" xfId="23229"/>
    <cellStyle name="Vérification 2 2 3 5 2 3 3 2 2" xfId="35236"/>
    <cellStyle name="Vérification 2 2 3 5 2 3 3 3" xfId="12319"/>
    <cellStyle name="Vérification 2 2 3 5 2 3 3 4" xfId="28540"/>
    <cellStyle name="Vérification 2 2 3 5 2 3 4" xfId="21336"/>
    <cellStyle name="Vérification 2 2 3 5 2 3 4 2" xfId="34477"/>
    <cellStyle name="Vérification 2 2 3 5 2 3 5" xfId="11024"/>
    <cellStyle name="Vérification 2 2 3 5 2 3 6" xfId="27247"/>
    <cellStyle name="Vérification 2 2 3 5 2 4" xfId="3501"/>
    <cellStyle name="Vérification 2 2 3 5 2 4 2" xfId="8468"/>
    <cellStyle name="Vérification 2 2 3 5 2 4 2 2" xfId="24692"/>
    <cellStyle name="Vérification 2 2 3 5 2 4 2 2 2" xfId="36699"/>
    <cellStyle name="Vérification 2 2 3 5 2 4 2 3" xfId="14475"/>
    <cellStyle name="Vérification 2 2 3 5 2 4 2 4" xfId="30696"/>
    <cellStyle name="Vérification 2 2 3 5 2 4 3" xfId="10005"/>
    <cellStyle name="Vérification 2 2 3 5 2 4 3 2" xfId="26229"/>
    <cellStyle name="Vérification 2 2 3 5 2 4 3 2 2" xfId="38236"/>
    <cellStyle name="Vérification 2 2 3 5 2 4 3 3" xfId="16012"/>
    <cellStyle name="Vérification 2 2 3 5 2 4 3 4" xfId="32233"/>
    <cellStyle name="Vérification 2 2 3 5 2 4 4" xfId="19729"/>
    <cellStyle name="Vérification 2 2 3 5 2 4 4 2" xfId="33843"/>
    <cellStyle name="Vérification 2 2 3 5 2 4 5" xfId="12023"/>
    <cellStyle name="Vérification 2 2 3 5 2 4 6" xfId="28244"/>
    <cellStyle name="Vérification 2 2 3 5 2 5" xfId="3749"/>
    <cellStyle name="Vérification 2 2 3 5 2 5 2" xfId="8612"/>
    <cellStyle name="Vérification 2 2 3 5 2 5 2 2" xfId="24836"/>
    <cellStyle name="Vérification 2 2 3 5 2 5 2 2 2" xfId="36843"/>
    <cellStyle name="Vérification 2 2 3 5 2 5 2 3" xfId="14619"/>
    <cellStyle name="Vérification 2 2 3 5 2 5 2 4" xfId="30840"/>
    <cellStyle name="Vérification 2 2 3 5 2 5 3" xfId="19977"/>
    <cellStyle name="Vérification 2 2 3 5 2 5 3 2" xfId="34091"/>
    <cellStyle name="Vérification 2 2 3 5 2 5 4" xfId="12167"/>
    <cellStyle name="Vérification 2 2 3 5 2 5 5" xfId="28388"/>
    <cellStyle name="Vérification 2 2 3 5 2 6" xfId="7159"/>
    <cellStyle name="Vérification 2 2 3 5 2 6 2" xfId="23383"/>
    <cellStyle name="Vérification 2 2 3 5 2 6 2 2" xfId="35390"/>
    <cellStyle name="Vérification 2 2 3 5 2 6 3" xfId="13543"/>
    <cellStyle name="Vérification 2 2 3 5 2 6 4" xfId="29764"/>
    <cellStyle name="Vérification 2 2 3 5 2 7" xfId="17652"/>
    <cellStyle name="Vérification 2 2 3 5 2 7 2" xfId="32900"/>
    <cellStyle name="Vérification 2 2 3 5 2 8" xfId="10672"/>
    <cellStyle name="Vérification 2 2 3 5 2 9" xfId="26897"/>
    <cellStyle name="Vérification 2 2 3 5 3" xfId="2713"/>
    <cellStyle name="Vérification 2 2 3 5 3 2" xfId="6401"/>
    <cellStyle name="Vérification 2 2 3 5 3 2 2" xfId="8782"/>
    <cellStyle name="Vérification 2 2 3 5 3 2 2 2" xfId="25006"/>
    <cellStyle name="Vérification 2 2 3 5 3 2 2 2 2" xfId="37013"/>
    <cellStyle name="Vérification 2 2 3 5 3 2 2 3" xfId="14789"/>
    <cellStyle name="Vérification 2 2 3 5 3 2 2 4" xfId="31010"/>
    <cellStyle name="Vérification 2 2 3 5 3 2 3" xfId="10160"/>
    <cellStyle name="Vérification 2 2 3 5 3 2 3 2" xfId="26384"/>
    <cellStyle name="Vérification 2 2 3 5 3 2 3 2 2" xfId="38391"/>
    <cellStyle name="Vérification 2 2 3 5 3 2 3 3" xfId="16167"/>
    <cellStyle name="Vérification 2 2 3 5 3 2 3 4" xfId="32388"/>
    <cellStyle name="Vérification 2 2 3 5 3 2 4" xfId="22625"/>
    <cellStyle name="Vérification 2 2 3 5 3 2 4 2" xfId="34632"/>
    <cellStyle name="Vérification 2 2 3 5 3 2 5" xfId="12486"/>
    <cellStyle name="Vérification 2 2 3 5 3 2 6" xfId="28707"/>
    <cellStyle name="Vérification 2 2 3 5 3 3" xfId="7449"/>
    <cellStyle name="Vérification 2 2 3 5 3 3 2" xfId="9493"/>
    <cellStyle name="Vérification 2 2 3 5 3 3 2 2" xfId="25717"/>
    <cellStyle name="Vérification 2 2 3 5 3 3 2 2 2" xfId="37724"/>
    <cellStyle name="Vérification 2 2 3 5 3 3 2 3" xfId="15500"/>
    <cellStyle name="Vérification 2 2 3 5 3 3 2 4" xfId="31721"/>
    <cellStyle name="Vérification 2 2 3 5 3 3 3" xfId="23673"/>
    <cellStyle name="Vérification 2 2 3 5 3 3 3 2" xfId="35680"/>
    <cellStyle name="Vérification 2 2 3 5 3 3 4" xfId="13197"/>
    <cellStyle name="Vérification 2 2 3 5 3 3 5" xfId="29418"/>
    <cellStyle name="Vérification 2 2 3 5 3 4" xfId="7826"/>
    <cellStyle name="Vérification 2 2 3 5 3 4 2" xfId="24050"/>
    <cellStyle name="Vérification 2 2 3 5 3 4 2 2" xfId="36057"/>
    <cellStyle name="Vérification 2 2 3 5 3 4 3" xfId="13833"/>
    <cellStyle name="Vérification 2 2 3 5 3 4 4" xfId="30054"/>
    <cellStyle name="Vérification 2 2 3 5 3 5" xfId="18941"/>
    <cellStyle name="Vérification 2 2 3 5 3 5 2" xfId="33055"/>
    <cellStyle name="Vérification 2 2 3 5 3 6" xfId="11182"/>
    <cellStyle name="Vérification 2 2 3 5 3 7" xfId="27403"/>
    <cellStyle name="Vérification 2 2 3 5 4" xfId="4446"/>
    <cellStyle name="Vérification 2 2 3 5 4 2" xfId="6891"/>
    <cellStyle name="Vérification 2 2 3 5 4 2 2" xfId="9160"/>
    <cellStyle name="Vérification 2 2 3 5 4 2 2 2" xfId="25384"/>
    <cellStyle name="Vérification 2 2 3 5 4 2 2 2 2" xfId="37391"/>
    <cellStyle name="Vérification 2 2 3 5 4 2 2 3" xfId="15167"/>
    <cellStyle name="Vérification 2 2 3 5 4 2 2 4" xfId="31388"/>
    <cellStyle name="Vérification 2 2 3 5 4 2 3" xfId="23115"/>
    <cellStyle name="Vérification 2 2 3 5 4 2 3 2" xfId="35122"/>
    <cellStyle name="Vérification 2 2 3 5 4 2 4" xfId="12864"/>
    <cellStyle name="Vérification 2 2 3 5 4 2 5" xfId="29085"/>
    <cellStyle name="Vérification 2 2 3 5 4 3" xfId="6762"/>
    <cellStyle name="Vérification 2 2 3 5 4 3 2" xfId="22986"/>
    <cellStyle name="Vérification 2 2 3 5 4 3 2 2" xfId="34993"/>
    <cellStyle name="Vérification 2 2 3 5 4 3 3" xfId="11601"/>
    <cellStyle name="Vérification 2 2 3 5 4 3 4" xfId="27822"/>
    <cellStyle name="Vérification 2 2 3 5 4 4" xfId="20672"/>
    <cellStyle name="Vérification 2 2 3 5 4 4 2" xfId="34299"/>
    <cellStyle name="Vérification 2 2 3 5 4 5" xfId="10845"/>
    <cellStyle name="Vérification 2 2 3 5 4 6" xfId="27068"/>
    <cellStyle name="Vérification 2 2 3 5 5" xfId="3202"/>
    <cellStyle name="Vérification 2 2 3 5 5 2" xfId="8223"/>
    <cellStyle name="Vérification 2 2 3 5 5 2 2" xfId="24447"/>
    <cellStyle name="Vérification 2 2 3 5 5 2 2 2" xfId="36454"/>
    <cellStyle name="Vérification 2 2 3 5 5 2 3" xfId="14230"/>
    <cellStyle name="Vérification 2 2 3 5 5 2 4" xfId="30451"/>
    <cellStyle name="Vérification 2 2 3 5 5 3" xfId="9827"/>
    <cellStyle name="Vérification 2 2 3 5 5 3 2" xfId="26051"/>
    <cellStyle name="Vérification 2 2 3 5 5 3 2 2" xfId="38058"/>
    <cellStyle name="Vérification 2 2 3 5 5 3 3" xfId="15834"/>
    <cellStyle name="Vérification 2 2 3 5 5 3 4" xfId="32055"/>
    <cellStyle name="Vérification 2 2 3 5 5 4" xfId="19430"/>
    <cellStyle name="Vérification 2 2 3 5 5 4 2" xfId="33544"/>
    <cellStyle name="Vérification 2 2 3 5 5 5" xfId="11778"/>
    <cellStyle name="Vérification 2 2 3 5 5 6" xfId="27999"/>
    <cellStyle name="Vérification 2 2 3 5 6" xfId="3778"/>
    <cellStyle name="Vérification 2 2 3 5 6 2" xfId="8626"/>
    <cellStyle name="Vérification 2 2 3 5 6 2 2" xfId="24850"/>
    <cellStyle name="Vérification 2 2 3 5 6 2 2 2" xfId="36857"/>
    <cellStyle name="Vérification 2 2 3 5 6 2 3" xfId="14633"/>
    <cellStyle name="Vérification 2 2 3 5 6 2 4" xfId="30854"/>
    <cellStyle name="Vérification 2 2 3 5 6 3" xfId="20006"/>
    <cellStyle name="Vérification 2 2 3 5 6 3 2" xfId="34120"/>
    <cellStyle name="Vérification 2 2 3 5 6 4" xfId="12181"/>
    <cellStyle name="Vérification 2 2 3 5 6 5" xfId="28402"/>
    <cellStyle name="Vérification 2 2 3 5 7" xfId="3127"/>
    <cellStyle name="Vérification 2 2 3 5 7 2" xfId="19355"/>
    <cellStyle name="Vérification 2 2 3 5 7 2 2" xfId="33469"/>
    <cellStyle name="Vérification 2 2 3 5 7 3" xfId="13522"/>
    <cellStyle name="Vérification 2 2 3 5 7 4" xfId="29743"/>
    <cellStyle name="Vérification 2 2 3 5 8" xfId="16988"/>
    <cellStyle name="Vérification 2 2 3 5 8 2" xfId="32722"/>
    <cellStyle name="Vérification 2 2 3 5 9" xfId="10494"/>
    <cellStyle name="Vérification 2 2 3 6" xfId="1324"/>
    <cellStyle name="Vérification 2 2 3 6 2" xfId="2802"/>
    <cellStyle name="Vérification 2 2 3 6 2 2" xfId="6490"/>
    <cellStyle name="Vérification 2 2 3 6 2 2 2" xfId="8871"/>
    <cellStyle name="Vérification 2 2 3 6 2 2 2 2" xfId="25095"/>
    <cellStyle name="Vérification 2 2 3 6 2 2 2 2 2" xfId="37102"/>
    <cellStyle name="Vérification 2 2 3 6 2 2 2 3" xfId="14878"/>
    <cellStyle name="Vérification 2 2 3 6 2 2 2 4" xfId="31099"/>
    <cellStyle name="Vérification 2 2 3 6 2 2 3" xfId="10249"/>
    <cellStyle name="Vérification 2 2 3 6 2 2 3 2" xfId="26473"/>
    <cellStyle name="Vérification 2 2 3 6 2 2 3 2 2" xfId="38480"/>
    <cellStyle name="Vérification 2 2 3 6 2 2 3 3" xfId="16256"/>
    <cellStyle name="Vérification 2 2 3 6 2 2 3 4" xfId="32477"/>
    <cellStyle name="Vérification 2 2 3 6 2 2 4" xfId="22714"/>
    <cellStyle name="Vérification 2 2 3 6 2 2 4 2" xfId="34721"/>
    <cellStyle name="Vérification 2 2 3 6 2 2 5" xfId="12575"/>
    <cellStyle name="Vérification 2 2 3 6 2 2 6" xfId="28796"/>
    <cellStyle name="Vérification 2 2 3 6 2 3" xfId="7538"/>
    <cellStyle name="Vérification 2 2 3 6 2 3 2" xfId="9582"/>
    <cellStyle name="Vérification 2 2 3 6 2 3 2 2" xfId="25806"/>
    <cellStyle name="Vérification 2 2 3 6 2 3 2 2 2" xfId="37813"/>
    <cellStyle name="Vérification 2 2 3 6 2 3 2 3" xfId="15589"/>
    <cellStyle name="Vérification 2 2 3 6 2 3 2 4" xfId="31810"/>
    <cellStyle name="Vérification 2 2 3 6 2 3 3" xfId="23762"/>
    <cellStyle name="Vérification 2 2 3 6 2 3 3 2" xfId="35769"/>
    <cellStyle name="Vérification 2 2 3 6 2 3 4" xfId="13286"/>
    <cellStyle name="Vérification 2 2 3 6 2 3 5" xfId="29507"/>
    <cellStyle name="Vérification 2 2 3 6 2 4" xfId="7915"/>
    <cellStyle name="Vérification 2 2 3 6 2 4 2" xfId="24139"/>
    <cellStyle name="Vérification 2 2 3 6 2 4 2 2" xfId="36146"/>
    <cellStyle name="Vérification 2 2 3 6 2 4 3" xfId="13922"/>
    <cellStyle name="Vérification 2 2 3 6 2 4 4" xfId="30143"/>
    <cellStyle name="Vérification 2 2 3 6 2 5" xfId="19030"/>
    <cellStyle name="Vérification 2 2 3 6 2 5 2" xfId="33144"/>
    <cellStyle name="Vérification 2 2 3 6 2 6" xfId="11271"/>
    <cellStyle name="Vérification 2 2 3 6 2 7" xfId="27492"/>
    <cellStyle name="Vérification 2 2 3 6 3" xfId="5021"/>
    <cellStyle name="Vérification 2 2 3 6 3 2" xfId="7048"/>
    <cellStyle name="Vérification 2 2 3 6 3 2 2" xfId="9249"/>
    <cellStyle name="Vérification 2 2 3 6 3 2 2 2" xfId="25473"/>
    <cellStyle name="Vérification 2 2 3 6 3 2 2 2 2" xfId="37480"/>
    <cellStyle name="Vérification 2 2 3 6 3 2 2 3" xfId="15256"/>
    <cellStyle name="Vérification 2 2 3 6 3 2 2 4" xfId="31477"/>
    <cellStyle name="Vérification 2 2 3 6 3 2 3" xfId="23272"/>
    <cellStyle name="Vérification 2 2 3 6 3 2 3 2" xfId="35279"/>
    <cellStyle name="Vérification 2 2 3 6 3 2 4" xfId="12953"/>
    <cellStyle name="Vérification 2 2 3 6 3 2 5" xfId="29174"/>
    <cellStyle name="Vérification 2 2 3 6 3 3" xfId="3229"/>
    <cellStyle name="Vérification 2 2 3 6 3 3 2" xfId="19457"/>
    <cellStyle name="Vérification 2 2 3 6 3 3 2 2" xfId="33571"/>
    <cellStyle name="Vérification 2 2 3 6 3 3 3" xfId="12296"/>
    <cellStyle name="Vérification 2 2 3 6 3 3 4" xfId="28517"/>
    <cellStyle name="Vérification 2 2 3 6 3 4" xfId="21247"/>
    <cellStyle name="Vérification 2 2 3 6 3 4 2" xfId="34388"/>
    <cellStyle name="Vérification 2 2 3 6 3 5" xfId="10935"/>
    <cellStyle name="Vérification 2 2 3 6 3 6" xfId="27158"/>
    <cellStyle name="Vérification 2 2 3 6 4" xfId="3412"/>
    <cellStyle name="Vérification 2 2 3 6 4 2" xfId="8379"/>
    <cellStyle name="Vérification 2 2 3 6 4 2 2" xfId="24603"/>
    <cellStyle name="Vérification 2 2 3 6 4 2 2 2" xfId="36610"/>
    <cellStyle name="Vérification 2 2 3 6 4 2 3" xfId="14386"/>
    <cellStyle name="Vérification 2 2 3 6 4 2 4" xfId="30607"/>
    <cellStyle name="Vérification 2 2 3 6 4 3" xfId="9916"/>
    <cellStyle name="Vérification 2 2 3 6 4 3 2" xfId="26140"/>
    <cellStyle name="Vérification 2 2 3 6 4 3 2 2" xfId="38147"/>
    <cellStyle name="Vérification 2 2 3 6 4 3 3" xfId="15923"/>
    <cellStyle name="Vérification 2 2 3 6 4 3 4" xfId="32144"/>
    <cellStyle name="Vérification 2 2 3 6 4 4" xfId="19640"/>
    <cellStyle name="Vérification 2 2 3 6 4 4 2" xfId="33754"/>
    <cellStyle name="Vérification 2 2 3 6 4 5" xfId="11934"/>
    <cellStyle name="Vérification 2 2 3 6 4 6" xfId="28155"/>
    <cellStyle name="Vérification 2 2 3 6 5" xfId="3160"/>
    <cellStyle name="Vérification 2 2 3 6 5 2" xfId="8198"/>
    <cellStyle name="Vérification 2 2 3 6 5 2 2" xfId="24422"/>
    <cellStyle name="Vérification 2 2 3 6 5 2 2 2" xfId="36429"/>
    <cellStyle name="Vérification 2 2 3 6 5 2 3" xfId="14205"/>
    <cellStyle name="Vérification 2 2 3 6 5 2 4" xfId="30426"/>
    <cellStyle name="Vérification 2 2 3 6 5 3" xfId="19388"/>
    <cellStyle name="Vérification 2 2 3 6 5 3 2" xfId="33502"/>
    <cellStyle name="Vérification 2 2 3 6 5 4" xfId="11753"/>
    <cellStyle name="Vérification 2 2 3 6 5 5" xfId="27974"/>
    <cellStyle name="Vérification 2 2 3 6 6" xfId="7197"/>
    <cellStyle name="Vérification 2 2 3 6 6 2" xfId="23421"/>
    <cellStyle name="Vérification 2 2 3 6 6 2 2" xfId="35428"/>
    <cellStyle name="Vérification 2 2 3 6 6 3" xfId="13581"/>
    <cellStyle name="Vérification 2 2 3 6 6 4" xfId="29802"/>
    <cellStyle name="Vérification 2 2 3 6 7" xfId="17563"/>
    <cellStyle name="Vérification 2 2 3 6 7 2" xfId="32811"/>
    <cellStyle name="Vérification 2 2 3 6 8" xfId="10583"/>
    <cellStyle name="Vérification 2 2 3 6 9" xfId="26808"/>
    <cellStyle name="Vérification 2 2 3 7" xfId="2459"/>
    <cellStyle name="Vérification 2 2 3 7 2" xfId="2914"/>
    <cellStyle name="Vérification 2 2 3 7 2 2" xfId="6602"/>
    <cellStyle name="Vérification 2 2 3 7 2 2 2" xfId="8983"/>
    <cellStyle name="Vérification 2 2 3 7 2 2 2 2" xfId="25207"/>
    <cellStyle name="Vérification 2 2 3 7 2 2 2 2 2" xfId="37214"/>
    <cellStyle name="Vérification 2 2 3 7 2 2 2 3" xfId="14990"/>
    <cellStyle name="Vérification 2 2 3 7 2 2 2 4" xfId="31211"/>
    <cellStyle name="Vérification 2 2 3 7 2 2 3" xfId="10361"/>
    <cellStyle name="Vérification 2 2 3 7 2 2 3 2" xfId="26585"/>
    <cellStyle name="Vérification 2 2 3 7 2 2 3 2 2" xfId="38592"/>
    <cellStyle name="Vérification 2 2 3 7 2 2 3 3" xfId="16368"/>
    <cellStyle name="Vérification 2 2 3 7 2 2 3 4" xfId="32589"/>
    <cellStyle name="Vérification 2 2 3 7 2 2 4" xfId="22826"/>
    <cellStyle name="Vérification 2 2 3 7 2 2 4 2" xfId="34833"/>
    <cellStyle name="Vérification 2 2 3 7 2 2 5" xfId="12687"/>
    <cellStyle name="Vérification 2 2 3 7 2 2 6" xfId="28908"/>
    <cellStyle name="Vérification 2 2 3 7 2 3" xfId="7650"/>
    <cellStyle name="Vérification 2 2 3 7 2 3 2" xfId="9694"/>
    <cellStyle name="Vérification 2 2 3 7 2 3 2 2" xfId="25918"/>
    <cellStyle name="Vérification 2 2 3 7 2 3 2 2 2" xfId="37925"/>
    <cellStyle name="Vérification 2 2 3 7 2 3 2 3" xfId="15701"/>
    <cellStyle name="Vérification 2 2 3 7 2 3 2 4" xfId="31922"/>
    <cellStyle name="Vérification 2 2 3 7 2 3 3" xfId="23874"/>
    <cellStyle name="Vérification 2 2 3 7 2 3 3 2" xfId="35881"/>
    <cellStyle name="Vérification 2 2 3 7 2 3 4" xfId="13398"/>
    <cellStyle name="Vérification 2 2 3 7 2 3 5" xfId="29619"/>
    <cellStyle name="Vérification 2 2 3 7 2 4" xfId="8027"/>
    <cellStyle name="Vérification 2 2 3 7 2 4 2" xfId="24251"/>
    <cellStyle name="Vérification 2 2 3 7 2 4 2 2" xfId="36258"/>
    <cellStyle name="Vérification 2 2 3 7 2 4 3" xfId="14034"/>
    <cellStyle name="Vérification 2 2 3 7 2 4 4" xfId="30255"/>
    <cellStyle name="Vérification 2 2 3 7 2 5" xfId="19142"/>
    <cellStyle name="Vérification 2 2 3 7 2 5 2" xfId="33256"/>
    <cellStyle name="Vérification 2 2 3 7 2 6" xfId="11383"/>
    <cellStyle name="Vérification 2 2 3 7 2 7" xfId="27604"/>
    <cellStyle name="Vérification 2 2 3 7 3" xfId="6149"/>
    <cellStyle name="Vérification 2 2 3 7 3 2" xfId="7305"/>
    <cellStyle name="Vérification 2 2 3 7 3 2 2" xfId="9361"/>
    <cellStyle name="Vérification 2 2 3 7 3 2 2 2" xfId="25585"/>
    <cellStyle name="Vérification 2 2 3 7 3 2 2 2 2" xfId="37592"/>
    <cellStyle name="Vérification 2 2 3 7 3 2 2 3" xfId="15368"/>
    <cellStyle name="Vérification 2 2 3 7 3 2 2 4" xfId="31589"/>
    <cellStyle name="Vérification 2 2 3 7 3 2 3" xfId="23529"/>
    <cellStyle name="Vérification 2 2 3 7 3 2 3 2" xfId="35536"/>
    <cellStyle name="Vérification 2 2 3 7 3 2 4" xfId="13065"/>
    <cellStyle name="Vérification 2 2 3 7 3 2 5" xfId="29286"/>
    <cellStyle name="Vérification 2 2 3 7 3 3" xfId="7694"/>
    <cellStyle name="Vérification 2 2 3 7 3 3 2" xfId="23918"/>
    <cellStyle name="Vérification 2 2 3 7 3 3 2 2" xfId="35925"/>
    <cellStyle name="Vérification 2 2 3 7 3 3 3" xfId="13701"/>
    <cellStyle name="Vérification 2 2 3 7 3 3 4" xfId="29922"/>
    <cellStyle name="Vérification 2 2 3 7 3 4" xfId="22373"/>
    <cellStyle name="Vérification 2 2 3 7 3 4 2" xfId="34500"/>
    <cellStyle name="Vérification 2 2 3 7 3 5" xfId="11049"/>
    <cellStyle name="Vérification 2 2 3 7 3 6" xfId="27270"/>
    <cellStyle name="Vérification 2 2 3 7 4" xfId="3795"/>
    <cellStyle name="Vérification 2 2 3 7 4 2" xfId="8636"/>
    <cellStyle name="Vérification 2 2 3 7 4 2 2" xfId="24860"/>
    <cellStyle name="Vérification 2 2 3 7 4 2 2 2" xfId="36867"/>
    <cellStyle name="Vérification 2 2 3 7 4 2 3" xfId="14643"/>
    <cellStyle name="Vérification 2 2 3 7 4 2 4" xfId="30864"/>
    <cellStyle name="Vérification 2 2 3 7 4 3" xfId="10028"/>
    <cellStyle name="Vérification 2 2 3 7 4 3 2" xfId="26252"/>
    <cellStyle name="Vérification 2 2 3 7 4 3 2 2" xfId="38259"/>
    <cellStyle name="Vérification 2 2 3 7 4 3 3" xfId="16035"/>
    <cellStyle name="Vérification 2 2 3 7 4 3 4" xfId="32256"/>
    <cellStyle name="Vérification 2 2 3 7 4 4" xfId="20023"/>
    <cellStyle name="Vérification 2 2 3 7 4 4 2" xfId="34137"/>
    <cellStyle name="Vérification 2 2 3 7 4 5" xfId="12191"/>
    <cellStyle name="Vérification 2 2 3 7 4 6" xfId="28412"/>
    <cellStyle name="Vérification 2 2 3 7 5" xfId="6669"/>
    <cellStyle name="Vérification 2 2 3 7 5 2" xfId="9027"/>
    <cellStyle name="Vérification 2 2 3 7 5 2 2" xfId="25251"/>
    <cellStyle name="Vérification 2 2 3 7 5 2 2 2" xfId="37258"/>
    <cellStyle name="Vérification 2 2 3 7 5 2 3" xfId="15034"/>
    <cellStyle name="Vérification 2 2 3 7 5 2 4" xfId="31255"/>
    <cellStyle name="Vérification 2 2 3 7 5 3" xfId="22893"/>
    <cellStyle name="Vérification 2 2 3 7 5 3 2" xfId="34900"/>
    <cellStyle name="Vérification 2 2 3 7 5 4" xfId="12731"/>
    <cellStyle name="Vérification 2 2 3 7 5 5" xfId="28952"/>
    <cellStyle name="Vérification 2 2 3 7 6" xfId="3821"/>
    <cellStyle name="Vérification 2 2 3 7 6 2" xfId="20049"/>
    <cellStyle name="Vérification 2 2 3 7 6 2 2" xfId="34163"/>
    <cellStyle name="Vérification 2 2 3 7 6 3" xfId="13521"/>
    <cellStyle name="Vérification 2 2 3 7 6 4" xfId="29742"/>
    <cellStyle name="Vérification 2 2 3 7 7" xfId="18689"/>
    <cellStyle name="Vérification 2 2 3 7 7 2" xfId="32923"/>
    <cellStyle name="Vérification 2 2 3 7 8" xfId="10697"/>
    <cellStyle name="Vérification 2 2 3 7 9" xfId="26920"/>
    <cellStyle name="Vérification 2 2 3 8" xfId="2602"/>
    <cellStyle name="Vérification 2 2 3 8 2" xfId="2935"/>
    <cellStyle name="Vérification 2 2 3 8 2 2" xfId="6623"/>
    <cellStyle name="Vérification 2 2 3 8 2 2 2" xfId="9004"/>
    <cellStyle name="Vérification 2 2 3 8 2 2 2 2" xfId="25228"/>
    <cellStyle name="Vérification 2 2 3 8 2 2 2 2 2" xfId="37235"/>
    <cellStyle name="Vérification 2 2 3 8 2 2 2 3" xfId="15011"/>
    <cellStyle name="Vérification 2 2 3 8 2 2 2 4" xfId="31232"/>
    <cellStyle name="Vérification 2 2 3 8 2 2 3" xfId="10382"/>
    <cellStyle name="Vérification 2 2 3 8 2 2 3 2" xfId="26606"/>
    <cellStyle name="Vérification 2 2 3 8 2 2 3 2 2" xfId="38613"/>
    <cellStyle name="Vérification 2 2 3 8 2 2 3 3" xfId="16389"/>
    <cellStyle name="Vérification 2 2 3 8 2 2 3 4" xfId="32610"/>
    <cellStyle name="Vérification 2 2 3 8 2 2 4" xfId="22847"/>
    <cellStyle name="Vérification 2 2 3 8 2 2 4 2" xfId="34854"/>
    <cellStyle name="Vérification 2 2 3 8 2 2 5" xfId="12708"/>
    <cellStyle name="Vérification 2 2 3 8 2 2 6" xfId="28929"/>
    <cellStyle name="Vérification 2 2 3 8 2 3" xfId="7671"/>
    <cellStyle name="Vérification 2 2 3 8 2 3 2" xfId="9715"/>
    <cellStyle name="Vérification 2 2 3 8 2 3 2 2" xfId="25939"/>
    <cellStyle name="Vérification 2 2 3 8 2 3 2 2 2" xfId="37946"/>
    <cellStyle name="Vérification 2 2 3 8 2 3 2 3" xfId="15722"/>
    <cellStyle name="Vérification 2 2 3 8 2 3 2 4" xfId="31943"/>
    <cellStyle name="Vérification 2 2 3 8 2 3 3" xfId="23895"/>
    <cellStyle name="Vérification 2 2 3 8 2 3 3 2" xfId="35902"/>
    <cellStyle name="Vérification 2 2 3 8 2 3 4" xfId="13419"/>
    <cellStyle name="Vérification 2 2 3 8 2 3 5" xfId="29640"/>
    <cellStyle name="Vérification 2 2 3 8 2 4" xfId="8048"/>
    <cellStyle name="Vérification 2 2 3 8 2 4 2" xfId="24272"/>
    <cellStyle name="Vérification 2 2 3 8 2 4 2 2" xfId="36279"/>
    <cellStyle name="Vérification 2 2 3 8 2 4 3" xfId="14055"/>
    <cellStyle name="Vérification 2 2 3 8 2 4 4" xfId="30276"/>
    <cellStyle name="Vérification 2 2 3 8 2 5" xfId="19163"/>
    <cellStyle name="Vérification 2 2 3 8 2 5 2" xfId="33277"/>
    <cellStyle name="Vérification 2 2 3 8 2 6" xfId="11404"/>
    <cellStyle name="Vérification 2 2 3 8 2 7" xfId="27625"/>
    <cellStyle name="Vérification 2 2 3 8 3" xfId="6290"/>
    <cellStyle name="Vérification 2 2 3 8 3 2" xfId="7338"/>
    <cellStyle name="Vérification 2 2 3 8 3 2 2" xfId="9382"/>
    <cellStyle name="Vérification 2 2 3 8 3 2 2 2" xfId="25606"/>
    <cellStyle name="Vérification 2 2 3 8 3 2 2 2 2" xfId="37613"/>
    <cellStyle name="Vérification 2 2 3 8 3 2 2 3" xfId="15389"/>
    <cellStyle name="Vérification 2 2 3 8 3 2 2 4" xfId="31610"/>
    <cellStyle name="Vérification 2 2 3 8 3 2 3" xfId="23562"/>
    <cellStyle name="Vérification 2 2 3 8 3 2 3 2" xfId="35569"/>
    <cellStyle name="Vérification 2 2 3 8 3 2 4" xfId="13086"/>
    <cellStyle name="Vérification 2 2 3 8 3 2 5" xfId="29307"/>
    <cellStyle name="Vérification 2 2 3 8 3 3" xfId="7715"/>
    <cellStyle name="Vérification 2 2 3 8 3 3 2" xfId="23939"/>
    <cellStyle name="Vérification 2 2 3 8 3 3 2 2" xfId="35946"/>
    <cellStyle name="Vérification 2 2 3 8 3 3 3" xfId="13722"/>
    <cellStyle name="Vérification 2 2 3 8 3 3 4" xfId="29943"/>
    <cellStyle name="Vérification 2 2 3 8 3 4" xfId="22514"/>
    <cellStyle name="Vérification 2 2 3 8 3 4 2" xfId="34521"/>
    <cellStyle name="Vérification 2 2 3 8 3 5" xfId="11071"/>
    <cellStyle name="Vérification 2 2 3 8 3 6" xfId="27292"/>
    <cellStyle name="Vérification 2 2 3 8 4" xfId="3845"/>
    <cellStyle name="Vérification 2 2 3 8 4 2" xfId="8671"/>
    <cellStyle name="Vérification 2 2 3 8 4 2 2" xfId="24895"/>
    <cellStyle name="Vérification 2 2 3 8 4 2 2 2" xfId="36902"/>
    <cellStyle name="Vérification 2 2 3 8 4 2 3" xfId="14678"/>
    <cellStyle name="Vérification 2 2 3 8 4 2 4" xfId="30899"/>
    <cellStyle name="Vérification 2 2 3 8 4 3" xfId="10049"/>
    <cellStyle name="Vérification 2 2 3 8 4 3 2" xfId="26273"/>
    <cellStyle name="Vérification 2 2 3 8 4 3 2 2" xfId="38280"/>
    <cellStyle name="Vérification 2 2 3 8 4 3 3" xfId="16056"/>
    <cellStyle name="Vérification 2 2 3 8 4 3 4" xfId="32277"/>
    <cellStyle name="Vérification 2 2 3 8 4 4" xfId="20073"/>
    <cellStyle name="Vérification 2 2 3 8 4 4 2" xfId="34187"/>
    <cellStyle name="Vérification 2 2 3 8 4 5" xfId="12226"/>
    <cellStyle name="Vérification 2 2 3 8 4 6" xfId="28447"/>
    <cellStyle name="Vérification 2 2 3 8 5" xfId="6702"/>
    <cellStyle name="Vérification 2 2 3 8 5 2" xfId="9048"/>
    <cellStyle name="Vérification 2 2 3 8 5 2 2" xfId="25272"/>
    <cellStyle name="Vérification 2 2 3 8 5 2 2 2" xfId="37279"/>
    <cellStyle name="Vérification 2 2 3 8 5 2 3" xfId="15055"/>
    <cellStyle name="Vérification 2 2 3 8 5 2 4" xfId="31276"/>
    <cellStyle name="Vérification 2 2 3 8 5 3" xfId="22926"/>
    <cellStyle name="Vérification 2 2 3 8 5 3 2" xfId="34933"/>
    <cellStyle name="Vérification 2 2 3 8 5 4" xfId="12752"/>
    <cellStyle name="Vérification 2 2 3 8 5 5" xfId="28973"/>
    <cellStyle name="Vérification 2 2 3 8 6" xfId="3602"/>
    <cellStyle name="Vérification 2 2 3 8 6 2" xfId="19830"/>
    <cellStyle name="Vérification 2 2 3 8 6 2 2" xfId="33944"/>
    <cellStyle name="Vérification 2 2 3 8 6 3" xfId="12347"/>
    <cellStyle name="Vérification 2 2 3 8 6 4" xfId="28568"/>
    <cellStyle name="Vérification 2 2 3 8 7" xfId="18830"/>
    <cellStyle name="Vérification 2 2 3 8 7 2" xfId="32944"/>
    <cellStyle name="Vérification 2 2 3 8 8" xfId="10718"/>
    <cellStyle name="Vérification 2 2 3 8 9" xfId="26941"/>
    <cellStyle name="Vérification 2 2 3 9" xfId="2624"/>
    <cellStyle name="Vérification 2 2 3 9 2" xfId="6312"/>
    <cellStyle name="Vérification 2 2 3 9 2 2" xfId="8693"/>
    <cellStyle name="Vérification 2 2 3 9 2 2 2" xfId="24917"/>
    <cellStyle name="Vérification 2 2 3 9 2 2 2 2" xfId="36924"/>
    <cellStyle name="Vérification 2 2 3 9 2 2 3" xfId="14700"/>
    <cellStyle name="Vérification 2 2 3 9 2 2 4" xfId="30921"/>
    <cellStyle name="Vérification 2 2 3 9 2 3" xfId="10071"/>
    <cellStyle name="Vérification 2 2 3 9 2 3 2" xfId="26295"/>
    <cellStyle name="Vérification 2 2 3 9 2 3 2 2" xfId="38302"/>
    <cellStyle name="Vérification 2 2 3 9 2 3 3" xfId="16078"/>
    <cellStyle name="Vérification 2 2 3 9 2 3 4" xfId="32299"/>
    <cellStyle name="Vérification 2 2 3 9 2 4" xfId="22536"/>
    <cellStyle name="Vérification 2 2 3 9 2 4 2" xfId="34543"/>
    <cellStyle name="Vérification 2 2 3 9 2 5" xfId="12397"/>
    <cellStyle name="Vérification 2 2 3 9 2 6" xfId="28618"/>
    <cellStyle name="Vérification 2 2 3 9 3" xfId="7360"/>
    <cellStyle name="Vérification 2 2 3 9 3 2" xfId="9404"/>
    <cellStyle name="Vérification 2 2 3 9 3 2 2" xfId="25628"/>
    <cellStyle name="Vérification 2 2 3 9 3 2 2 2" xfId="37635"/>
    <cellStyle name="Vérification 2 2 3 9 3 2 3" xfId="15411"/>
    <cellStyle name="Vérification 2 2 3 9 3 2 4" xfId="31632"/>
    <cellStyle name="Vérification 2 2 3 9 3 3" xfId="23584"/>
    <cellStyle name="Vérification 2 2 3 9 3 3 2" xfId="35591"/>
    <cellStyle name="Vérification 2 2 3 9 3 4" xfId="13108"/>
    <cellStyle name="Vérification 2 2 3 9 3 5" xfId="29329"/>
    <cellStyle name="Vérification 2 2 3 9 4" xfId="7737"/>
    <cellStyle name="Vérification 2 2 3 9 4 2" xfId="23961"/>
    <cellStyle name="Vérification 2 2 3 9 4 2 2" xfId="35968"/>
    <cellStyle name="Vérification 2 2 3 9 4 3" xfId="13744"/>
    <cellStyle name="Vérification 2 2 3 9 4 4" xfId="29965"/>
    <cellStyle name="Vérification 2 2 3 9 5" xfId="18852"/>
    <cellStyle name="Vérification 2 2 3 9 5 2" xfId="32966"/>
    <cellStyle name="Vérification 2 2 3 9 6" xfId="11093"/>
    <cellStyle name="Vérification 2 2 3 9 7" xfId="27314"/>
    <cellStyle name="Vérification 2 2 4" xfId="169"/>
    <cellStyle name="Vérification 2 2 4 10" xfId="3926"/>
    <cellStyle name="Vérification 2 2 4 10 2" xfId="6739"/>
    <cellStyle name="Vérification 2 2 4 10 2 2" xfId="9073"/>
    <cellStyle name="Vérification 2 2 4 10 2 2 2" xfId="25297"/>
    <cellStyle name="Vérification 2 2 4 10 2 2 2 2" xfId="37304"/>
    <cellStyle name="Vérification 2 2 4 10 2 2 3" xfId="15080"/>
    <cellStyle name="Vérification 2 2 4 10 2 2 4" xfId="31301"/>
    <cellStyle name="Vérification 2 2 4 10 2 3" xfId="22963"/>
    <cellStyle name="Vérification 2 2 4 10 2 3 2" xfId="34970"/>
    <cellStyle name="Vérification 2 2 4 10 2 4" xfId="12777"/>
    <cellStyle name="Vérification 2 2 4 10 2 5" xfId="28998"/>
    <cellStyle name="Vérification 2 2 4 10 3" xfId="7327"/>
    <cellStyle name="Vérification 2 2 4 10 3 2" xfId="23551"/>
    <cellStyle name="Vérification 2 2 4 10 3 2 2" xfId="35558"/>
    <cellStyle name="Vérification 2 2 4 10 3 3" xfId="13692"/>
    <cellStyle name="Vérification 2 2 4 10 3 4" xfId="29913"/>
    <cellStyle name="Vérification 2 2 4 10 4" xfId="20153"/>
    <cellStyle name="Vérification 2 2 4 10 4 2" xfId="34212"/>
    <cellStyle name="Vérification 2 2 4 10 5" xfId="10750"/>
    <cellStyle name="Vérification 2 2 4 10 6" xfId="26973"/>
    <cellStyle name="Vérification 2 2 4 11" xfId="2993"/>
    <cellStyle name="Vérification 2 2 4 11 2" xfId="8083"/>
    <cellStyle name="Vérification 2 2 4 11 2 2" xfId="24307"/>
    <cellStyle name="Vérification 2 2 4 11 2 2 2" xfId="36314"/>
    <cellStyle name="Vérification 2 2 4 11 2 3" xfId="14090"/>
    <cellStyle name="Vérification 2 2 4 11 2 4" xfId="30311"/>
    <cellStyle name="Vérification 2 2 4 11 3" xfId="9740"/>
    <cellStyle name="Vérification 2 2 4 11 3 2" xfId="25964"/>
    <cellStyle name="Vérification 2 2 4 11 3 2 2" xfId="37971"/>
    <cellStyle name="Vérification 2 2 4 11 3 3" xfId="15747"/>
    <cellStyle name="Vérification 2 2 4 11 3 4" xfId="31968"/>
    <cellStyle name="Vérification 2 2 4 11 4" xfId="19221"/>
    <cellStyle name="Vérification 2 2 4 11 4 2" xfId="33335"/>
    <cellStyle name="Vérification 2 2 4 11 5" xfId="11638"/>
    <cellStyle name="Vérification 2 2 4 11 6" xfId="27859"/>
    <cellStyle name="Vérification 2 2 4 12" xfId="3377"/>
    <cellStyle name="Vérification 2 2 4 12 2" xfId="8353"/>
    <cellStyle name="Vérification 2 2 4 12 2 2" xfId="24577"/>
    <cellStyle name="Vérification 2 2 4 12 2 2 2" xfId="36584"/>
    <cellStyle name="Vérification 2 2 4 12 2 3" xfId="14360"/>
    <cellStyle name="Vérification 2 2 4 12 2 4" xfId="30581"/>
    <cellStyle name="Vérification 2 2 4 12 3" xfId="19605"/>
    <cellStyle name="Vérification 2 2 4 12 3 2" xfId="33719"/>
    <cellStyle name="Vérification 2 2 4 12 4" xfId="11908"/>
    <cellStyle name="Vérification 2 2 4 12 5" xfId="28129"/>
    <cellStyle name="Vérification 2 2 4 13" xfId="6916"/>
    <cellStyle name="Vérification 2 2 4 13 2" xfId="23140"/>
    <cellStyle name="Vérification 2 2 4 13 2 2" xfId="35147"/>
    <cellStyle name="Vérification 2 2 4 13 3" xfId="10764"/>
    <cellStyle name="Vérification 2 2 4 13 4" xfId="26987"/>
    <cellStyle name="Vérification 2 2 4 14" xfId="16469"/>
    <cellStyle name="Vérification 2 2 4 14 2" xfId="32635"/>
    <cellStyle name="Vérification 2 2 4 15" xfId="10407"/>
    <cellStyle name="Vérification 2 2 4 16" xfId="26632"/>
    <cellStyle name="Vérification 2 2 4 2" xfId="375"/>
    <cellStyle name="Vérification 2 2 4 2 10" xfId="10430"/>
    <cellStyle name="Vérification 2 2 4 2 11" xfId="26655"/>
    <cellStyle name="Vérification 2 2 4 2 2" xfId="1349"/>
    <cellStyle name="Vérification 2 2 4 2 2 2" xfId="2827"/>
    <cellStyle name="Vérification 2 2 4 2 2 2 2" xfId="6515"/>
    <cellStyle name="Vérification 2 2 4 2 2 2 2 2" xfId="8896"/>
    <cellStyle name="Vérification 2 2 4 2 2 2 2 2 2" xfId="25120"/>
    <cellStyle name="Vérification 2 2 4 2 2 2 2 2 2 2" xfId="37127"/>
    <cellStyle name="Vérification 2 2 4 2 2 2 2 2 3" xfId="14903"/>
    <cellStyle name="Vérification 2 2 4 2 2 2 2 2 4" xfId="31124"/>
    <cellStyle name="Vérification 2 2 4 2 2 2 2 3" xfId="10274"/>
    <cellStyle name="Vérification 2 2 4 2 2 2 2 3 2" xfId="26498"/>
    <cellStyle name="Vérification 2 2 4 2 2 2 2 3 2 2" xfId="38505"/>
    <cellStyle name="Vérification 2 2 4 2 2 2 2 3 3" xfId="16281"/>
    <cellStyle name="Vérification 2 2 4 2 2 2 2 3 4" xfId="32502"/>
    <cellStyle name="Vérification 2 2 4 2 2 2 2 4" xfId="22739"/>
    <cellStyle name="Vérification 2 2 4 2 2 2 2 4 2" xfId="34746"/>
    <cellStyle name="Vérification 2 2 4 2 2 2 2 5" xfId="12600"/>
    <cellStyle name="Vérification 2 2 4 2 2 2 2 6" xfId="28821"/>
    <cellStyle name="Vérification 2 2 4 2 2 2 3" xfId="7563"/>
    <cellStyle name="Vérification 2 2 4 2 2 2 3 2" xfId="9607"/>
    <cellStyle name="Vérification 2 2 4 2 2 2 3 2 2" xfId="25831"/>
    <cellStyle name="Vérification 2 2 4 2 2 2 3 2 2 2" xfId="37838"/>
    <cellStyle name="Vérification 2 2 4 2 2 2 3 2 3" xfId="15614"/>
    <cellStyle name="Vérification 2 2 4 2 2 2 3 2 4" xfId="31835"/>
    <cellStyle name="Vérification 2 2 4 2 2 2 3 3" xfId="23787"/>
    <cellStyle name="Vérification 2 2 4 2 2 2 3 3 2" xfId="35794"/>
    <cellStyle name="Vérification 2 2 4 2 2 2 3 4" xfId="13311"/>
    <cellStyle name="Vérification 2 2 4 2 2 2 3 5" xfId="29532"/>
    <cellStyle name="Vérification 2 2 4 2 2 2 4" xfId="7940"/>
    <cellStyle name="Vérification 2 2 4 2 2 2 4 2" xfId="24164"/>
    <cellStyle name="Vérification 2 2 4 2 2 2 4 2 2" xfId="36171"/>
    <cellStyle name="Vérification 2 2 4 2 2 2 4 3" xfId="13947"/>
    <cellStyle name="Vérification 2 2 4 2 2 2 4 4" xfId="30168"/>
    <cellStyle name="Vérification 2 2 4 2 2 2 5" xfId="19055"/>
    <cellStyle name="Vérification 2 2 4 2 2 2 5 2" xfId="33169"/>
    <cellStyle name="Vérification 2 2 4 2 2 2 6" xfId="11296"/>
    <cellStyle name="Vérification 2 2 4 2 2 2 7" xfId="27517"/>
    <cellStyle name="Vérification 2 2 4 2 2 3" xfId="5046"/>
    <cellStyle name="Vérification 2 2 4 2 2 3 2" xfId="7073"/>
    <cellStyle name="Vérification 2 2 4 2 2 3 2 2" xfId="9274"/>
    <cellStyle name="Vérification 2 2 4 2 2 3 2 2 2" xfId="25498"/>
    <cellStyle name="Vérification 2 2 4 2 2 3 2 2 2 2" xfId="37505"/>
    <cellStyle name="Vérification 2 2 4 2 2 3 2 2 3" xfId="15281"/>
    <cellStyle name="Vérification 2 2 4 2 2 3 2 2 4" xfId="31502"/>
    <cellStyle name="Vérification 2 2 4 2 2 3 2 3" xfId="23297"/>
    <cellStyle name="Vérification 2 2 4 2 2 3 2 3 2" xfId="35304"/>
    <cellStyle name="Vérification 2 2 4 2 2 3 2 4" xfId="12978"/>
    <cellStyle name="Vérification 2 2 4 2 2 3 2 5" xfId="29199"/>
    <cellStyle name="Vérification 2 2 4 2 2 3 3" xfId="3084"/>
    <cellStyle name="Vérification 2 2 4 2 2 3 3 2" xfId="19312"/>
    <cellStyle name="Vérification 2 2 4 2 2 3 3 2 2" xfId="33426"/>
    <cellStyle name="Vérification 2 2 4 2 2 3 3 3" xfId="11525"/>
    <cellStyle name="Vérification 2 2 4 2 2 3 3 4" xfId="27746"/>
    <cellStyle name="Vérification 2 2 4 2 2 3 4" xfId="21272"/>
    <cellStyle name="Vérification 2 2 4 2 2 3 4 2" xfId="34413"/>
    <cellStyle name="Vérification 2 2 4 2 2 3 5" xfId="10960"/>
    <cellStyle name="Vérification 2 2 4 2 2 3 6" xfId="27183"/>
    <cellStyle name="Vérification 2 2 4 2 2 4" xfId="3437"/>
    <cellStyle name="Vérification 2 2 4 2 2 4 2" xfId="8404"/>
    <cellStyle name="Vérification 2 2 4 2 2 4 2 2" xfId="24628"/>
    <cellStyle name="Vérification 2 2 4 2 2 4 2 2 2" xfId="36635"/>
    <cellStyle name="Vérification 2 2 4 2 2 4 2 3" xfId="14411"/>
    <cellStyle name="Vérification 2 2 4 2 2 4 2 4" xfId="30632"/>
    <cellStyle name="Vérification 2 2 4 2 2 4 3" xfId="9941"/>
    <cellStyle name="Vérification 2 2 4 2 2 4 3 2" xfId="26165"/>
    <cellStyle name="Vérification 2 2 4 2 2 4 3 2 2" xfId="38172"/>
    <cellStyle name="Vérification 2 2 4 2 2 4 3 3" xfId="15948"/>
    <cellStyle name="Vérification 2 2 4 2 2 4 3 4" xfId="32169"/>
    <cellStyle name="Vérification 2 2 4 2 2 4 4" xfId="19665"/>
    <cellStyle name="Vérification 2 2 4 2 2 4 4 2" xfId="33779"/>
    <cellStyle name="Vérification 2 2 4 2 2 4 5" xfId="11959"/>
    <cellStyle name="Vérification 2 2 4 2 2 4 6" xfId="28180"/>
    <cellStyle name="Vérification 2 2 4 2 2 5" xfId="3360"/>
    <cellStyle name="Vérification 2 2 4 2 2 5 2" xfId="8338"/>
    <cellStyle name="Vérification 2 2 4 2 2 5 2 2" xfId="24562"/>
    <cellStyle name="Vérification 2 2 4 2 2 5 2 2 2" xfId="36569"/>
    <cellStyle name="Vérification 2 2 4 2 2 5 2 3" xfId="14345"/>
    <cellStyle name="Vérification 2 2 4 2 2 5 2 4" xfId="30566"/>
    <cellStyle name="Vérification 2 2 4 2 2 5 3" xfId="19588"/>
    <cellStyle name="Vérification 2 2 4 2 2 5 3 2" xfId="33702"/>
    <cellStyle name="Vérification 2 2 4 2 2 5 4" xfId="11893"/>
    <cellStyle name="Vérification 2 2 4 2 2 5 5" xfId="28114"/>
    <cellStyle name="Vérification 2 2 4 2 2 6" xfId="6792"/>
    <cellStyle name="Vérification 2 2 4 2 2 6 2" xfId="23016"/>
    <cellStyle name="Vérification 2 2 4 2 2 6 2 2" xfId="35023"/>
    <cellStyle name="Vérification 2 2 4 2 2 6 3" xfId="10762"/>
    <cellStyle name="Vérification 2 2 4 2 2 6 4" xfId="26985"/>
    <cellStyle name="Vérification 2 2 4 2 2 7" xfId="17588"/>
    <cellStyle name="Vérification 2 2 4 2 2 7 2" xfId="32836"/>
    <cellStyle name="Vérification 2 2 4 2 2 8" xfId="10608"/>
    <cellStyle name="Vérification 2 2 4 2 2 9" xfId="26833"/>
    <cellStyle name="Vérification 2 2 4 2 3" xfId="990"/>
    <cellStyle name="Vérification 2 2 4 2 3 2" xfId="2738"/>
    <cellStyle name="Vérification 2 2 4 2 3 2 2" xfId="6426"/>
    <cellStyle name="Vérification 2 2 4 2 3 2 2 2" xfId="8807"/>
    <cellStyle name="Vérification 2 2 4 2 3 2 2 2 2" xfId="25031"/>
    <cellStyle name="Vérification 2 2 4 2 3 2 2 2 2 2" xfId="37038"/>
    <cellStyle name="Vérification 2 2 4 2 3 2 2 2 3" xfId="14814"/>
    <cellStyle name="Vérification 2 2 4 2 3 2 2 2 4" xfId="31035"/>
    <cellStyle name="Vérification 2 2 4 2 3 2 2 3" xfId="10185"/>
    <cellStyle name="Vérification 2 2 4 2 3 2 2 3 2" xfId="26409"/>
    <cellStyle name="Vérification 2 2 4 2 3 2 2 3 2 2" xfId="38416"/>
    <cellStyle name="Vérification 2 2 4 2 3 2 2 3 3" xfId="16192"/>
    <cellStyle name="Vérification 2 2 4 2 3 2 2 3 4" xfId="32413"/>
    <cellStyle name="Vérification 2 2 4 2 3 2 2 4" xfId="22650"/>
    <cellStyle name="Vérification 2 2 4 2 3 2 2 4 2" xfId="34657"/>
    <cellStyle name="Vérification 2 2 4 2 3 2 2 5" xfId="12511"/>
    <cellStyle name="Vérification 2 2 4 2 3 2 2 6" xfId="28732"/>
    <cellStyle name="Vérification 2 2 4 2 3 2 3" xfId="7474"/>
    <cellStyle name="Vérification 2 2 4 2 3 2 3 2" xfId="9518"/>
    <cellStyle name="Vérification 2 2 4 2 3 2 3 2 2" xfId="25742"/>
    <cellStyle name="Vérification 2 2 4 2 3 2 3 2 2 2" xfId="37749"/>
    <cellStyle name="Vérification 2 2 4 2 3 2 3 2 3" xfId="15525"/>
    <cellStyle name="Vérification 2 2 4 2 3 2 3 2 4" xfId="31746"/>
    <cellStyle name="Vérification 2 2 4 2 3 2 3 3" xfId="23698"/>
    <cellStyle name="Vérification 2 2 4 2 3 2 3 3 2" xfId="35705"/>
    <cellStyle name="Vérification 2 2 4 2 3 2 3 4" xfId="13222"/>
    <cellStyle name="Vérification 2 2 4 2 3 2 3 5" xfId="29443"/>
    <cellStyle name="Vérification 2 2 4 2 3 2 4" xfId="7851"/>
    <cellStyle name="Vérification 2 2 4 2 3 2 4 2" xfId="24075"/>
    <cellStyle name="Vérification 2 2 4 2 3 2 4 2 2" xfId="36082"/>
    <cellStyle name="Vérification 2 2 4 2 3 2 4 3" xfId="13858"/>
    <cellStyle name="Vérification 2 2 4 2 3 2 4 4" xfId="30079"/>
    <cellStyle name="Vérification 2 2 4 2 3 2 5" xfId="18966"/>
    <cellStyle name="Vérification 2 2 4 2 3 2 5 2" xfId="33080"/>
    <cellStyle name="Vérification 2 2 4 2 3 2 6" xfId="11207"/>
    <cellStyle name="Vérification 2 2 4 2 3 2 7" xfId="27428"/>
    <cellStyle name="Vérification 2 2 4 2 3 3" xfId="4687"/>
    <cellStyle name="Vérification 2 2 4 2 3 3 2" xfId="6948"/>
    <cellStyle name="Vérification 2 2 4 2 3 3 2 2" xfId="9185"/>
    <cellStyle name="Vérification 2 2 4 2 3 3 2 2 2" xfId="25409"/>
    <cellStyle name="Vérification 2 2 4 2 3 3 2 2 2 2" xfId="37416"/>
    <cellStyle name="Vérification 2 2 4 2 3 3 2 2 3" xfId="15192"/>
    <cellStyle name="Vérification 2 2 4 2 3 3 2 2 4" xfId="31413"/>
    <cellStyle name="Vérification 2 2 4 2 3 3 2 3" xfId="23172"/>
    <cellStyle name="Vérification 2 2 4 2 3 3 2 3 2" xfId="35179"/>
    <cellStyle name="Vérification 2 2 4 2 3 3 2 4" xfId="12889"/>
    <cellStyle name="Vérification 2 2 4 2 3 3 2 5" xfId="29110"/>
    <cellStyle name="Vérification 2 2 4 2 3 3 3" xfId="3672"/>
    <cellStyle name="Vérification 2 2 4 2 3 3 3 2" xfId="19900"/>
    <cellStyle name="Vérification 2 2 4 2 3 3 3 2 2" xfId="34014"/>
    <cellStyle name="Vérification 2 2 4 2 3 3 3 3" xfId="12303"/>
    <cellStyle name="Vérification 2 2 4 2 3 3 3 4" xfId="28524"/>
    <cellStyle name="Vérification 2 2 4 2 3 3 4" xfId="20913"/>
    <cellStyle name="Vérification 2 2 4 2 3 3 4 2" xfId="34324"/>
    <cellStyle name="Vérification 2 2 4 2 3 3 5" xfId="10871"/>
    <cellStyle name="Vérification 2 2 4 2 3 3 6" xfId="27094"/>
    <cellStyle name="Vérification 2 2 4 2 3 4" xfId="3282"/>
    <cellStyle name="Vérification 2 2 4 2 3 4 2" xfId="8275"/>
    <cellStyle name="Vérification 2 2 4 2 3 4 2 2" xfId="24499"/>
    <cellStyle name="Vérification 2 2 4 2 3 4 2 2 2" xfId="36506"/>
    <cellStyle name="Vérification 2 2 4 2 3 4 2 3" xfId="14282"/>
    <cellStyle name="Vérification 2 2 4 2 3 4 2 4" xfId="30503"/>
    <cellStyle name="Vérification 2 2 4 2 3 4 3" xfId="9852"/>
    <cellStyle name="Vérification 2 2 4 2 3 4 3 2" xfId="26076"/>
    <cellStyle name="Vérification 2 2 4 2 3 4 3 2 2" xfId="38083"/>
    <cellStyle name="Vérification 2 2 4 2 3 4 3 3" xfId="15859"/>
    <cellStyle name="Vérification 2 2 4 2 3 4 3 4" xfId="32080"/>
    <cellStyle name="Vérification 2 2 4 2 3 4 4" xfId="19510"/>
    <cellStyle name="Vérification 2 2 4 2 3 4 4 2" xfId="33624"/>
    <cellStyle name="Vérification 2 2 4 2 3 4 5" xfId="11830"/>
    <cellStyle name="Vérification 2 2 4 2 3 4 6" xfId="28051"/>
    <cellStyle name="Vérification 2 2 4 2 3 5" xfId="3062"/>
    <cellStyle name="Vérification 2 2 4 2 3 5 2" xfId="8129"/>
    <cellStyle name="Vérification 2 2 4 2 3 5 2 2" xfId="24353"/>
    <cellStyle name="Vérification 2 2 4 2 3 5 2 2 2" xfId="36360"/>
    <cellStyle name="Vérification 2 2 4 2 3 5 2 3" xfId="14136"/>
    <cellStyle name="Vérification 2 2 4 2 3 5 2 4" xfId="30357"/>
    <cellStyle name="Vérification 2 2 4 2 3 5 3" xfId="19290"/>
    <cellStyle name="Vérification 2 2 4 2 3 5 3 2" xfId="33404"/>
    <cellStyle name="Vérification 2 2 4 2 3 5 4" xfId="11684"/>
    <cellStyle name="Vérification 2 2 4 2 3 5 5" xfId="27905"/>
    <cellStyle name="Vérification 2 2 4 2 3 6" xfId="7199"/>
    <cellStyle name="Vérification 2 2 4 2 3 6 2" xfId="23423"/>
    <cellStyle name="Vérification 2 2 4 2 3 6 2 2" xfId="35430"/>
    <cellStyle name="Vérification 2 2 4 2 3 6 3" xfId="13583"/>
    <cellStyle name="Vérification 2 2 4 2 3 6 4" xfId="29804"/>
    <cellStyle name="Vérification 2 2 4 2 3 7" xfId="17229"/>
    <cellStyle name="Vérification 2 2 4 2 3 7 2" xfId="32747"/>
    <cellStyle name="Vérification 2 2 4 2 3 8" xfId="10519"/>
    <cellStyle name="Vérification 2 2 4 2 3 9" xfId="26744"/>
    <cellStyle name="Vérification 2 2 4 2 4" xfId="2649"/>
    <cellStyle name="Vérification 2 2 4 2 4 2" xfId="6337"/>
    <cellStyle name="Vérification 2 2 4 2 4 2 2" xfId="8718"/>
    <cellStyle name="Vérification 2 2 4 2 4 2 2 2" xfId="24942"/>
    <cellStyle name="Vérification 2 2 4 2 4 2 2 2 2" xfId="36949"/>
    <cellStyle name="Vérification 2 2 4 2 4 2 2 3" xfId="14725"/>
    <cellStyle name="Vérification 2 2 4 2 4 2 2 4" xfId="30946"/>
    <cellStyle name="Vérification 2 2 4 2 4 2 3" xfId="10096"/>
    <cellStyle name="Vérification 2 2 4 2 4 2 3 2" xfId="26320"/>
    <cellStyle name="Vérification 2 2 4 2 4 2 3 2 2" xfId="38327"/>
    <cellStyle name="Vérification 2 2 4 2 4 2 3 3" xfId="16103"/>
    <cellStyle name="Vérification 2 2 4 2 4 2 3 4" xfId="32324"/>
    <cellStyle name="Vérification 2 2 4 2 4 2 4" xfId="22561"/>
    <cellStyle name="Vérification 2 2 4 2 4 2 4 2" xfId="34568"/>
    <cellStyle name="Vérification 2 2 4 2 4 2 5" xfId="12422"/>
    <cellStyle name="Vérification 2 2 4 2 4 2 6" xfId="28643"/>
    <cellStyle name="Vérification 2 2 4 2 4 3" xfId="7385"/>
    <cellStyle name="Vérification 2 2 4 2 4 3 2" xfId="9429"/>
    <cellStyle name="Vérification 2 2 4 2 4 3 2 2" xfId="25653"/>
    <cellStyle name="Vérification 2 2 4 2 4 3 2 2 2" xfId="37660"/>
    <cellStyle name="Vérification 2 2 4 2 4 3 2 3" xfId="15436"/>
    <cellStyle name="Vérification 2 2 4 2 4 3 2 4" xfId="31657"/>
    <cellStyle name="Vérification 2 2 4 2 4 3 3" xfId="23609"/>
    <cellStyle name="Vérification 2 2 4 2 4 3 3 2" xfId="35616"/>
    <cellStyle name="Vérification 2 2 4 2 4 3 4" xfId="13133"/>
    <cellStyle name="Vérification 2 2 4 2 4 3 5" xfId="29354"/>
    <cellStyle name="Vérification 2 2 4 2 4 4" xfId="7762"/>
    <cellStyle name="Vérification 2 2 4 2 4 4 2" xfId="23986"/>
    <cellStyle name="Vérification 2 2 4 2 4 4 2 2" xfId="35993"/>
    <cellStyle name="Vérification 2 2 4 2 4 4 3" xfId="13769"/>
    <cellStyle name="Vérification 2 2 4 2 4 4 4" xfId="29990"/>
    <cellStyle name="Vérification 2 2 4 2 4 5" xfId="18877"/>
    <cellStyle name="Vérification 2 2 4 2 4 5 2" xfId="32991"/>
    <cellStyle name="Vérification 2 2 4 2 4 6" xfId="11118"/>
    <cellStyle name="Vérification 2 2 4 2 4 7" xfId="27339"/>
    <cellStyle name="Vérification 2 2 4 2 5" xfId="4112"/>
    <cellStyle name="Vérification 2 2 4 2 5 2" xfId="6785"/>
    <cellStyle name="Vérification 2 2 4 2 5 2 2" xfId="9096"/>
    <cellStyle name="Vérification 2 2 4 2 5 2 2 2" xfId="25320"/>
    <cellStyle name="Vérification 2 2 4 2 5 2 2 2 2" xfId="37327"/>
    <cellStyle name="Vérification 2 2 4 2 5 2 2 3" xfId="15103"/>
    <cellStyle name="Vérification 2 2 4 2 5 2 2 4" xfId="31324"/>
    <cellStyle name="Vérification 2 2 4 2 5 2 3" xfId="23009"/>
    <cellStyle name="Vérification 2 2 4 2 5 2 3 2" xfId="35016"/>
    <cellStyle name="Vérification 2 2 4 2 5 2 4" xfId="12800"/>
    <cellStyle name="Vérification 2 2 4 2 5 2 5" xfId="29021"/>
    <cellStyle name="Vérification 2 2 4 2 5 3" xfId="3180"/>
    <cellStyle name="Vérification 2 2 4 2 5 3 2" xfId="19408"/>
    <cellStyle name="Vérification 2 2 4 2 5 3 2 2" xfId="33522"/>
    <cellStyle name="Vérification 2 2 4 2 5 3 3" xfId="11526"/>
    <cellStyle name="Vérification 2 2 4 2 5 3 4" xfId="27747"/>
    <cellStyle name="Vérification 2 2 4 2 5 4" xfId="20338"/>
    <cellStyle name="Vérification 2 2 4 2 5 4 2" xfId="34235"/>
    <cellStyle name="Vérification 2 2 4 2 5 5" xfId="10775"/>
    <cellStyle name="Vérification 2 2 4 2 5 6" xfId="26998"/>
    <cellStyle name="Vérification 2 2 4 2 6" xfId="3060"/>
    <cellStyle name="Vérification 2 2 4 2 6 2" xfId="8127"/>
    <cellStyle name="Vérification 2 2 4 2 6 2 2" xfId="24351"/>
    <cellStyle name="Vérification 2 2 4 2 6 2 2 2" xfId="36358"/>
    <cellStyle name="Vérification 2 2 4 2 6 2 3" xfId="14134"/>
    <cellStyle name="Vérification 2 2 4 2 6 2 4" xfId="30355"/>
    <cellStyle name="Vérification 2 2 4 2 6 3" xfId="9763"/>
    <cellStyle name="Vérification 2 2 4 2 6 3 2" xfId="25987"/>
    <cellStyle name="Vérification 2 2 4 2 6 3 2 2" xfId="37994"/>
    <cellStyle name="Vérification 2 2 4 2 6 3 3" xfId="15770"/>
    <cellStyle name="Vérification 2 2 4 2 6 3 4" xfId="31991"/>
    <cellStyle name="Vérification 2 2 4 2 6 4" xfId="19288"/>
    <cellStyle name="Vérification 2 2 4 2 6 4 2" xfId="33402"/>
    <cellStyle name="Vérification 2 2 4 2 6 5" xfId="11682"/>
    <cellStyle name="Vérification 2 2 4 2 6 6" xfId="27903"/>
    <cellStyle name="Vérification 2 2 4 2 7" xfId="3520"/>
    <cellStyle name="Vérification 2 2 4 2 7 2" xfId="8486"/>
    <cellStyle name="Vérification 2 2 4 2 7 2 2" xfId="24710"/>
    <cellStyle name="Vérification 2 2 4 2 7 2 2 2" xfId="36717"/>
    <cellStyle name="Vérification 2 2 4 2 7 2 3" xfId="14493"/>
    <cellStyle name="Vérification 2 2 4 2 7 2 4" xfId="30714"/>
    <cellStyle name="Vérification 2 2 4 2 7 3" xfId="19748"/>
    <cellStyle name="Vérification 2 2 4 2 7 3 2" xfId="33862"/>
    <cellStyle name="Vérification 2 2 4 2 7 4" xfId="12041"/>
    <cellStyle name="Vérification 2 2 4 2 7 5" xfId="28262"/>
    <cellStyle name="Vérification 2 2 4 2 8" xfId="3242"/>
    <cellStyle name="Vérification 2 2 4 2 8 2" xfId="19470"/>
    <cellStyle name="Vérification 2 2 4 2 8 2 2" xfId="33584"/>
    <cellStyle name="Vérification 2 2 4 2 8 3" xfId="12354"/>
    <cellStyle name="Vérification 2 2 4 2 8 4" xfId="28575"/>
    <cellStyle name="Vérification 2 2 4 2 9" xfId="16654"/>
    <cellStyle name="Vérification 2 2 4 2 9 2" xfId="32658"/>
    <cellStyle name="Vérification 2 2 4 3" xfId="504"/>
    <cellStyle name="Vérification 2 2 4 3 10" xfId="10451"/>
    <cellStyle name="Vérification 2 2 4 3 11" xfId="26676"/>
    <cellStyle name="Vérification 2 2 4 3 2" xfId="1370"/>
    <cellStyle name="Vérification 2 2 4 3 2 2" xfId="2848"/>
    <cellStyle name="Vérification 2 2 4 3 2 2 2" xfId="6536"/>
    <cellStyle name="Vérification 2 2 4 3 2 2 2 2" xfId="8917"/>
    <cellStyle name="Vérification 2 2 4 3 2 2 2 2 2" xfId="25141"/>
    <cellStyle name="Vérification 2 2 4 3 2 2 2 2 2 2" xfId="37148"/>
    <cellStyle name="Vérification 2 2 4 3 2 2 2 2 3" xfId="14924"/>
    <cellStyle name="Vérification 2 2 4 3 2 2 2 2 4" xfId="31145"/>
    <cellStyle name="Vérification 2 2 4 3 2 2 2 3" xfId="10295"/>
    <cellStyle name="Vérification 2 2 4 3 2 2 2 3 2" xfId="26519"/>
    <cellStyle name="Vérification 2 2 4 3 2 2 2 3 2 2" xfId="38526"/>
    <cellStyle name="Vérification 2 2 4 3 2 2 2 3 3" xfId="16302"/>
    <cellStyle name="Vérification 2 2 4 3 2 2 2 3 4" xfId="32523"/>
    <cellStyle name="Vérification 2 2 4 3 2 2 2 4" xfId="22760"/>
    <cellStyle name="Vérification 2 2 4 3 2 2 2 4 2" xfId="34767"/>
    <cellStyle name="Vérification 2 2 4 3 2 2 2 5" xfId="12621"/>
    <cellStyle name="Vérification 2 2 4 3 2 2 2 6" xfId="28842"/>
    <cellStyle name="Vérification 2 2 4 3 2 2 3" xfId="7584"/>
    <cellStyle name="Vérification 2 2 4 3 2 2 3 2" xfId="9628"/>
    <cellStyle name="Vérification 2 2 4 3 2 2 3 2 2" xfId="25852"/>
    <cellStyle name="Vérification 2 2 4 3 2 2 3 2 2 2" xfId="37859"/>
    <cellStyle name="Vérification 2 2 4 3 2 2 3 2 3" xfId="15635"/>
    <cellStyle name="Vérification 2 2 4 3 2 2 3 2 4" xfId="31856"/>
    <cellStyle name="Vérification 2 2 4 3 2 2 3 3" xfId="23808"/>
    <cellStyle name="Vérification 2 2 4 3 2 2 3 3 2" xfId="35815"/>
    <cellStyle name="Vérification 2 2 4 3 2 2 3 4" xfId="13332"/>
    <cellStyle name="Vérification 2 2 4 3 2 2 3 5" xfId="29553"/>
    <cellStyle name="Vérification 2 2 4 3 2 2 4" xfId="7961"/>
    <cellStyle name="Vérification 2 2 4 3 2 2 4 2" xfId="24185"/>
    <cellStyle name="Vérification 2 2 4 3 2 2 4 2 2" xfId="36192"/>
    <cellStyle name="Vérification 2 2 4 3 2 2 4 3" xfId="13968"/>
    <cellStyle name="Vérification 2 2 4 3 2 2 4 4" xfId="30189"/>
    <cellStyle name="Vérification 2 2 4 3 2 2 5" xfId="19076"/>
    <cellStyle name="Vérification 2 2 4 3 2 2 5 2" xfId="33190"/>
    <cellStyle name="Vérification 2 2 4 3 2 2 6" xfId="11317"/>
    <cellStyle name="Vérification 2 2 4 3 2 2 7" xfId="27538"/>
    <cellStyle name="Vérification 2 2 4 3 2 3" xfId="5067"/>
    <cellStyle name="Vérification 2 2 4 3 2 3 2" xfId="7094"/>
    <cellStyle name="Vérification 2 2 4 3 2 3 2 2" xfId="9295"/>
    <cellStyle name="Vérification 2 2 4 3 2 3 2 2 2" xfId="25519"/>
    <cellStyle name="Vérification 2 2 4 3 2 3 2 2 2 2" xfId="37526"/>
    <cellStyle name="Vérification 2 2 4 3 2 3 2 2 3" xfId="15302"/>
    <cellStyle name="Vérification 2 2 4 3 2 3 2 2 4" xfId="31523"/>
    <cellStyle name="Vérification 2 2 4 3 2 3 2 3" xfId="23318"/>
    <cellStyle name="Vérification 2 2 4 3 2 3 2 3 2" xfId="35325"/>
    <cellStyle name="Vérification 2 2 4 3 2 3 2 4" xfId="12999"/>
    <cellStyle name="Vérification 2 2 4 3 2 3 2 5" xfId="29220"/>
    <cellStyle name="Vérification 2 2 4 3 2 3 3" xfId="7192"/>
    <cellStyle name="Vérification 2 2 4 3 2 3 3 2" xfId="23416"/>
    <cellStyle name="Vérification 2 2 4 3 2 3 3 2 2" xfId="35423"/>
    <cellStyle name="Vérification 2 2 4 3 2 3 3 3" xfId="13576"/>
    <cellStyle name="Vérification 2 2 4 3 2 3 3 4" xfId="29797"/>
    <cellStyle name="Vérification 2 2 4 3 2 3 4" xfId="21293"/>
    <cellStyle name="Vérification 2 2 4 3 2 3 4 2" xfId="34434"/>
    <cellStyle name="Vérification 2 2 4 3 2 3 5" xfId="10981"/>
    <cellStyle name="Vérification 2 2 4 3 2 3 6" xfId="27204"/>
    <cellStyle name="Vérification 2 2 4 3 2 4" xfId="3458"/>
    <cellStyle name="Vérification 2 2 4 3 2 4 2" xfId="8425"/>
    <cellStyle name="Vérification 2 2 4 3 2 4 2 2" xfId="24649"/>
    <cellStyle name="Vérification 2 2 4 3 2 4 2 2 2" xfId="36656"/>
    <cellStyle name="Vérification 2 2 4 3 2 4 2 3" xfId="14432"/>
    <cellStyle name="Vérification 2 2 4 3 2 4 2 4" xfId="30653"/>
    <cellStyle name="Vérification 2 2 4 3 2 4 3" xfId="9962"/>
    <cellStyle name="Vérification 2 2 4 3 2 4 3 2" xfId="26186"/>
    <cellStyle name="Vérification 2 2 4 3 2 4 3 2 2" xfId="38193"/>
    <cellStyle name="Vérification 2 2 4 3 2 4 3 3" xfId="15969"/>
    <cellStyle name="Vérification 2 2 4 3 2 4 3 4" xfId="32190"/>
    <cellStyle name="Vérification 2 2 4 3 2 4 4" xfId="19686"/>
    <cellStyle name="Vérification 2 2 4 3 2 4 4 2" xfId="33800"/>
    <cellStyle name="Vérification 2 2 4 3 2 4 5" xfId="11980"/>
    <cellStyle name="Vérification 2 2 4 3 2 4 6" xfId="28201"/>
    <cellStyle name="Vérification 2 2 4 3 2 5" xfId="3544"/>
    <cellStyle name="Vérification 2 2 4 3 2 5 2" xfId="8504"/>
    <cellStyle name="Vérification 2 2 4 3 2 5 2 2" xfId="24728"/>
    <cellStyle name="Vérification 2 2 4 3 2 5 2 2 2" xfId="36735"/>
    <cellStyle name="Vérification 2 2 4 3 2 5 2 3" xfId="14511"/>
    <cellStyle name="Vérification 2 2 4 3 2 5 2 4" xfId="30732"/>
    <cellStyle name="Vérification 2 2 4 3 2 5 3" xfId="19772"/>
    <cellStyle name="Vérification 2 2 4 3 2 5 3 2" xfId="33886"/>
    <cellStyle name="Vérification 2 2 4 3 2 5 4" xfId="12059"/>
    <cellStyle name="Vérification 2 2 4 3 2 5 5" xfId="28280"/>
    <cellStyle name="Vérification 2 2 4 3 2 6" xfId="7015"/>
    <cellStyle name="Vérification 2 2 4 3 2 6 2" xfId="23239"/>
    <cellStyle name="Vérification 2 2 4 3 2 6 2 2" xfId="35246"/>
    <cellStyle name="Vérification 2 2 4 3 2 6 3" xfId="11598"/>
    <cellStyle name="Vérification 2 2 4 3 2 6 4" xfId="27819"/>
    <cellStyle name="Vérification 2 2 4 3 2 7" xfId="17609"/>
    <cellStyle name="Vérification 2 2 4 3 2 7 2" xfId="32857"/>
    <cellStyle name="Vérification 2 2 4 3 2 8" xfId="10629"/>
    <cellStyle name="Vérification 2 2 4 3 2 9" xfId="26854"/>
    <cellStyle name="Vérification 2 2 4 3 3" xfId="1119"/>
    <cellStyle name="Vérification 2 2 4 3 3 2" xfId="2759"/>
    <cellStyle name="Vérification 2 2 4 3 3 2 2" xfId="6447"/>
    <cellStyle name="Vérification 2 2 4 3 3 2 2 2" xfId="8828"/>
    <cellStyle name="Vérification 2 2 4 3 3 2 2 2 2" xfId="25052"/>
    <cellStyle name="Vérification 2 2 4 3 3 2 2 2 2 2" xfId="37059"/>
    <cellStyle name="Vérification 2 2 4 3 3 2 2 2 3" xfId="14835"/>
    <cellStyle name="Vérification 2 2 4 3 3 2 2 2 4" xfId="31056"/>
    <cellStyle name="Vérification 2 2 4 3 3 2 2 3" xfId="10206"/>
    <cellStyle name="Vérification 2 2 4 3 3 2 2 3 2" xfId="26430"/>
    <cellStyle name="Vérification 2 2 4 3 3 2 2 3 2 2" xfId="38437"/>
    <cellStyle name="Vérification 2 2 4 3 3 2 2 3 3" xfId="16213"/>
    <cellStyle name="Vérification 2 2 4 3 3 2 2 3 4" xfId="32434"/>
    <cellStyle name="Vérification 2 2 4 3 3 2 2 4" xfId="22671"/>
    <cellStyle name="Vérification 2 2 4 3 3 2 2 4 2" xfId="34678"/>
    <cellStyle name="Vérification 2 2 4 3 3 2 2 5" xfId="12532"/>
    <cellStyle name="Vérification 2 2 4 3 3 2 2 6" xfId="28753"/>
    <cellStyle name="Vérification 2 2 4 3 3 2 3" xfId="7495"/>
    <cellStyle name="Vérification 2 2 4 3 3 2 3 2" xfId="9539"/>
    <cellStyle name="Vérification 2 2 4 3 3 2 3 2 2" xfId="25763"/>
    <cellStyle name="Vérification 2 2 4 3 3 2 3 2 2 2" xfId="37770"/>
    <cellStyle name="Vérification 2 2 4 3 3 2 3 2 3" xfId="15546"/>
    <cellStyle name="Vérification 2 2 4 3 3 2 3 2 4" xfId="31767"/>
    <cellStyle name="Vérification 2 2 4 3 3 2 3 3" xfId="23719"/>
    <cellStyle name="Vérification 2 2 4 3 3 2 3 3 2" xfId="35726"/>
    <cellStyle name="Vérification 2 2 4 3 3 2 3 4" xfId="13243"/>
    <cellStyle name="Vérification 2 2 4 3 3 2 3 5" xfId="29464"/>
    <cellStyle name="Vérification 2 2 4 3 3 2 4" xfId="7872"/>
    <cellStyle name="Vérification 2 2 4 3 3 2 4 2" xfId="24096"/>
    <cellStyle name="Vérification 2 2 4 3 3 2 4 2 2" xfId="36103"/>
    <cellStyle name="Vérification 2 2 4 3 3 2 4 3" xfId="13879"/>
    <cellStyle name="Vérification 2 2 4 3 3 2 4 4" xfId="30100"/>
    <cellStyle name="Vérification 2 2 4 3 3 2 5" xfId="18987"/>
    <cellStyle name="Vérification 2 2 4 3 3 2 5 2" xfId="33101"/>
    <cellStyle name="Vérification 2 2 4 3 3 2 6" xfId="11228"/>
    <cellStyle name="Vérification 2 2 4 3 3 2 7" xfId="27449"/>
    <cellStyle name="Vérification 2 2 4 3 3 3" xfId="4816"/>
    <cellStyle name="Vérification 2 2 4 3 3 3 2" xfId="6986"/>
    <cellStyle name="Vérification 2 2 4 3 3 3 2 2" xfId="9206"/>
    <cellStyle name="Vérification 2 2 4 3 3 3 2 2 2" xfId="25430"/>
    <cellStyle name="Vérification 2 2 4 3 3 3 2 2 2 2" xfId="37437"/>
    <cellStyle name="Vérification 2 2 4 3 3 3 2 2 3" xfId="15213"/>
    <cellStyle name="Vérification 2 2 4 3 3 3 2 2 4" xfId="31434"/>
    <cellStyle name="Vérification 2 2 4 3 3 3 2 3" xfId="23210"/>
    <cellStyle name="Vérification 2 2 4 3 3 3 2 3 2" xfId="35217"/>
    <cellStyle name="Vérification 2 2 4 3 3 3 2 4" xfId="12910"/>
    <cellStyle name="Vérification 2 2 4 3 3 3 2 5" xfId="29131"/>
    <cellStyle name="Vérification 2 2 4 3 3 3 3" xfId="3692"/>
    <cellStyle name="Vérification 2 2 4 3 3 3 3 2" xfId="19920"/>
    <cellStyle name="Vérification 2 2 4 3 3 3 3 2 2" xfId="34034"/>
    <cellStyle name="Vérification 2 2 4 3 3 3 3 3" xfId="12384"/>
    <cellStyle name="Vérification 2 2 4 3 3 3 3 4" xfId="28605"/>
    <cellStyle name="Vérification 2 2 4 3 3 3 4" xfId="21042"/>
    <cellStyle name="Vérification 2 2 4 3 3 3 4 2" xfId="34345"/>
    <cellStyle name="Vérification 2 2 4 3 3 3 5" xfId="10892"/>
    <cellStyle name="Vérification 2 2 4 3 3 3 6" xfId="27115"/>
    <cellStyle name="Vérification 2 2 4 3 3 4" xfId="3330"/>
    <cellStyle name="Vérification 2 2 4 3 3 4 2" xfId="8313"/>
    <cellStyle name="Vérification 2 2 4 3 3 4 2 2" xfId="24537"/>
    <cellStyle name="Vérification 2 2 4 3 3 4 2 2 2" xfId="36544"/>
    <cellStyle name="Vérification 2 2 4 3 3 4 2 3" xfId="14320"/>
    <cellStyle name="Vérification 2 2 4 3 3 4 2 4" xfId="30541"/>
    <cellStyle name="Vérification 2 2 4 3 3 4 3" xfId="9873"/>
    <cellStyle name="Vérification 2 2 4 3 3 4 3 2" xfId="26097"/>
    <cellStyle name="Vérification 2 2 4 3 3 4 3 2 2" xfId="38104"/>
    <cellStyle name="Vérification 2 2 4 3 3 4 3 3" xfId="15880"/>
    <cellStyle name="Vérification 2 2 4 3 3 4 3 4" xfId="32101"/>
    <cellStyle name="Vérification 2 2 4 3 3 4 4" xfId="19558"/>
    <cellStyle name="Vérification 2 2 4 3 3 4 4 2" xfId="33672"/>
    <cellStyle name="Vérification 2 2 4 3 3 4 5" xfId="11868"/>
    <cellStyle name="Vérification 2 2 4 3 3 4 6" xfId="28089"/>
    <cellStyle name="Vérification 2 2 4 3 3 5" xfId="3403"/>
    <cellStyle name="Vérification 2 2 4 3 3 5 2" xfId="8372"/>
    <cellStyle name="Vérification 2 2 4 3 3 5 2 2" xfId="24596"/>
    <cellStyle name="Vérification 2 2 4 3 3 5 2 2 2" xfId="36603"/>
    <cellStyle name="Vérification 2 2 4 3 3 5 2 3" xfId="14379"/>
    <cellStyle name="Vérification 2 2 4 3 3 5 2 4" xfId="30600"/>
    <cellStyle name="Vérification 2 2 4 3 3 5 3" xfId="19631"/>
    <cellStyle name="Vérification 2 2 4 3 3 5 3 2" xfId="33745"/>
    <cellStyle name="Vérification 2 2 4 3 3 5 4" xfId="11927"/>
    <cellStyle name="Vérification 2 2 4 3 3 5 5" xfId="28148"/>
    <cellStyle name="Vérification 2 2 4 3 3 6" xfId="7263"/>
    <cellStyle name="Vérification 2 2 4 3 3 6 2" xfId="23487"/>
    <cellStyle name="Vérification 2 2 4 3 3 6 2 2" xfId="35494"/>
    <cellStyle name="Vérification 2 2 4 3 3 6 3" xfId="13647"/>
    <cellStyle name="Vérification 2 2 4 3 3 6 4" xfId="29868"/>
    <cellStyle name="Vérification 2 2 4 3 3 7" xfId="17358"/>
    <cellStyle name="Vérification 2 2 4 3 3 7 2" xfId="32768"/>
    <cellStyle name="Vérification 2 2 4 3 3 8" xfId="10540"/>
    <cellStyle name="Vérification 2 2 4 3 3 9" xfId="26765"/>
    <cellStyle name="Vérification 2 2 4 3 4" xfId="2670"/>
    <cellStyle name="Vérification 2 2 4 3 4 2" xfId="6358"/>
    <cellStyle name="Vérification 2 2 4 3 4 2 2" xfId="8739"/>
    <cellStyle name="Vérification 2 2 4 3 4 2 2 2" xfId="24963"/>
    <cellStyle name="Vérification 2 2 4 3 4 2 2 2 2" xfId="36970"/>
    <cellStyle name="Vérification 2 2 4 3 4 2 2 3" xfId="14746"/>
    <cellStyle name="Vérification 2 2 4 3 4 2 2 4" xfId="30967"/>
    <cellStyle name="Vérification 2 2 4 3 4 2 3" xfId="10117"/>
    <cellStyle name="Vérification 2 2 4 3 4 2 3 2" xfId="26341"/>
    <cellStyle name="Vérification 2 2 4 3 4 2 3 2 2" xfId="38348"/>
    <cellStyle name="Vérification 2 2 4 3 4 2 3 3" xfId="16124"/>
    <cellStyle name="Vérification 2 2 4 3 4 2 3 4" xfId="32345"/>
    <cellStyle name="Vérification 2 2 4 3 4 2 4" xfId="22582"/>
    <cellStyle name="Vérification 2 2 4 3 4 2 4 2" xfId="34589"/>
    <cellStyle name="Vérification 2 2 4 3 4 2 5" xfId="12443"/>
    <cellStyle name="Vérification 2 2 4 3 4 2 6" xfId="28664"/>
    <cellStyle name="Vérification 2 2 4 3 4 3" xfId="7406"/>
    <cellStyle name="Vérification 2 2 4 3 4 3 2" xfId="9450"/>
    <cellStyle name="Vérification 2 2 4 3 4 3 2 2" xfId="25674"/>
    <cellStyle name="Vérification 2 2 4 3 4 3 2 2 2" xfId="37681"/>
    <cellStyle name="Vérification 2 2 4 3 4 3 2 3" xfId="15457"/>
    <cellStyle name="Vérification 2 2 4 3 4 3 2 4" xfId="31678"/>
    <cellStyle name="Vérification 2 2 4 3 4 3 3" xfId="23630"/>
    <cellStyle name="Vérification 2 2 4 3 4 3 3 2" xfId="35637"/>
    <cellStyle name="Vérification 2 2 4 3 4 3 4" xfId="13154"/>
    <cellStyle name="Vérification 2 2 4 3 4 3 5" xfId="29375"/>
    <cellStyle name="Vérification 2 2 4 3 4 4" xfId="7783"/>
    <cellStyle name="Vérification 2 2 4 3 4 4 2" xfId="24007"/>
    <cellStyle name="Vérification 2 2 4 3 4 4 2 2" xfId="36014"/>
    <cellStyle name="Vérification 2 2 4 3 4 4 3" xfId="13790"/>
    <cellStyle name="Vérification 2 2 4 3 4 4 4" xfId="30011"/>
    <cellStyle name="Vérification 2 2 4 3 4 5" xfId="18898"/>
    <cellStyle name="Vérification 2 2 4 3 4 5 2" xfId="33012"/>
    <cellStyle name="Vérification 2 2 4 3 4 6" xfId="11139"/>
    <cellStyle name="Vérification 2 2 4 3 4 7" xfId="27360"/>
    <cellStyle name="Vérification 2 2 4 3 5" xfId="4241"/>
    <cellStyle name="Vérification 2 2 4 3 5 2" xfId="6821"/>
    <cellStyle name="Vérification 2 2 4 3 5 2 2" xfId="9117"/>
    <cellStyle name="Vérification 2 2 4 3 5 2 2 2" xfId="25341"/>
    <cellStyle name="Vérification 2 2 4 3 5 2 2 2 2" xfId="37348"/>
    <cellStyle name="Vérification 2 2 4 3 5 2 2 3" xfId="15124"/>
    <cellStyle name="Vérification 2 2 4 3 5 2 2 4" xfId="31345"/>
    <cellStyle name="Vérification 2 2 4 3 5 2 3" xfId="23045"/>
    <cellStyle name="Vérification 2 2 4 3 5 2 3 2" xfId="35052"/>
    <cellStyle name="Vérification 2 2 4 3 5 2 4" xfId="12821"/>
    <cellStyle name="Vérification 2 2 4 3 5 2 5" xfId="29042"/>
    <cellStyle name="Vérification 2 2 4 3 5 3" xfId="3063"/>
    <cellStyle name="Vérification 2 2 4 3 5 3 2" xfId="19291"/>
    <cellStyle name="Vérification 2 2 4 3 5 3 2 2" xfId="33405"/>
    <cellStyle name="Vérification 2 2 4 3 5 3 3" xfId="11564"/>
    <cellStyle name="Vérification 2 2 4 3 5 3 4" xfId="27785"/>
    <cellStyle name="Vérification 2 2 4 3 5 4" xfId="20467"/>
    <cellStyle name="Vérification 2 2 4 3 5 4 2" xfId="34256"/>
    <cellStyle name="Vérification 2 2 4 3 5 5" xfId="10796"/>
    <cellStyle name="Vérification 2 2 4 3 5 6" xfId="27019"/>
    <cellStyle name="Vérification 2 2 4 3 6" xfId="3109"/>
    <cellStyle name="Vérification 2 2 4 3 6 2" xfId="8161"/>
    <cellStyle name="Vérification 2 2 4 3 6 2 2" xfId="24385"/>
    <cellStyle name="Vérification 2 2 4 3 6 2 2 2" xfId="36392"/>
    <cellStyle name="Vérification 2 2 4 3 6 2 3" xfId="14168"/>
    <cellStyle name="Vérification 2 2 4 3 6 2 4" xfId="30389"/>
    <cellStyle name="Vérification 2 2 4 3 6 3" xfId="9784"/>
    <cellStyle name="Vérification 2 2 4 3 6 3 2" xfId="26008"/>
    <cellStyle name="Vérification 2 2 4 3 6 3 2 2" xfId="38015"/>
    <cellStyle name="Vérification 2 2 4 3 6 3 3" xfId="15791"/>
    <cellStyle name="Vérification 2 2 4 3 6 3 4" xfId="32012"/>
    <cellStyle name="Vérification 2 2 4 3 6 4" xfId="19337"/>
    <cellStyle name="Vérification 2 2 4 3 6 4 2" xfId="33451"/>
    <cellStyle name="Vérification 2 2 4 3 6 5" xfId="11716"/>
    <cellStyle name="Vérification 2 2 4 3 6 6" xfId="27937"/>
    <cellStyle name="Vérification 2 2 4 3 7" xfId="3637"/>
    <cellStyle name="Vérification 2 2 4 3 7 2" xfId="8552"/>
    <cellStyle name="Vérification 2 2 4 3 7 2 2" xfId="24776"/>
    <cellStyle name="Vérification 2 2 4 3 7 2 2 2" xfId="36783"/>
    <cellStyle name="Vérification 2 2 4 3 7 2 3" xfId="14559"/>
    <cellStyle name="Vérification 2 2 4 3 7 2 4" xfId="30780"/>
    <cellStyle name="Vérification 2 2 4 3 7 3" xfId="19865"/>
    <cellStyle name="Vérification 2 2 4 3 7 3 2" xfId="33979"/>
    <cellStyle name="Vérification 2 2 4 3 7 4" xfId="12107"/>
    <cellStyle name="Vérification 2 2 4 3 7 5" xfId="28328"/>
    <cellStyle name="Vérification 2 2 4 3 8" xfId="3246"/>
    <cellStyle name="Vérification 2 2 4 3 8 2" xfId="19474"/>
    <cellStyle name="Vérification 2 2 4 3 8 2 2" xfId="33588"/>
    <cellStyle name="Vérification 2 2 4 3 8 3" xfId="11594"/>
    <cellStyle name="Vérification 2 2 4 3 8 4" xfId="27815"/>
    <cellStyle name="Vérification 2 2 4 3 9" xfId="16783"/>
    <cellStyle name="Vérification 2 2 4 3 9 2" xfId="32679"/>
    <cellStyle name="Vérification 2 2 4 4" xfId="599"/>
    <cellStyle name="Vérification 2 2 4 4 10" xfId="10474"/>
    <cellStyle name="Vérification 2 2 4 4 11" xfId="26699"/>
    <cellStyle name="Vérification 2 2 4 4 2" xfId="1393"/>
    <cellStyle name="Vérification 2 2 4 4 2 2" xfId="2871"/>
    <cellStyle name="Vérification 2 2 4 4 2 2 2" xfId="6559"/>
    <cellStyle name="Vérification 2 2 4 4 2 2 2 2" xfId="8940"/>
    <cellStyle name="Vérification 2 2 4 4 2 2 2 2 2" xfId="25164"/>
    <cellStyle name="Vérification 2 2 4 4 2 2 2 2 2 2" xfId="37171"/>
    <cellStyle name="Vérification 2 2 4 4 2 2 2 2 3" xfId="14947"/>
    <cellStyle name="Vérification 2 2 4 4 2 2 2 2 4" xfId="31168"/>
    <cellStyle name="Vérification 2 2 4 4 2 2 2 3" xfId="10318"/>
    <cellStyle name="Vérification 2 2 4 4 2 2 2 3 2" xfId="26542"/>
    <cellStyle name="Vérification 2 2 4 4 2 2 2 3 2 2" xfId="38549"/>
    <cellStyle name="Vérification 2 2 4 4 2 2 2 3 3" xfId="16325"/>
    <cellStyle name="Vérification 2 2 4 4 2 2 2 3 4" xfId="32546"/>
    <cellStyle name="Vérification 2 2 4 4 2 2 2 4" xfId="22783"/>
    <cellStyle name="Vérification 2 2 4 4 2 2 2 4 2" xfId="34790"/>
    <cellStyle name="Vérification 2 2 4 4 2 2 2 5" xfId="12644"/>
    <cellStyle name="Vérification 2 2 4 4 2 2 2 6" xfId="28865"/>
    <cellStyle name="Vérification 2 2 4 4 2 2 3" xfId="7607"/>
    <cellStyle name="Vérification 2 2 4 4 2 2 3 2" xfId="9651"/>
    <cellStyle name="Vérification 2 2 4 4 2 2 3 2 2" xfId="25875"/>
    <cellStyle name="Vérification 2 2 4 4 2 2 3 2 2 2" xfId="37882"/>
    <cellStyle name="Vérification 2 2 4 4 2 2 3 2 3" xfId="15658"/>
    <cellStyle name="Vérification 2 2 4 4 2 2 3 2 4" xfId="31879"/>
    <cellStyle name="Vérification 2 2 4 4 2 2 3 3" xfId="23831"/>
    <cellStyle name="Vérification 2 2 4 4 2 2 3 3 2" xfId="35838"/>
    <cellStyle name="Vérification 2 2 4 4 2 2 3 4" xfId="13355"/>
    <cellStyle name="Vérification 2 2 4 4 2 2 3 5" xfId="29576"/>
    <cellStyle name="Vérification 2 2 4 4 2 2 4" xfId="7984"/>
    <cellStyle name="Vérification 2 2 4 4 2 2 4 2" xfId="24208"/>
    <cellStyle name="Vérification 2 2 4 4 2 2 4 2 2" xfId="36215"/>
    <cellStyle name="Vérification 2 2 4 4 2 2 4 3" xfId="13991"/>
    <cellStyle name="Vérification 2 2 4 4 2 2 4 4" xfId="30212"/>
    <cellStyle name="Vérification 2 2 4 4 2 2 5" xfId="19099"/>
    <cellStyle name="Vérification 2 2 4 4 2 2 5 2" xfId="33213"/>
    <cellStyle name="Vérification 2 2 4 4 2 2 6" xfId="11340"/>
    <cellStyle name="Vérification 2 2 4 4 2 2 7" xfId="27561"/>
    <cellStyle name="Vérification 2 2 4 4 2 3" xfId="5090"/>
    <cellStyle name="Vérification 2 2 4 4 2 3 2" xfId="7117"/>
    <cellStyle name="Vérification 2 2 4 4 2 3 2 2" xfId="9318"/>
    <cellStyle name="Vérification 2 2 4 4 2 3 2 2 2" xfId="25542"/>
    <cellStyle name="Vérification 2 2 4 4 2 3 2 2 2 2" xfId="37549"/>
    <cellStyle name="Vérification 2 2 4 4 2 3 2 2 3" xfId="15325"/>
    <cellStyle name="Vérification 2 2 4 4 2 3 2 2 4" xfId="31546"/>
    <cellStyle name="Vérification 2 2 4 4 2 3 2 3" xfId="23341"/>
    <cellStyle name="Vérification 2 2 4 4 2 3 2 3 2" xfId="35348"/>
    <cellStyle name="Vérification 2 2 4 4 2 3 2 4" xfId="13022"/>
    <cellStyle name="Vérification 2 2 4 4 2 3 2 5" xfId="29243"/>
    <cellStyle name="Vérification 2 2 4 4 2 3 3" xfId="3684"/>
    <cellStyle name="Vérification 2 2 4 4 2 3 3 2" xfId="19912"/>
    <cellStyle name="Vérification 2 2 4 4 2 3 3 2 2" xfId="34026"/>
    <cellStyle name="Vérification 2 2 4 4 2 3 3 3" xfId="11435"/>
    <cellStyle name="Vérification 2 2 4 4 2 3 3 4" xfId="27656"/>
    <cellStyle name="Vérification 2 2 4 4 2 3 4" xfId="21316"/>
    <cellStyle name="Vérification 2 2 4 4 2 3 4 2" xfId="34457"/>
    <cellStyle name="Vérification 2 2 4 4 2 3 5" xfId="11004"/>
    <cellStyle name="Vérification 2 2 4 4 2 3 6" xfId="27227"/>
    <cellStyle name="Vérification 2 2 4 4 2 4" xfId="3481"/>
    <cellStyle name="Vérification 2 2 4 4 2 4 2" xfId="8448"/>
    <cellStyle name="Vérification 2 2 4 4 2 4 2 2" xfId="24672"/>
    <cellStyle name="Vérification 2 2 4 4 2 4 2 2 2" xfId="36679"/>
    <cellStyle name="Vérification 2 2 4 4 2 4 2 3" xfId="14455"/>
    <cellStyle name="Vérification 2 2 4 4 2 4 2 4" xfId="30676"/>
    <cellStyle name="Vérification 2 2 4 4 2 4 3" xfId="9985"/>
    <cellStyle name="Vérification 2 2 4 4 2 4 3 2" xfId="26209"/>
    <cellStyle name="Vérification 2 2 4 4 2 4 3 2 2" xfId="38216"/>
    <cellStyle name="Vérification 2 2 4 4 2 4 3 3" xfId="15992"/>
    <cellStyle name="Vérification 2 2 4 4 2 4 3 4" xfId="32213"/>
    <cellStyle name="Vérification 2 2 4 4 2 4 4" xfId="19709"/>
    <cellStyle name="Vérification 2 2 4 4 2 4 4 2" xfId="33823"/>
    <cellStyle name="Vérification 2 2 4 4 2 4 5" xfId="12003"/>
    <cellStyle name="Vérification 2 2 4 4 2 4 6" xfId="28224"/>
    <cellStyle name="Vérification 2 2 4 4 2 5" xfId="3090"/>
    <cellStyle name="Vérification 2 2 4 4 2 5 2" xfId="8147"/>
    <cellStyle name="Vérification 2 2 4 4 2 5 2 2" xfId="24371"/>
    <cellStyle name="Vérification 2 2 4 4 2 5 2 2 2" xfId="36378"/>
    <cellStyle name="Vérification 2 2 4 4 2 5 2 3" xfId="14154"/>
    <cellStyle name="Vérification 2 2 4 4 2 5 2 4" xfId="30375"/>
    <cellStyle name="Vérification 2 2 4 4 2 5 3" xfId="19318"/>
    <cellStyle name="Vérification 2 2 4 4 2 5 3 2" xfId="33432"/>
    <cellStyle name="Vérification 2 2 4 4 2 5 4" xfId="11702"/>
    <cellStyle name="Vérification 2 2 4 4 2 5 5" xfId="27923"/>
    <cellStyle name="Vérification 2 2 4 4 2 6" xfId="6846"/>
    <cellStyle name="Vérification 2 2 4 4 2 6 2" xfId="23070"/>
    <cellStyle name="Vérification 2 2 4 4 2 6 2 2" xfId="35077"/>
    <cellStyle name="Vérification 2 2 4 4 2 6 3" xfId="13503"/>
    <cellStyle name="Vérification 2 2 4 4 2 6 4" xfId="29724"/>
    <cellStyle name="Vérification 2 2 4 4 2 7" xfId="17632"/>
    <cellStyle name="Vérification 2 2 4 4 2 7 2" xfId="32880"/>
    <cellStyle name="Vérification 2 2 4 4 2 8" xfId="10652"/>
    <cellStyle name="Vérification 2 2 4 4 2 9" xfId="26877"/>
    <cellStyle name="Vérification 2 2 4 4 3" xfId="1196"/>
    <cellStyle name="Vérification 2 2 4 4 3 2" xfId="2782"/>
    <cellStyle name="Vérification 2 2 4 4 3 2 2" xfId="6470"/>
    <cellStyle name="Vérification 2 2 4 4 3 2 2 2" xfId="8851"/>
    <cellStyle name="Vérification 2 2 4 4 3 2 2 2 2" xfId="25075"/>
    <cellStyle name="Vérification 2 2 4 4 3 2 2 2 2 2" xfId="37082"/>
    <cellStyle name="Vérification 2 2 4 4 3 2 2 2 3" xfId="14858"/>
    <cellStyle name="Vérification 2 2 4 4 3 2 2 2 4" xfId="31079"/>
    <cellStyle name="Vérification 2 2 4 4 3 2 2 3" xfId="10229"/>
    <cellStyle name="Vérification 2 2 4 4 3 2 2 3 2" xfId="26453"/>
    <cellStyle name="Vérification 2 2 4 4 3 2 2 3 2 2" xfId="38460"/>
    <cellStyle name="Vérification 2 2 4 4 3 2 2 3 3" xfId="16236"/>
    <cellStyle name="Vérification 2 2 4 4 3 2 2 3 4" xfId="32457"/>
    <cellStyle name="Vérification 2 2 4 4 3 2 2 4" xfId="22694"/>
    <cellStyle name="Vérification 2 2 4 4 3 2 2 4 2" xfId="34701"/>
    <cellStyle name="Vérification 2 2 4 4 3 2 2 5" xfId="12555"/>
    <cellStyle name="Vérification 2 2 4 4 3 2 2 6" xfId="28776"/>
    <cellStyle name="Vérification 2 2 4 4 3 2 3" xfId="7518"/>
    <cellStyle name="Vérification 2 2 4 4 3 2 3 2" xfId="9562"/>
    <cellStyle name="Vérification 2 2 4 4 3 2 3 2 2" xfId="25786"/>
    <cellStyle name="Vérification 2 2 4 4 3 2 3 2 2 2" xfId="37793"/>
    <cellStyle name="Vérification 2 2 4 4 3 2 3 2 3" xfId="15569"/>
    <cellStyle name="Vérification 2 2 4 4 3 2 3 2 4" xfId="31790"/>
    <cellStyle name="Vérification 2 2 4 4 3 2 3 3" xfId="23742"/>
    <cellStyle name="Vérification 2 2 4 4 3 2 3 3 2" xfId="35749"/>
    <cellStyle name="Vérification 2 2 4 4 3 2 3 4" xfId="13266"/>
    <cellStyle name="Vérification 2 2 4 4 3 2 3 5" xfId="29487"/>
    <cellStyle name="Vérification 2 2 4 4 3 2 4" xfId="7895"/>
    <cellStyle name="Vérification 2 2 4 4 3 2 4 2" xfId="24119"/>
    <cellStyle name="Vérification 2 2 4 4 3 2 4 2 2" xfId="36126"/>
    <cellStyle name="Vérification 2 2 4 4 3 2 4 3" xfId="13902"/>
    <cellStyle name="Vérification 2 2 4 4 3 2 4 4" xfId="30123"/>
    <cellStyle name="Vérification 2 2 4 4 3 2 5" xfId="19010"/>
    <cellStyle name="Vérification 2 2 4 4 3 2 5 2" xfId="33124"/>
    <cellStyle name="Vérification 2 2 4 4 3 2 6" xfId="11251"/>
    <cellStyle name="Vérification 2 2 4 4 3 2 7" xfId="27472"/>
    <cellStyle name="Vérification 2 2 4 4 3 3" xfId="4893"/>
    <cellStyle name="Vérification 2 2 4 4 3 3 2" xfId="7016"/>
    <cellStyle name="Vérification 2 2 4 4 3 3 2 2" xfId="9229"/>
    <cellStyle name="Vérification 2 2 4 4 3 3 2 2 2" xfId="25453"/>
    <cellStyle name="Vérification 2 2 4 4 3 3 2 2 2 2" xfId="37460"/>
    <cellStyle name="Vérification 2 2 4 4 3 3 2 2 3" xfId="15236"/>
    <cellStyle name="Vérification 2 2 4 4 3 3 2 2 4" xfId="31457"/>
    <cellStyle name="Vérification 2 2 4 4 3 3 2 3" xfId="23240"/>
    <cellStyle name="Vérification 2 2 4 4 3 3 2 3 2" xfId="35247"/>
    <cellStyle name="Vérification 2 2 4 4 3 3 2 4" xfId="12933"/>
    <cellStyle name="Vérification 2 2 4 4 3 3 2 5" xfId="29154"/>
    <cellStyle name="Vérification 2 2 4 4 3 3 3" xfId="6955"/>
    <cellStyle name="Vérification 2 2 4 4 3 3 3 2" xfId="23179"/>
    <cellStyle name="Vérification 2 2 4 4 3 3 3 2 2" xfId="35186"/>
    <cellStyle name="Vérification 2 2 4 4 3 3 3 3" xfId="12392"/>
    <cellStyle name="Vérification 2 2 4 4 3 3 3 4" xfId="28613"/>
    <cellStyle name="Vérification 2 2 4 4 3 3 4" xfId="21119"/>
    <cellStyle name="Vérification 2 2 4 4 3 3 4 2" xfId="34368"/>
    <cellStyle name="Vérification 2 2 4 4 3 3 5" xfId="10915"/>
    <cellStyle name="Vérification 2 2 4 4 3 3 6" xfId="27138"/>
    <cellStyle name="Vérification 2 2 4 4 3 4" xfId="3368"/>
    <cellStyle name="Vérification 2 2 4 4 3 4 2" xfId="8344"/>
    <cellStyle name="Vérification 2 2 4 4 3 4 2 2" xfId="24568"/>
    <cellStyle name="Vérification 2 2 4 4 3 4 2 2 2" xfId="36575"/>
    <cellStyle name="Vérification 2 2 4 4 3 4 2 3" xfId="14351"/>
    <cellStyle name="Vérification 2 2 4 4 3 4 2 4" xfId="30572"/>
    <cellStyle name="Vérification 2 2 4 4 3 4 3" xfId="9896"/>
    <cellStyle name="Vérification 2 2 4 4 3 4 3 2" xfId="26120"/>
    <cellStyle name="Vérification 2 2 4 4 3 4 3 2 2" xfId="38127"/>
    <cellStyle name="Vérification 2 2 4 4 3 4 3 3" xfId="15903"/>
    <cellStyle name="Vérification 2 2 4 4 3 4 3 4" xfId="32124"/>
    <cellStyle name="Vérification 2 2 4 4 3 4 4" xfId="19596"/>
    <cellStyle name="Vérification 2 2 4 4 3 4 4 2" xfId="33710"/>
    <cellStyle name="Vérification 2 2 4 4 3 4 5" xfId="11899"/>
    <cellStyle name="Vérification 2 2 4 4 3 4 6" xfId="28120"/>
    <cellStyle name="Vérification 2 2 4 4 3 5" xfId="3363"/>
    <cellStyle name="Vérification 2 2 4 4 3 5 2" xfId="8339"/>
    <cellStyle name="Vérification 2 2 4 4 3 5 2 2" xfId="24563"/>
    <cellStyle name="Vérification 2 2 4 4 3 5 2 2 2" xfId="36570"/>
    <cellStyle name="Vérification 2 2 4 4 3 5 2 3" xfId="14346"/>
    <cellStyle name="Vérification 2 2 4 4 3 5 2 4" xfId="30567"/>
    <cellStyle name="Vérification 2 2 4 4 3 5 3" xfId="19591"/>
    <cellStyle name="Vérification 2 2 4 4 3 5 3 2" xfId="33705"/>
    <cellStyle name="Vérification 2 2 4 4 3 5 4" xfId="11894"/>
    <cellStyle name="Vérification 2 2 4 4 3 5 5" xfId="28115"/>
    <cellStyle name="Vérification 2 2 4 4 3 6" xfId="6950"/>
    <cellStyle name="Vérification 2 2 4 4 3 6 2" xfId="23174"/>
    <cellStyle name="Vérification 2 2 4 4 3 6 2 2" xfId="35181"/>
    <cellStyle name="Vérification 2 2 4 4 3 6 3" xfId="12310"/>
    <cellStyle name="Vérification 2 2 4 4 3 6 4" xfId="28531"/>
    <cellStyle name="Vérification 2 2 4 4 3 7" xfId="17435"/>
    <cellStyle name="Vérification 2 2 4 4 3 7 2" xfId="32791"/>
    <cellStyle name="Vérification 2 2 4 4 3 8" xfId="10563"/>
    <cellStyle name="Vérification 2 2 4 4 3 9" xfId="26788"/>
    <cellStyle name="Vérification 2 2 4 4 4" xfId="2693"/>
    <cellStyle name="Vérification 2 2 4 4 4 2" xfId="6381"/>
    <cellStyle name="Vérification 2 2 4 4 4 2 2" xfId="8762"/>
    <cellStyle name="Vérification 2 2 4 4 4 2 2 2" xfId="24986"/>
    <cellStyle name="Vérification 2 2 4 4 4 2 2 2 2" xfId="36993"/>
    <cellStyle name="Vérification 2 2 4 4 4 2 2 3" xfId="14769"/>
    <cellStyle name="Vérification 2 2 4 4 4 2 2 4" xfId="30990"/>
    <cellStyle name="Vérification 2 2 4 4 4 2 3" xfId="10140"/>
    <cellStyle name="Vérification 2 2 4 4 4 2 3 2" xfId="26364"/>
    <cellStyle name="Vérification 2 2 4 4 4 2 3 2 2" xfId="38371"/>
    <cellStyle name="Vérification 2 2 4 4 4 2 3 3" xfId="16147"/>
    <cellStyle name="Vérification 2 2 4 4 4 2 3 4" xfId="32368"/>
    <cellStyle name="Vérification 2 2 4 4 4 2 4" xfId="22605"/>
    <cellStyle name="Vérification 2 2 4 4 4 2 4 2" xfId="34612"/>
    <cellStyle name="Vérification 2 2 4 4 4 2 5" xfId="12466"/>
    <cellStyle name="Vérification 2 2 4 4 4 2 6" xfId="28687"/>
    <cellStyle name="Vérification 2 2 4 4 4 3" xfId="7429"/>
    <cellStyle name="Vérification 2 2 4 4 4 3 2" xfId="9473"/>
    <cellStyle name="Vérification 2 2 4 4 4 3 2 2" xfId="25697"/>
    <cellStyle name="Vérification 2 2 4 4 4 3 2 2 2" xfId="37704"/>
    <cellStyle name="Vérification 2 2 4 4 4 3 2 3" xfId="15480"/>
    <cellStyle name="Vérification 2 2 4 4 4 3 2 4" xfId="31701"/>
    <cellStyle name="Vérification 2 2 4 4 4 3 3" xfId="23653"/>
    <cellStyle name="Vérification 2 2 4 4 4 3 3 2" xfId="35660"/>
    <cellStyle name="Vérification 2 2 4 4 4 3 4" xfId="13177"/>
    <cellStyle name="Vérification 2 2 4 4 4 3 5" xfId="29398"/>
    <cellStyle name="Vérification 2 2 4 4 4 4" xfId="7806"/>
    <cellStyle name="Vérification 2 2 4 4 4 4 2" xfId="24030"/>
    <cellStyle name="Vérification 2 2 4 4 4 4 2 2" xfId="36037"/>
    <cellStyle name="Vérification 2 2 4 4 4 4 3" xfId="13813"/>
    <cellStyle name="Vérification 2 2 4 4 4 4 4" xfId="30034"/>
    <cellStyle name="Vérification 2 2 4 4 4 5" xfId="18921"/>
    <cellStyle name="Vérification 2 2 4 4 4 5 2" xfId="33035"/>
    <cellStyle name="Vérification 2 2 4 4 4 6" xfId="11162"/>
    <cellStyle name="Vérification 2 2 4 4 4 7" xfId="27383"/>
    <cellStyle name="Vérification 2 2 4 4 5" xfId="4318"/>
    <cellStyle name="Vérification 2 2 4 4 5 2" xfId="6857"/>
    <cellStyle name="Vérification 2 2 4 4 5 2 2" xfId="9140"/>
    <cellStyle name="Vérification 2 2 4 4 5 2 2 2" xfId="25364"/>
    <cellStyle name="Vérification 2 2 4 4 5 2 2 2 2" xfId="37371"/>
    <cellStyle name="Vérification 2 2 4 4 5 2 2 3" xfId="15147"/>
    <cellStyle name="Vérification 2 2 4 4 5 2 2 4" xfId="31368"/>
    <cellStyle name="Vérification 2 2 4 4 5 2 3" xfId="23081"/>
    <cellStyle name="Vérification 2 2 4 4 5 2 3 2" xfId="35088"/>
    <cellStyle name="Vérification 2 2 4 4 5 2 4" xfId="12844"/>
    <cellStyle name="Vérification 2 2 4 4 5 2 5" xfId="29065"/>
    <cellStyle name="Vérification 2 2 4 4 5 3" xfId="3607"/>
    <cellStyle name="Vérification 2 2 4 4 5 3 2" xfId="19835"/>
    <cellStyle name="Vérification 2 2 4 4 5 3 2 2" xfId="33949"/>
    <cellStyle name="Vérification 2 2 4 4 5 3 3" xfId="12391"/>
    <cellStyle name="Vérification 2 2 4 4 5 3 4" xfId="28612"/>
    <cellStyle name="Vérification 2 2 4 4 5 4" xfId="20544"/>
    <cellStyle name="Vérification 2 2 4 4 5 4 2" xfId="34279"/>
    <cellStyle name="Vérification 2 2 4 4 5 5" xfId="10821"/>
    <cellStyle name="Vérification 2 2 4 4 5 6" xfId="27044"/>
    <cellStyle name="Vérification 2 2 4 4 6" xfId="3146"/>
    <cellStyle name="Vérification 2 2 4 4 6 2" xfId="8190"/>
    <cellStyle name="Vérification 2 2 4 4 6 2 2" xfId="24414"/>
    <cellStyle name="Vérification 2 2 4 4 6 2 2 2" xfId="36421"/>
    <cellStyle name="Vérification 2 2 4 4 6 2 3" xfId="14197"/>
    <cellStyle name="Vérification 2 2 4 4 6 2 4" xfId="30418"/>
    <cellStyle name="Vérification 2 2 4 4 6 3" xfId="9807"/>
    <cellStyle name="Vérification 2 2 4 4 6 3 2" xfId="26031"/>
    <cellStyle name="Vérification 2 2 4 4 6 3 2 2" xfId="38038"/>
    <cellStyle name="Vérification 2 2 4 4 6 3 3" xfId="15814"/>
    <cellStyle name="Vérification 2 2 4 4 6 3 4" xfId="32035"/>
    <cellStyle name="Vérification 2 2 4 4 6 4" xfId="19374"/>
    <cellStyle name="Vérification 2 2 4 4 6 4 2" xfId="33488"/>
    <cellStyle name="Vérification 2 2 4 4 6 5" xfId="11745"/>
    <cellStyle name="Vérification 2 2 4 4 6 6" xfId="27966"/>
    <cellStyle name="Vérification 2 2 4 4 7" xfId="3313"/>
    <cellStyle name="Vérification 2 2 4 4 7 2" xfId="8299"/>
    <cellStyle name="Vérification 2 2 4 4 7 2 2" xfId="24523"/>
    <cellStyle name="Vérification 2 2 4 4 7 2 2 2" xfId="36530"/>
    <cellStyle name="Vérification 2 2 4 4 7 2 3" xfId="14306"/>
    <cellStyle name="Vérification 2 2 4 4 7 2 4" xfId="30527"/>
    <cellStyle name="Vérification 2 2 4 4 7 3" xfId="19541"/>
    <cellStyle name="Vérification 2 2 4 4 7 3 2" xfId="33655"/>
    <cellStyle name="Vérification 2 2 4 4 7 4" xfId="11854"/>
    <cellStyle name="Vérification 2 2 4 4 7 5" xfId="28075"/>
    <cellStyle name="Vérification 2 2 4 4 8" xfId="3669"/>
    <cellStyle name="Vérification 2 2 4 4 8 2" xfId="19897"/>
    <cellStyle name="Vérification 2 2 4 4 8 2 2" xfId="34011"/>
    <cellStyle name="Vérification 2 2 4 4 8 3" xfId="12256"/>
    <cellStyle name="Vérification 2 2 4 4 8 4" xfId="28477"/>
    <cellStyle name="Vérification 2 2 4 4 9" xfId="16860"/>
    <cellStyle name="Vérification 2 2 4 4 9 2" xfId="32702"/>
    <cellStyle name="Vérification 2 2 4 5" xfId="747"/>
    <cellStyle name="Vérification 2 2 4 5 10" xfId="26721"/>
    <cellStyle name="Vérification 2 2 4 5 2" xfId="1415"/>
    <cellStyle name="Vérification 2 2 4 5 2 2" xfId="2893"/>
    <cellStyle name="Vérification 2 2 4 5 2 2 2" xfId="6581"/>
    <cellStyle name="Vérification 2 2 4 5 2 2 2 2" xfId="8962"/>
    <cellStyle name="Vérification 2 2 4 5 2 2 2 2 2" xfId="25186"/>
    <cellStyle name="Vérification 2 2 4 5 2 2 2 2 2 2" xfId="37193"/>
    <cellStyle name="Vérification 2 2 4 5 2 2 2 2 3" xfId="14969"/>
    <cellStyle name="Vérification 2 2 4 5 2 2 2 2 4" xfId="31190"/>
    <cellStyle name="Vérification 2 2 4 5 2 2 2 3" xfId="10340"/>
    <cellStyle name="Vérification 2 2 4 5 2 2 2 3 2" xfId="26564"/>
    <cellStyle name="Vérification 2 2 4 5 2 2 2 3 2 2" xfId="38571"/>
    <cellStyle name="Vérification 2 2 4 5 2 2 2 3 3" xfId="16347"/>
    <cellStyle name="Vérification 2 2 4 5 2 2 2 3 4" xfId="32568"/>
    <cellStyle name="Vérification 2 2 4 5 2 2 2 4" xfId="22805"/>
    <cellStyle name="Vérification 2 2 4 5 2 2 2 4 2" xfId="34812"/>
    <cellStyle name="Vérification 2 2 4 5 2 2 2 5" xfId="12666"/>
    <cellStyle name="Vérification 2 2 4 5 2 2 2 6" xfId="28887"/>
    <cellStyle name="Vérification 2 2 4 5 2 2 3" xfId="7629"/>
    <cellStyle name="Vérification 2 2 4 5 2 2 3 2" xfId="9673"/>
    <cellStyle name="Vérification 2 2 4 5 2 2 3 2 2" xfId="25897"/>
    <cellStyle name="Vérification 2 2 4 5 2 2 3 2 2 2" xfId="37904"/>
    <cellStyle name="Vérification 2 2 4 5 2 2 3 2 3" xfId="15680"/>
    <cellStyle name="Vérification 2 2 4 5 2 2 3 2 4" xfId="31901"/>
    <cellStyle name="Vérification 2 2 4 5 2 2 3 3" xfId="23853"/>
    <cellStyle name="Vérification 2 2 4 5 2 2 3 3 2" xfId="35860"/>
    <cellStyle name="Vérification 2 2 4 5 2 2 3 4" xfId="13377"/>
    <cellStyle name="Vérification 2 2 4 5 2 2 3 5" xfId="29598"/>
    <cellStyle name="Vérification 2 2 4 5 2 2 4" xfId="8006"/>
    <cellStyle name="Vérification 2 2 4 5 2 2 4 2" xfId="24230"/>
    <cellStyle name="Vérification 2 2 4 5 2 2 4 2 2" xfId="36237"/>
    <cellStyle name="Vérification 2 2 4 5 2 2 4 3" xfId="14013"/>
    <cellStyle name="Vérification 2 2 4 5 2 2 4 4" xfId="30234"/>
    <cellStyle name="Vérification 2 2 4 5 2 2 5" xfId="19121"/>
    <cellStyle name="Vérification 2 2 4 5 2 2 5 2" xfId="33235"/>
    <cellStyle name="Vérification 2 2 4 5 2 2 6" xfId="11362"/>
    <cellStyle name="Vérification 2 2 4 5 2 2 7" xfId="27583"/>
    <cellStyle name="Vérification 2 2 4 5 2 3" xfId="5112"/>
    <cellStyle name="Vérification 2 2 4 5 2 3 2" xfId="7139"/>
    <cellStyle name="Vérification 2 2 4 5 2 3 2 2" xfId="9340"/>
    <cellStyle name="Vérification 2 2 4 5 2 3 2 2 2" xfId="25564"/>
    <cellStyle name="Vérification 2 2 4 5 2 3 2 2 2 2" xfId="37571"/>
    <cellStyle name="Vérification 2 2 4 5 2 3 2 2 3" xfId="15347"/>
    <cellStyle name="Vérification 2 2 4 5 2 3 2 2 4" xfId="31568"/>
    <cellStyle name="Vérification 2 2 4 5 2 3 2 3" xfId="23363"/>
    <cellStyle name="Vérification 2 2 4 5 2 3 2 3 2" xfId="35370"/>
    <cellStyle name="Vérification 2 2 4 5 2 3 2 4" xfId="13044"/>
    <cellStyle name="Vérification 2 2 4 5 2 3 2 5" xfId="29265"/>
    <cellStyle name="Vérification 2 2 4 5 2 3 3" xfId="2960"/>
    <cellStyle name="Vérification 2 2 4 5 2 3 3 2" xfId="19188"/>
    <cellStyle name="Vérification 2 2 4 5 2 3 3 2 2" xfId="33302"/>
    <cellStyle name="Vérification 2 2 4 5 2 3 3 3" xfId="11580"/>
    <cellStyle name="Vérification 2 2 4 5 2 3 3 4" xfId="27801"/>
    <cellStyle name="Vérification 2 2 4 5 2 3 4" xfId="21338"/>
    <cellStyle name="Vérification 2 2 4 5 2 3 4 2" xfId="34479"/>
    <cellStyle name="Vérification 2 2 4 5 2 3 5" xfId="11026"/>
    <cellStyle name="Vérification 2 2 4 5 2 3 6" xfId="27249"/>
    <cellStyle name="Vérification 2 2 4 5 2 4" xfId="3503"/>
    <cellStyle name="Vérification 2 2 4 5 2 4 2" xfId="8470"/>
    <cellStyle name="Vérification 2 2 4 5 2 4 2 2" xfId="24694"/>
    <cellStyle name="Vérification 2 2 4 5 2 4 2 2 2" xfId="36701"/>
    <cellStyle name="Vérification 2 2 4 5 2 4 2 3" xfId="14477"/>
    <cellStyle name="Vérification 2 2 4 5 2 4 2 4" xfId="30698"/>
    <cellStyle name="Vérification 2 2 4 5 2 4 3" xfId="10007"/>
    <cellStyle name="Vérification 2 2 4 5 2 4 3 2" xfId="26231"/>
    <cellStyle name="Vérification 2 2 4 5 2 4 3 2 2" xfId="38238"/>
    <cellStyle name="Vérification 2 2 4 5 2 4 3 3" xfId="16014"/>
    <cellStyle name="Vérification 2 2 4 5 2 4 3 4" xfId="32235"/>
    <cellStyle name="Vérification 2 2 4 5 2 4 4" xfId="19731"/>
    <cellStyle name="Vérification 2 2 4 5 2 4 4 2" xfId="33845"/>
    <cellStyle name="Vérification 2 2 4 5 2 4 5" xfId="12025"/>
    <cellStyle name="Vérification 2 2 4 5 2 4 6" xfId="28246"/>
    <cellStyle name="Vérification 2 2 4 5 2 5" xfId="3157"/>
    <cellStyle name="Vérification 2 2 4 5 2 5 2" xfId="8196"/>
    <cellStyle name="Vérification 2 2 4 5 2 5 2 2" xfId="24420"/>
    <cellStyle name="Vérification 2 2 4 5 2 5 2 2 2" xfId="36427"/>
    <cellStyle name="Vérification 2 2 4 5 2 5 2 3" xfId="14203"/>
    <cellStyle name="Vérification 2 2 4 5 2 5 2 4" xfId="30424"/>
    <cellStyle name="Vérification 2 2 4 5 2 5 3" xfId="19385"/>
    <cellStyle name="Vérification 2 2 4 5 2 5 3 2" xfId="33499"/>
    <cellStyle name="Vérification 2 2 4 5 2 5 4" xfId="11751"/>
    <cellStyle name="Vérification 2 2 4 5 2 5 5" xfId="27972"/>
    <cellStyle name="Vérification 2 2 4 5 2 6" xfId="6910"/>
    <cellStyle name="Vérification 2 2 4 5 2 6 2" xfId="23134"/>
    <cellStyle name="Vérification 2 2 4 5 2 6 2 2" xfId="35141"/>
    <cellStyle name="Vérification 2 2 4 5 2 6 3" xfId="12294"/>
    <cellStyle name="Vérification 2 2 4 5 2 6 4" xfId="28515"/>
    <cellStyle name="Vérification 2 2 4 5 2 7" xfId="17654"/>
    <cellStyle name="Vérification 2 2 4 5 2 7 2" xfId="32902"/>
    <cellStyle name="Vérification 2 2 4 5 2 8" xfId="10674"/>
    <cellStyle name="Vérification 2 2 4 5 2 9" xfId="26899"/>
    <cellStyle name="Vérification 2 2 4 5 3" xfId="2715"/>
    <cellStyle name="Vérification 2 2 4 5 3 2" xfId="6403"/>
    <cellStyle name="Vérification 2 2 4 5 3 2 2" xfId="8784"/>
    <cellStyle name="Vérification 2 2 4 5 3 2 2 2" xfId="25008"/>
    <cellStyle name="Vérification 2 2 4 5 3 2 2 2 2" xfId="37015"/>
    <cellStyle name="Vérification 2 2 4 5 3 2 2 3" xfId="14791"/>
    <cellStyle name="Vérification 2 2 4 5 3 2 2 4" xfId="31012"/>
    <cellStyle name="Vérification 2 2 4 5 3 2 3" xfId="10162"/>
    <cellStyle name="Vérification 2 2 4 5 3 2 3 2" xfId="26386"/>
    <cellStyle name="Vérification 2 2 4 5 3 2 3 2 2" xfId="38393"/>
    <cellStyle name="Vérification 2 2 4 5 3 2 3 3" xfId="16169"/>
    <cellStyle name="Vérification 2 2 4 5 3 2 3 4" xfId="32390"/>
    <cellStyle name="Vérification 2 2 4 5 3 2 4" xfId="22627"/>
    <cellStyle name="Vérification 2 2 4 5 3 2 4 2" xfId="34634"/>
    <cellStyle name="Vérification 2 2 4 5 3 2 5" xfId="12488"/>
    <cellStyle name="Vérification 2 2 4 5 3 2 6" xfId="28709"/>
    <cellStyle name="Vérification 2 2 4 5 3 3" xfId="7451"/>
    <cellStyle name="Vérification 2 2 4 5 3 3 2" xfId="9495"/>
    <cellStyle name="Vérification 2 2 4 5 3 3 2 2" xfId="25719"/>
    <cellStyle name="Vérification 2 2 4 5 3 3 2 2 2" xfId="37726"/>
    <cellStyle name="Vérification 2 2 4 5 3 3 2 3" xfId="15502"/>
    <cellStyle name="Vérification 2 2 4 5 3 3 2 4" xfId="31723"/>
    <cellStyle name="Vérification 2 2 4 5 3 3 3" xfId="23675"/>
    <cellStyle name="Vérification 2 2 4 5 3 3 3 2" xfId="35682"/>
    <cellStyle name="Vérification 2 2 4 5 3 3 4" xfId="13199"/>
    <cellStyle name="Vérification 2 2 4 5 3 3 5" xfId="29420"/>
    <cellStyle name="Vérification 2 2 4 5 3 4" xfId="7828"/>
    <cellStyle name="Vérification 2 2 4 5 3 4 2" xfId="24052"/>
    <cellStyle name="Vérification 2 2 4 5 3 4 2 2" xfId="36059"/>
    <cellStyle name="Vérification 2 2 4 5 3 4 3" xfId="13835"/>
    <cellStyle name="Vérification 2 2 4 5 3 4 4" xfId="30056"/>
    <cellStyle name="Vérification 2 2 4 5 3 5" xfId="18943"/>
    <cellStyle name="Vérification 2 2 4 5 3 5 2" xfId="33057"/>
    <cellStyle name="Vérification 2 2 4 5 3 6" xfId="11184"/>
    <cellStyle name="Vérification 2 2 4 5 3 7" xfId="27405"/>
    <cellStyle name="Vérification 2 2 4 5 4" xfId="4448"/>
    <cellStyle name="Vérification 2 2 4 5 4 2" xfId="6893"/>
    <cellStyle name="Vérification 2 2 4 5 4 2 2" xfId="9162"/>
    <cellStyle name="Vérification 2 2 4 5 4 2 2 2" xfId="25386"/>
    <cellStyle name="Vérification 2 2 4 5 4 2 2 2 2" xfId="37393"/>
    <cellStyle name="Vérification 2 2 4 5 4 2 2 3" xfId="15169"/>
    <cellStyle name="Vérification 2 2 4 5 4 2 2 4" xfId="31390"/>
    <cellStyle name="Vérification 2 2 4 5 4 2 3" xfId="23117"/>
    <cellStyle name="Vérification 2 2 4 5 4 2 3 2" xfId="35124"/>
    <cellStyle name="Vérification 2 2 4 5 4 2 4" xfId="12866"/>
    <cellStyle name="Vérification 2 2 4 5 4 2 5" xfId="29087"/>
    <cellStyle name="Vérification 2 2 4 5 4 3" xfId="6691"/>
    <cellStyle name="Vérification 2 2 4 5 4 3 2" xfId="22915"/>
    <cellStyle name="Vérification 2 2 4 5 4 3 2 2" xfId="34922"/>
    <cellStyle name="Vérification 2 2 4 5 4 3 3" xfId="11521"/>
    <cellStyle name="Vérification 2 2 4 5 4 3 4" xfId="27742"/>
    <cellStyle name="Vérification 2 2 4 5 4 4" xfId="20674"/>
    <cellStyle name="Vérification 2 2 4 5 4 4 2" xfId="34301"/>
    <cellStyle name="Vérification 2 2 4 5 4 5" xfId="10847"/>
    <cellStyle name="Vérification 2 2 4 5 4 6" xfId="27070"/>
    <cellStyle name="Vérification 2 2 4 5 5" xfId="3204"/>
    <cellStyle name="Vérification 2 2 4 5 5 2" xfId="8225"/>
    <cellStyle name="Vérification 2 2 4 5 5 2 2" xfId="24449"/>
    <cellStyle name="Vérification 2 2 4 5 5 2 2 2" xfId="36456"/>
    <cellStyle name="Vérification 2 2 4 5 5 2 3" xfId="14232"/>
    <cellStyle name="Vérification 2 2 4 5 5 2 4" xfId="30453"/>
    <cellStyle name="Vérification 2 2 4 5 5 3" xfId="9829"/>
    <cellStyle name="Vérification 2 2 4 5 5 3 2" xfId="26053"/>
    <cellStyle name="Vérification 2 2 4 5 5 3 2 2" xfId="38060"/>
    <cellStyle name="Vérification 2 2 4 5 5 3 3" xfId="15836"/>
    <cellStyle name="Vérification 2 2 4 5 5 3 4" xfId="32057"/>
    <cellStyle name="Vérification 2 2 4 5 5 4" xfId="19432"/>
    <cellStyle name="Vérification 2 2 4 5 5 4 2" xfId="33546"/>
    <cellStyle name="Vérification 2 2 4 5 5 5" xfId="11780"/>
    <cellStyle name="Vérification 2 2 4 5 5 6" xfId="28001"/>
    <cellStyle name="Vérification 2 2 4 5 6" xfId="3640"/>
    <cellStyle name="Vérification 2 2 4 5 6 2" xfId="8554"/>
    <cellStyle name="Vérification 2 2 4 5 6 2 2" xfId="24778"/>
    <cellStyle name="Vérification 2 2 4 5 6 2 2 2" xfId="36785"/>
    <cellStyle name="Vérification 2 2 4 5 6 2 3" xfId="14561"/>
    <cellStyle name="Vérification 2 2 4 5 6 2 4" xfId="30782"/>
    <cellStyle name="Vérification 2 2 4 5 6 3" xfId="19868"/>
    <cellStyle name="Vérification 2 2 4 5 6 3 2" xfId="33982"/>
    <cellStyle name="Vérification 2 2 4 5 6 4" xfId="12109"/>
    <cellStyle name="Vérification 2 2 4 5 6 5" xfId="28330"/>
    <cellStyle name="Vérification 2 2 4 5 7" xfId="2962"/>
    <cellStyle name="Vérification 2 2 4 5 7 2" xfId="19190"/>
    <cellStyle name="Vérification 2 2 4 5 7 2 2" xfId="33304"/>
    <cellStyle name="Vérification 2 2 4 5 7 3" xfId="12312"/>
    <cellStyle name="Vérification 2 2 4 5 7 4" xfId="28533"/>
    <cellStyle name="Vérification 2 2 4 5 8" xfId="16990"/>
    <cellStyle name="Vérification 2 2 4 5 8 2" xfId="32724"/>
    <cellStyle name="Vérification 2 2 4 5 9" xfId="10496"/>
    <cellStyle name="Vérification 2 2 4 6" xfId="1326"/>
    <cellStyle name="Vérification 2 2 4 6 2" xfId="2804"/>
    <cellStyle name="Vérification 2 2 4 6 2 2" xfId="6492"/>
    <cellStyle name="Vérification 2 2 4 6 2 2 2" xfId="8873"/>
    <cellStyle name="Vérification 2 2 4 6 2 2 2 2" xfId="25097"/>
    <cellStyle name="Vérification 2 2 4 6 2 2 2 2 2" xfId="37104"/>
    <cellStyle name="Vérification 2 2 4 6 2 2 2 3" xfId="14880"/>
    <cellStyle name="Vérification 2 2 4 6 2 2 2 4" xfId="31101"/>
    <cellStyle name="Vérification 2 2 4 6 2 2 3" xfId="10251"/>
    <cellStyle name="Vérification 2 2 4 6 2 2 3 2" xfId="26475"/>
    <cellStyle name="Vérification 2 2 4 6 2 2 3 2 2" xfId="38482"/>
    <cellStyle name="Vérification 2 2 4 6 2 2 3 3" xfId="16258"/>
    <cellStyle name="Vérification 2 2 4 6 2 2 3 4" xfId="32479"/>
    <cellStyle name="Vérification 2 2 4 6 2 2 4" xfId="22716"/>
    <cellStyle name="Vérification 2 2 4 6 2 2 4 2" xfId="34723"/>
    <cellStyle name="Vérification 2 2 4 6 2 2 5" xfId="12577"/>
    <cellStyle name="Vérification 2 2 4 6 2 2 6" xfId="28798"/>
    <cellStyle name="Vérification 2 2 4 6 2 3" xfId="7540"/>
    <cellStyle name="Vérification 2 2 4 6 2 3 2" xfId="9584"/>
    <cellStyle name="Vérification 2 2 4 6 2 3 2 2" xfId="25808"/>
    <cellStyle name="Vérification 2 2 4 6 2 3 2 2 2" xfId="37815"/>
    <cellStyle name="Vérification 2 2 4 6 2 3 2 3" xfId="15591"/>
    <cellStyle name="Vérification 2 2 4 6 2 3 2 4" xfId="31812"/>
    <cellStyle name="Vérification 2 2 4 6 2 3 3" xfId="23764"/>
    <cellStyle name="Vérification 2 2 4 6 2 3 3 2" xfId="35771"/>
    <cellStyle name="Vérification 2 2 4 6 2 3 4" xfId="13288"/>
    <cellStyle name="Vérification 2 2 4 6 2 3 5" xfId="29509"/>
    <cellStyle name="Vérification 2 2 4 6 2 4" xfId="7917"/>
    <cellStyle name="Vérification 2 2 4 6 2 4 2" xfId="24141"/>
    <cellStyle name="Vérification 2 2 4 6 2 4 2 2" xfId="36148"/>
    <cellStyle name="Vérification 2 2 4 6 2 4 3" xfId="13924"/>
    <cellStyle name="Vérification 2 2 4 6 2 4 4" xfId="30145"/>
    <cellStyle name="Vérification 2 2 4 6 2 5" xfId="19032"/>
    <cellStyle name="Vérification 2 2 4 6 2 5 2" xfId="33146"/>
    <cellStyle name="Vérification 2 2 4 6 2 6" xfId="11273"/>
    <cellStyle name="Vérification 2 2 4 6 2 7" xfId="27494"/>
    <cellStyle name="Vérification 2 2 4 6 3" xfId="5023"/>
    <cellStyle name="Vérification 2 2 4 6 3 2" xfId="7050"/>
    <cellStyle name="Vérification 2 2 4 6 3 2 2" xfId="9251"/>
    <cellStyle name="Vérification 2 2 4 6 3 2 2 2" xfId="25475"/>
    <cellStyle name="Vérification 2 2 4 6 3 2 2 2 2" xfId="37482"/>
    <cellStyle name="Vérification 2 2 4 6 3 2 2 3" xfId="15258"/>
    <cellStyle name="Vérification 2 2 4 6 3 2 2 4" xfId="31479"/>
    <cellStyle name="Vérification 2 2 4 6 3 2 3" xfId="23274"/>
    <cellStyle name="Vérification 2 2 4 6 3 2 3 2" xfId="35281"/>
    <cellStyle name="Vérification 2 2 4 6 3 2 4" xfId="12955"/>
    <cellStyle name="Vérification 2 2 4 6 3 2 5" xfId="29176"/>
    <cellStyle name="Vérification 2 2 4 6 3 3" xfId="6756"/>
    <cellStyle name="Vérification 2 2 4 6 3 3 2" xfId="22980"/>
    <cellStyle name="Vérification 2 2 4 6 3 3 2 2" xfId="34987"/>
    <cellStyle name="Vérification 2 2 4 6 3 3 3" xfId="11483"/>
    <cellStyle name="Vérification 2 2 4 6 3 3 4" xfId="27704"/>
    <cellStyle name="Vérification 2 2 4 6 3 4" xfId="21249"/>
    <cellStyle name="Vérification 2 2 4 6 3 4 2" xfId="34390"/>
    <cellStyle name="Vérification 2 2 4 6 3 5" xfId="10937"/>
    <cellStyle name="Vérification 2 2 4 6 3 6" xfId="27160"/>
    <cellStyle name="Vérification 2 2 4 6 4" xfId="3414"/>
    <cellStyle name="Vérification 2 2 4 6 4 2" xfId="8381"/>
    <cellStyle name="Vérification 2 2 4 6 4 2 2" xfId="24605"/>
    <cellStyle name="Vérification 2 2 4 6 4 2 2 2" xfId="36612"/>
    <cellStyle name="Vérification 2 2 4 6 4 2 3" xfId="14388"/>
    <cellStyle name="Vérification 2 2 4 6 4 2 4" xfId="30609"/>
    <cellStyle name="Vérification 2 2 4 6 4 3" xfId="9918"/>
    <cellStyle name="Vérification 2 2 4 6 4 3 2" xfId="26142"/>
    <cellStyle name="Vérification 2 2 4 6 4 3 2 2" xfId="38149"/>
    <cellStyle name="Vérification 2 2 4 6 4 3 3" xfId="15925"/>
    <cellStyle name="Vérification 2 2 4 6 4 3 4" xfId="32146"/>
    <cellStyle name="Vérification 2 2 4 6 4 4" xfId="19642"/>
    <cellStyle name="Vérification 2 2 4 6 4 4 2" xfId="33756"/>
    <cellStyle name="Vérification 2 2 4 6 4 5" xfId="11936"/>
    <cellStyle name="Vérification 2 2 4 6 4 6" xfId="28157"/>
    <cellStyle name="Vérification 2 2 4 6 5" xfId="3704"/>
    <cellStyle name="Vérification 2 2 4 6 5 2" xfId="8590"/>
    <cellStyle name="Vérification 2 2 4 6 5 2 2" xfId="24814"/>
    <cellStyle name="Vérification 2 2 4 6 5 2 2 2" xfId="36821"/>
    <cellStyle name="Vérification 2 2 4 6 5 2 3" xfId="14597"/>
    <cellStyle name="Vérification 2 2 4 6 5 2 4" xfId="30818"/>
    <cellStyle name="Vérification 2 2 4 6 5 3" xfId="19932"/>
    <cellStyle name="Vérification 2 2 4 6 5 3 2" xfId="34046"/>
    <cellStyle name="Vérification 2 2 4 6 5 4" xfId="12145"/>
    <cellStyle name="Vérification 2 2 4 6 5 5" xfId="28366"/>
    <cellStyle name="Vérification 2 2 4 6 6" xfId="6968"/>
    <cellStyle name="Vérification 2 2 4 6 6 2" xfId="23192"/>
    <cellStyle name="Vérification 2 2 4 6 6 2 2" xfId="35199"/>
    <cellStyle name="Vérification 2 2 4 6 6 3" xfId="11536"/>
    <cellStyle name="Vérification 2 2 4 6 6 4" xfId="27757"/>
    <cellStyle name="Vérification 2 2 4 6 7" xfId="17565"/>
    <cellStyle name="Vérification 2 2 4 6 7 2" xfId="32813"/>
    <cellStyle name="Vérification 2 2 4 6 8" xfId="10585"/>
    <cellStyle name="Vérification 2 2 4 6 9" xfId="26810"/>
    <cellStyle name="Vérification 2 2 4 7" xfId="2473"/>
    <cellStyle name="Vérification 2 2 4 7 2" xfId="2916"/>
    <cellStyle name="Vérification 2 2 4 7 2 2" xfId="6604"/>
    <cellStyle name="Vérification 2 2 4 7 2 2 2" xfId="8985"/>
    <cellStyle name="Vérification 2 2 4 7 2 2 2 2" xfId="25209"/>
    <cellStyle name="Vérification 2 2 4 7 2 2 2 2 2" xfId="37216"/>
    <cellStyle name="Vérification 2 2 4 7 2 2 2 3" xfId="14992"/>
    <cellStyle name="Vérification 2 2 4 7 2 2 2 4" xfId="31213"/>
    <cellStyle name="Vérification 2 2 4 7 2 2 3" xfId="10363"/>
    <cellStyle name="Vérification 2 2 4 7 2 2 3 2" xfId="26587"/>
    <cellStyle name="Vérification 2 2 4 7 2 2 3 2 2" xfId="38594"/>
    <cellStyle name="Vérification 2 2 4 7 2 2 3 3" xfId="16370"/>
    <cellStyle name="Vérification 2 2 4 7 2 2 3 4" xfId="32591"/>
    <cellStyle name="Vérification 2 2 4 7 2 2 4" xfId="22828"/>
    <cellStyle name="Vérification 2 2 4 7 2 2 4 2" xfId="34835"/>
    <cellStyle name="Vérification 2 2 4 7 2 2 5" xfId="12689"/>
    <cellStyle name="Vérification 2 2 4 7 2 2 6" xfId="28910"/>
    <cellStyle name="Vérification 2 2 4 7 2 3" xfId="7652"/>
    <cellStyle name="Vérification 2 2 4 7 2 3 2" xfId="9696"/>
    <cellStyle name="Vérification 2 2 4 7 2 3 2 2" xfId="25920"/>
    <cellStyle name="Vérification 2 2 4 7 2 3 2 2 2" xfId="37927"/>
    <cellStyle name="Vérification 2 2 4 7 2 3 2 3" xfId="15703"/>
    <cellStyle name="Vérification 2 2 4 7 2 3 2 4" xfId="31924"/>
    <cellStyle name="Vérification 2 2 4 7 2 3 3" xfId="23876"/>
    <cellStyle name="Vérification 2 2 4 7 2 3 3 2" xfId="35883"/>
    <cellStyle name="Vérification 2 2 4 7 2 3 4" xfId="13400"/>
    <cellStyle name="Vérification 2 2 4 7 2 3 5" xfId="29621"/>
    <cellStyle name="Vérification 2 2 4 7 2 4" xfId="8029"/>
    <cellStyle name="Vérification 2 2 4 7 2 4 2" xfId="24253"/>
    <cellStyle name="Vérification 2 2 4 7 2 4 2 2" xfId="36260"/>
    <cellStyle name="Vérification 2 2 4 7 2 4 3" xfId="14036"/>
    <cellStyle name="Vérification 2 2 4 7 2 4 4" xfId="30257"/>
    <cellStyle name="Vérification 2 2 4 7 2 5" xfId="19144"/>
    <cellStyle name="Vérification 2 2 4 7 2 5 2" xfId="33258"/>
    <cellStyle name="Vérification 2 2 4 7 2 6" xfId="11385"/>
    <cellStyle name="Vérification 2 2 4 7 2 7" xfId="27606"/>
    <cellStyle name="Vérification 2 2 4 7 3" xfId="6163"/>
    <cellStyle name="Vérification 2 2 4 7 3 2" xfId="7308"/>
    <cellStyle name="Vérification 2 2 4 7 3 2 2" xfId="9363"/>
    <cellStyle name="Vérification 2 2 4 7 3 2 2 2" xfId="25587"/>
    <cellStyle name="Vérification 2 2 4 7 3 2 2 2 2" xfId="37594"/>
    <cellStyle name="Vérification 2 2 4 7 3 2 2 3" xfId="15370"/>
    <cellStyle name="Vérification 2 2 4 7 3 2 2 4" xfId="31591"/>
    <cellStyle name="Vérification 2 2 4 7 3 2 3" xfId="23532"/>
    <cellStyle name="Vérification 2 2 4 7 3 2 3 2" xfId="35539"/>
    <cellStyle name="Vérification 2 2 4 7 3 2 4" xfId="13067"/>
    <cellStyle name="Vérification 2 2 4 7 3 2 5" xfId="29288"/>
    <cellStyle name="Vérification 2 2 4 7 3 3" xfId="7696"/>
    <cellStyle name="Vérification 2 2 4 7 3 3 2" xfId="23920"/>
    <cellStyle name="Vérification 2 2 4 7 3 3 2 2" xfId="35927"/>
    <cellStyle name="Vérification 2 2 4 7 3 3 3" xfId="13703"/>
    <cellStyle name="Vérification 2 2 4 7 3 3 4" xfId="29924"/>
    <cellStyle name="Vérification 2 2 4 7 3 4" xfId="22387"/>
    <cellStyle name="Vérification 2 2 4 7 3 4 2" xfId="34502"/>
    <cellStyle name="Vérification 2 2 4 7 3 5" xfId="11051"/>
    <cellStyle name="Vérification 2 2 4 7 3 6" xfId="27272"/>
    <cellStyle name="Vérification 2 2 4 7 4" xfId="3798"/>
    <cellStyle name="Vérification 2 2 4 7 4 2" xfId="8639"/>
    <cellStyle name="Vérification 2 2 4 7 4 2 2" xfId="24863"/>
    <cellStyle name="Vérification 2 2 4 7 4 2 2 2" xfId="36870"/>
    <cellStyle name="Vérification 2 2 4 7 4 2 3" xfId="14646"/>
    <cellStyle name="Vérification 2 2 4 7 4 2 4" xfId="30867"/>
    <cellStyle name="Vérification 2 2 4 7 4 3" xfId="10030"/>
    <cellStyle name="Vérification 2 2 4 7 4 3 2" xfId="26254"/>
    <cellStyle name="Vérification 2 2 4 7 4 3 2 2" xfId="38261"/>
    <cellStyle name="Vérification 2 2 4 7 4 3 3" xfId="16037"/>
    <cellStyle name="Vérification 2 2 4 7 4 3 4" xfId="32258"/>
    <cellStyle name="Vérification 2 2 4 7 4 4" xfId="20026"/>
    <cellStyle name="Vérification 2 2 4 7 4 4 2" xfId="34140"/>
    <cellStyle name="Vérification 2 2 4 7 4 5" xfId="12194"/>
    <cellStyle name="Vérification 2 2 4 7 4 6" xfId="28415"/>
    <cellStyle name="Vérification 2 2 4 7 5" xfId="6672"/>
    <cellStyle name="Vérification 2 2 4 7 5 2" xfId="9029"/>
    <cellStyle name="Vérification 2 2 4 7 5 2 2" xfId="25253"/>
    <cellStyle name="Vérification 2 2 4 7 5 2 2 2" xfId="37260"/>
    <cellStyle name="Vérification 2 2 4 7 5 2 3" xfId="15036"/>
    <cellStyle name="Vérification 2 2 4 7 5 2 4" xfId="31257"/>
    <cellStyle name="Vérification 2 2 4 7 5 3" xfId="22896"/>
    <cellStyle name="Vérification 2 2 4 7 5 3 2" xfId="34903"/>
    <cellStyle name="Vérification 2 2 4 7 5 4" xfId="12733"/>
    <cellStyle name="Vérification 2 2 4 7 5 5" xfId="28954"/>
    <cellStyle name="Vérification 2 2 4 7 6" xfId="3535"/>
    <cellStyle name="Vérification 2 2 4 7 6 2" xfId="19763"/>
    <cellStyle name="Vérification 2 2 4 7 6 2 2" xfId="33877"/>
    <cellStyle name="Vérification 2 2 4 7 6 3" xfId="11611"/>
    <cellStyle name="Vérification 2 2 4 7 6 4" xfId="27832"/>
    <cellStyle name="Vérification 2 2 4 7 7" xfId="18703"/>
    <cellStyle name="Vérification 2 2 4 7 7 2" xfId="32925"/>
    <cellStyle name="Vérification 2 2 4 7 8" xfId="10699"/>
    <cellStyle name="Vérification 2 2 4 7 9" xfId="26922"/>
    <cellStyle name="Vérification 2 2 4 8" xfId="2604"/>
    <cellStyle name="Vérification 2 2 4 8 2" xfId="2937"/>
    <cellStyle name="Vérification 2 2 4 8 2 2" xfId="6625"/>
    <cellStyle name="Vérification 2 2 4 8 2 2 2" xfId="9006"/>
    <cellStyle name="Vérification 2 2 4 8 2 2 2 2" xfId="25230"/>
    <cellStyle name="Vérification 2 2 4 8 2 2 2 2 2" xfId="37237"/>
    <cellStyle name="Vérification 2 2 4 8 2 2 2 3" xfId="15013"/>
    <cellStyle name="Vérification 2 2 4 8 2 2 2 4" xfId="31234"/>
    <cellStyle name="Vérification 2 2 4 8 2 2 3" xfId="10384"/>
    <cellStyle name="Vérification 2 2 4 8 2 2 3 2" xfId="26608"/>
    <cellStyle name="Vérification 2 2 4 8 2 2 3 2 2" xfId="38615"/>
    <cellStyle name="Vérification 2 2 4 8 2 2 3 3" xfId="16391"/>
    <cellStyle name="Vérification 2 2 4 8 2 2 3 4" xfId="32612"/>
    <cellStyle name="Vérification 2 2 4 8 2 2 4" xfId="22849"/>
    <cellStyle name="Vérification 2 2 4 8 2 2 4 2" xfId="34856"/>
    <cellStyle name="Vérification 2 2 4 8 2 2 5" xfId="12710"/>
    <cellStyle name="Vérification 2 2 4 8 2 2 6" xfId="28931"/>
    <cellStyle name="Vérification 2 2 4 8 2 3" xfId="7673"/>
    <cellStyle name="Vérification 2 2 4 8 2 3 2" xfId="9717"/>
    <cellStyle name="Vérification 2 2 4 8 2 3 2 2" xfId="25941"/>
    <cellStyle name="Vérification 2 2 4 8 2 3 2 2 2" xfId="37948"/>
    <cellStyle name="Vérification 2 2 4 8 2 3 2 3" xfId="15724"/>
    <cellStyle name="Vérification 2 2 4 8 2 3 2 4" xfId="31945"/>
    <cellStyle name="Vérification 2 2 4 8 2 3 3" xfId="23897"/>
    <cellStyle name="Vérification 2 2 4 8 2 3 3 2" xfId="35904"/>
    <cellStyle name="Vérification 2 2 4 8 2 3 4" xfId="13421"/>
    <cellStyle name="Vérification 2 2 4 8 2 3 5" xfId="29642"/>
    <cellStyle name="Vérification 2 2 4 8 2 4" xfId="8050"/>
    <cellStyle name="Vérification 2 2 4 8 2 4 2" xfId="24274"/>
    <cellStyle name="Vérification 2 2 4 8 2 4 2 2" xfId="36281"/>
    <cellStyle name="Vérification 2 2 4 8 2 4 3" xfId="14057"/>
    <cellStyle name="Vérification 2 2 4 8 2 4 4" xfId="30278"/>
    <cellStyle name="Vérification 2 2 4 8 2 5" xfId="19165"/>
    <cellStyle name="Vérification 2 2 4 8 2 5 2" xfId="33279"/>
    <cellStyle name="Vérification 2 2 4 8 2 6" xfId="11406"/>
    <cellStyle name="Vérification 2 2 4 8 2 7" xfId="27627"/>
    <cellStyle name="Vérification 2 2 4 8 3" xfId="6292"/>
    <cellStyle name="Vérification 2 2 4 8 3 2" xfId="7340"/>
    <cellStyle name="Vérification 2 2 4 8 3 2 2" xfId="9384"/>
    <cellStyle name="Vérification 2 2 4 8 3 2 2 2" xfId="25608"/>
    <cellStyle name="Vérification 2 2 4 8 3 2 2 2 2" xfId="37615"/>
    <cellStyle name="Vérification 2 2 4 8 3 2 2 3" xfId="15391"/>
    <cellStyle name="Vérification 2 2 4 8 3 2 2 4" xfId="31612"/>
    <cellStyle name="Vérification 2 2 4 8 3 2 3" xfId="23564"/>
    <cellStyle name="Vérification 2 2 4 8 3 2 3 2" xfId="35571"/>
    <cellStyle name="Vérification 2 2 4 8 3 2 4" xfId="13088"/>
    <cellStyle name="Vérification 2 2 4 8 3 2 5" xfId="29309"/>
    <cellStyle name="Vérification 2 2 4 8 3 3" xfId="7717"/>
    <cellStyle name="Vérification 2 2 4 8 3 3 2" xfId="23941"/>
    <cellStyle name="Vérification 2 2 4 8 3 3 2 2" xfId="35948"/>
    <cellStyle name="Vérification 2 2 4 8 3 3 3" xfId="13724"/>
    <cellStyle name="Vérification 2 2 4 8 3 3 4" xfId="29945"/>
    <cellStyle name="Vérification 2 2 4 8 3 4" xfId="22516"/>
    <cellStyle name="Vérification 2 2 4 8 3 4 2" xfId="34523"/>
    <cellStyle name="Vérification 2 2 4 8 3 5" xfId="11073"/>
    <cellStyle name="Vérification 2 2 4 8 3 6" xfId="27294"/>
    <cellStyle name="Vérification 2 2 4 8 4" xfId="3847"/>
    <cellStyle name="Vérification 2 2 4 8 4 2" xfId="8673"/>
    <cellStyle name="Vérification 2 2 4 8 4 2 2" xfId="24897"/>
    <cellStyle name="Vérification 2 2 4 8 4 2 2 2" xfId="36904"/>
    <cellStyle name="Vérification 2 2 4 8 4 2 3" xfId="14680"/>
    <cellStyle name="Vérification 2 2 4 8 4 2 4" xfId="30901"/>
    <cellStyle name="Vérification 2 2 4 8 4 3" xfId="10051"/>
    <cellStyle name="Vérification 2 2 4 8 4 3 2" xfId="26275"/>
    <cellStyle name="Vérification 2 2 4 8 4 3 2 2" xfId="38282"/>
    <cellStyle name="Vérification 2 2 4 8 4 3 3" xfId="16058"/>
    <cellStyle name="Vérification 2 2 4 8 4 3 4" xfId="32279"/>
    <cellStyle name="Vérification 2 2 4 8 4 4" xfId="20075"/>
    <cellStyle name="Vérification 2 2 4 8 4 4 2" xfId="34189"/>
    <cellStyle name="Vérification 2 2 4 8 4 5" xfId="12228"/>
    <cellStyle name="Vérification 2 2 4 8 4 6" xfId="28449"/>
    <cellStyle name="Vérification 2 2 4 8 5" xfId="6704"/>
    <cellStyle name="Vérification 2 2 4 8 5 2" xfId="9050"/>
    <cellStyle name="Vérification 2 2 4 8 5 2 2" xfId="25274"/>
    <cellStyle name="Vérification 2 2 4 8 5 2 2 2" xfId="37281"/>
    <cellStyle name="Vérification 2 2 4 8 5 2 3" xfId="15057"/>
    <cellStyle name="Vérification 2 2 4 8 5 2 4" xfId="31278"/>
    <cellStyle name="Vérification 2 2 4 8 5 3" xfId="22928"/>
    <cellStyle name="Vérification 2 2 4 8 5 3 2" xfId="34935"/>
    <cellStyle name="Vérification 2 2 4 8 5 4" xfId="12754"/>
    <cellStyle name="Vérification 2 2 4 8 5 5" xfId="28975"/>
    <cellStyle name="Vérification 2 2 4 8 6" xfId="3728"/>
    <cellStyle name="Vérification 2 2 4 8 6 2" xfId="19956"/>
    <cellStyle name="Vérification 2 2 4 8 6 2 2" xfId="34070"/>
    <cellStyle name="Vérification 2 2 4 8 6 3" xfId="12277"/>
    <cellStyle name="Vérification 2 2 4 8 6 4" xfId="28498"/>
    <cellStyle name="Vérification 2 2 4 8 7" xfId="18832"/>
    <cellStyle name="Vérification 2 2 4 8 7 2" xfId="32946"/>
    <cellStyle name="Vérification 2 2 4 8 8" xfId="10720"/>
    <cellStyle name="Vérification 2 2 4 8 9" xfId="26943"/>
    <cellStyle name="Vérification 2 2 4 9" xfId="2626"/>
    <cellStyle name="Vérification 2 2 4 9 2" xfId="6314"/>
    <cellStyle name="Vérification 2 2 4 9 2 2" xfId="8695"/>
    <cellStyle name="Vérification 2 2 4 9 2 2 2" xfId="24919"/>
    <cellStyle name="Vérification 2 2 4 9 2 2 2 2" xfId="36926"/>
    <cellStyle name="Vérification 2 2 4 9 2 2 3" xfId="14702"/>
    <cellStyle name="Vérification 2 2 4 9 2 2 4" xfId="30923"/>
    <cellStyle name="Vérification 2 2 4 9 2 3" xfId="10073"/>
    <cellStyle name="Vérification 2 2 4 9 2 3 2" xfId="26297"/>
    <cellStyle name="Vérification 2 2 4 9 2 3 2 2" xfId="38304"/>
    <cellStyle name="Vérification 2 2 4 9 2 3 3" xfId="16080"/>
    <cellStyle name="Vérification 2 2 4 9 2 3 4" xfId="32301"/>
    <cellStyle name="Vérification 2 2 4 9 2 4" xfId="22538"/>
    <cellStyle name="Vérification 2 2 4 9 2 4 2" xfId="34545"/>
    <cellStyle name="Vérification 2 2 4 9 2 5" xfId="12399"/>
    <cellStyle name="Vérification 2 2 4 9 2 6" xfId="28620"/>
    <cellStyle name="Vérification 2 2 4 9 3" xfId="7362"/>
    <cellStyle name="Vérification 2 2 4 9 3 2" xfId="9406"/>
    <cellStyle name="Vérification 2 2 4 9 3 2 2" xfId="25630"/>
    <cellStyle name="Vérification 2 2 4 9 3 2 2 2" xfId="37637"/>
    <cellStyle name="Vérification 2 2 4 9 3 2 3" xfId="15413"/>
    <cellStyle name="Vérification 2 2 4 9 3 2 4" xfId="31634"/>
    <cellStyle name="Vérification 2 2 4 9 3 3" xfId="23586"/>
    <cellStyle name="Vérification 2 2 4 9 3 3 2" xfId="35593"/>
    <cellStyle name="Vérification 2 2 4 9 3 4" xfId="13110"/>
    <cellStyle name="Vérification 2 2 4 9 3 5" xfId="29331"/>
    <cellStyle name="Vérification 2 2 4 9 4" xfId="7739"/>
    <cellStyle name="Vérification 2 2 4 9 4 2" xfId="23963"/>
    <cellStyle name="Vérification 2 2 4 9 4 2 2" xfId="35970"/>
    <cellStyle name="Vérification 2 2 4 9 4 3" xfId="13746"/>
    <cellStyle name="Vérification 2 2 4 9 4 4" xfId="29967"/>
    <cellStyle name="Vérification 2 2 4 9 5" xfId="18854"/>
    <cellStyle name="Vérification 2 2 4 9 5 2" xfId="32968"/>
    <cellStyle name="Vérification 2 2 4 9 6" xfId="11095"/>
    <cellStyle name="Vérification 2 2 4 9 7" xfId="27316"/>
    <cellStyle name="Vérification 2 2 5" xfId="183"/>
    <cellStyle name="Vérification 2 2 5 10" xfId="3940"/>
    <cellStyle name="Vérification 2 2 5 10 2" xfId="6743"/>
    <cellStyle name="Vérification 2 2 5 10 2 2" xfId="9075"/>
    <cellStyle name="Vérification 2 2 5 10 2 2 2" xfId="25299"/>
    <cellStyle name="Vérification 2 2 5 10 2 2 2 2" xfId="37306"/>
    <cellStyle name="Vérification 2 2 5 10 2 2 3" xfId="15082"/>
    <cellStyle name="Vérification 2 2 5 10 2 2 4" xfId="31303"/>
    <cellStyle name="Vérification 2 2 5 10 2 3" xfId="22967"/>
    <cellStyle name="Vérification 2 2 5 10 2 3 2" xfId="34974"/>
    <cellStyle name="Vérification 2 2 5 10 2 4" xfId="12779"/>
    <cellStyle name="Vérification 2 2 5 10 2 5" xfId="29000"/>
    <cellStyle name="Vérification 2 2 5 10 3" xfId="3042"/>
    <cellStyle name="Vérification 2 2 5 10 3 2" xfId="19270"/>
    <cellStyle name="Vérification 2 2 5 10 3 2 2" xfId="33384"/>
    <cellStyle name="Vérification 2 2 5 10 3 3" xfId="11506"/>
    <cellStyle name="Vérification 2 2 5 10 3 4" xfId="27727"/>
    <cellStyle name="Vérification 2 2 5 10 4" xfId="20167"/>
    <cellStyle name="Vérification 2 2 5 10 4 2" xfId="34214"/>
    <cellStyle name="Vérification 2 2 5 10 5" xfId="10752"/>
    <cellStyle name="Vérification 2 2 5 10 6" xfId="26975"/>
    <cellStyle name="Vérification 2 2 5 11" xfId="2999"/>
    <cellStyle name="Vérification 2 2 5 11 2" xfId="8089"/>
    <cellStyle name="Vérification 2 2 5 11 2 2" xfId="24313"/>
    <cellStyle name="Vérification 2 2 5 11 2 2 2" xfId="36320"/>
    <cellStyle name="Vérification 2 2 5 11 2 3" xfId="14096"/>
    <cellStyle name="Vérification 2 2 5 11 2 4" xfId="30317"/>
    <cellStyle name="Vérification 2 2 5 11 3" xfId="9742"/>
    <cellStyle name="Vérification 2 2 5 11 3 2" xfId="25966"/>
    <cellStyle name="Vérification 2 2 5 11 3 2 2" xfId="37973"/>
    <cellStyle name="Vérification 2 2 5 11 3 3" xfId="15749"/>
    <cellStyle name="Vérification 2 2 5 11 3 4" xfId="31970"/>
    <cellStyle name="Vérification 2 2 5 11 4" xfId="19227"/>
    <cellStyle name="Vérification 2 2 5 11 4 2" xfId="33341"/>
    <cellStyle name="Vérification 2 2 5 11 5" xfId="11644"/>
    <cellStyle name="Vérification 2 2 5 11 6" xfId="27865"/>
    <cellStyle name="Vérification 2 2 5 12" xfId="3151"/>
    <cellStyle name="Vérification 2 2 5 12 2" xfId="8192"/>
    <cellStyle name="Vérification 2 2 5 12 2 2" xfId="24416"/>
    <cellStyle name="Vérification 2 2 5 12 2 2 2" xfId="36423"/>
    <cellStyle name="Vérification 2 2 5 12 2 3" xfId="14199"/>
    <cellStyle name="Vérification 2 2 5 12 2 4" xfId="30420"/>
    <cellStyle name="Vérification 2 2 5 12 3" xfId="19379"/>
    <cellStyle name="Vérification 2 2 5 12 3 2" xfId="33493"/>
    <cellStyle name="Vérification 2 2 5 12 4" xfId="11747"/>
    <cellStyle name="Vérification 2 2 5 12 5" xfId="27968"/>
    <cellStyle name="Vérification 2 2 5 13" xfId="3260"/>
    <cellStyle name="Vérification 2 2 5 13 2" xfId="19488"/>
    <cellStyle name="Vérification 2 2 5 13 2 2" xfId="33602"/>
    <cellStyle name="Vérification 2 2 5 13 3" xfId="13524"/>
    <cellStyle name="Vérification 2 2 5 13 4" xfId="29745"/>
    <cellStyle name="Vérification 2 2 5 14" xfId="16483"/>
    <cellStyle name="Vérification 2 2 5 14 2" xfId="32637"/>
    <cellStyle name="Vérification 2 2 5 15" xfId="10409"/>
    <cellStyle name="Vérification 2 2 5 16" xfId="26634"/>
    <cellStyle name="Vérification 2 2 5 2" xfId="389"/>
    <cellStyle name="Vérification 2 2 5 2 10" xfId="10432"/>
    <cellStyle name="Vérification 2 2 5 2 11" xfId="26657"/>
    <cellStyle name="Vérification 2 2 5 2 2" xfId="1351"/>
    <cellStyle name="Vérification 2 2 5 2 2 2" xfId="2829"/>
    <cellStyle name="Vérification 2 2 5 2 2 2 2" xfId="6517"/>
    <cellStyle name="Vérification 2 2 5 2 2 2 2 2" xfId="8898"/>
    <cellStyle name="Vérification 2 2 5 2 2 2 2 2 2" xfId="25122"/>
    <cellStyle name="Vérification 2 2 5 2 2 2 2 2 2 2" xfId="37129"/>
    <cellStyle name="Vérification 2 2 5 2 2 2 2 2 3" xfId="14905"/>
    <cellStyle name="Vérification 2 2 5 2 2 2 2 2 4" xfId="31126"/>
    <cellStyle name="Vérification 2 2 5 2 2 2 2 3" xfId="10276"/>
    <cellStyle name="Vérification 2 2 5 2 2 2 2 3 2" xfId="26500"/>
    <cellStyle name="Vérification 2 2 5 2 2 2 2 3 2 2" xfId="38507"/>
    <cellStyle name="Vérification 2 2 5 2 2 2 2 3 3" xfId="16283"/>
    <cellStyle name="Vérification 2 2 5 2 2 2 2 3 4" xfId="32504"/>
    <cellStyle name="Vérification 2 2 5 2 2 2 2 4" xfId="22741"/>
    <cellStyle name="Vérification 2 2 5 2 2 2 2 4 2" xfId="34748"/>
    <cellStyle name="Vérification 2 2 5 2 2 2 2 5" xfId="12602"/>
    <cellStyle name="Vérification 2 2 5 2 2 2 2 6" xfId="28823"/>
    <cellStyle name="Vérification 2 2 5 2 2 2 3" xfId="7565"/>
    <cellStyle name="Vérification 2 2 5 2 2 2 3 2" xfId="9609"/>
    <cellStyle name="Vérification 2 2 5 2 2 2 3 2 2" xfId="25833"/>
    <cellStyle name="Vérification 2 2 5 2 2 2 3 2 2 2" xfId="37840"/>
    <cellStyle name="Vérification 2 2 5 2 2 2 3 2 3" xfId="15616"/>
    <cellStyle name="Vérification 2 2 5 2 2 2 3 2 4" xfId="31837"/>
    <cellStyle name="Vérification 2 2 5 2 2 2 3 3" xfId="23789"/>
    <cellStyle name="Vérification 2 2 5 2 2 2 3 3 2" xfId="35796"/>
    <cellStyle name="Vérification 2 2 5 2 2 2 3 4" xfId="13313"/>
    <cellStyle name="Vérification 2 2 5 2 2 2 3 5" xfId="29534"/>
    <cellStyle name="Vérification 2 2 5 2 2 2 4" xfId="7942"/>
    <cellStyle name="Vérification 2 2 5 2 2 2 4 2" xfId="24166"/>
    <cellStyle name="Vérification 2 2 5 2 2 2 4 2 2" xfId="36173"/>
    <cellStyle name="Vérification 2 2 5 2 2 2 4 3" xfId="13949"/>
    <cellStyle name="Vérification 2 2 5 2 2 2 4 4" xfId="30170"/>
    <cellStyle name="Vérification 2 2 5 2 2 2 5" xfId="19057"/>
    <cellStyle name="Vérification 2 2 5 2 2 2 5 2" xfId="33171"/>
    <cellStyle name="Vérification 2 2 5 2 2 2 6" xfId="11298"/>
    <cellStyle name="Vérification 2 2 5 2 2 2 7" xfId="27519"/>
    <cellStyle name="Vérification 2 2 5 2 2 3" xfId="5048"/>
    <cellStyle name="Vérification 2 2 5 2 2 3 2" xfId="7075"/>
    <cellStyle name="Vérification 2 2 5 2 2 3 2 2" xfId="9276"/>
    <cellStyle name="Vérification 2 2 5 2 2 3 2 2 2" xfId="25500"/>
    <cellStyle name="Vérification 2 2 5 2 2 3 2 2 2 2" xfId="37507"/>
    <cellStyle name="Vérification 2 2 5 2 2 3 2 2 3" xfId="15283"/>
    <cellStyle name="Vérification 2 2 5 2 2 3 2 2 4" xfId="31504"/>
    <cellStyle name="Vérification 2 2 5 2 2 3 2 3" xfId="23299"/>
    <cellStyle name="Vérification 2 2 5 2 2 3 2 3 2" xfId="35306"/>
    <cellStyle name="Vérification 2 2 5 2 2 3 2 4" xfId="12980"/>
    <cellStyle name="Vérification 2 2 5 2 2 3 2 5" xfId="29201"/>
    <cellStyle name="Vérification 2 2 5 2 2 3 3" xfId="3579"/>
    <cellStyle name="Vérification 2 2 5 2 2 3 3 2" xfId="19807"/>
    <cellStyle name="Vérification 2 2 5 2 2 3 3 2 2" xfId="33921"/>
    <cellStyle name="Vérification 2 2 5 2 2 3 3 3" xfId="13480"/>
    <cellStyle name="Vérification 2 2 5 2 2 3 3 4" xfId="29701"/>
    <cellStyle name="Vérification 2 2 5 2 2 3 4" xfId="21274"/>
    <cellStyle name="Vérification 2 2 5 2 2 3 4 2" xfId="34415"/>
    <cellStyle name="Vérification 2 2 5 2 2 3 5" xfId="10962"/>
    <cellStyle name="Vérification 2 2 5 2 2 3 6" xfId="27185"/>
    <cellStyle name="Vérification 2 2 5 2 2 4" xfId="3439"/>
    <cellStyle name="Vérification 2 2 5 2 2 4 2" xfId="8406"/>
    <cellStyle name="Vérification 2 2 5 2 2 4 2 2" xfId="24630"/>
    <cellStyle name="Vérification 2 2 5 2 2 4 2 2 2" xfId="36637"/>
    <cellStyle name="Vérification 2 2 5 2 2 4 2 3" xfId="14413"/>
    <cellStyle name="Vérification 2 2 5 2 2 4 2 4" xfId="30634"/>
    <cellStyle name="Vérification 2 2 5 2 2 4 3" xfId="9943"/>
    <cellStyle name="Vérification 2 2 5 2 2 4 3 2" xfId="26167"/>
    <cellStyle name="Vérification 2 2 5 2 2 4 3 2 2" xfId="38174"/>
    <cellStyle name="Vérification 2 2 5 2 2 4 3 3" xfId="15950"/>
    <cellStyle name="Vérification 2 2 5 2 2 4 3 4" xfId="32171"/>
    <cellStyle name="Vérification 2 2 5 2 2 4 4" xfId="19667"/>
    <cellStyle name="Vérification 2 2 5 2 2 4 4 2" xfId="33781"/>
    <cellStyle name="Vérification 2 2 5 2 2 4 5" xfId="11961"/>
    <cellStyle name="Vérification 2 2 5 2 2 4 6" xfId="28182"/>
    <cellStyle name="Vérification 2 2 5 2 2 5" xfId="3557"/>
    <cellStyle name="Vérification 2 2 5 2 2 5 2" xfId="8508"/>
    <cellStyle name="Vérification 2 2 5 2 2 5 2 2" xfId="24732"/>
    <cellStyle name="Vérification 2 2 5 2 2 5 2 2 2" xfId="36739"/>
    <cellStyle name="Vérification 2 2 5 2 2 5 2 3" xfId="14515"/>
    <cellStyle name="Vérification 2 2 5 2 2 5 2 4" xfId="30736"/>
    <cellStyle name="Vérification 2 2 5 2 2 5 3" xfId="19785"/>
    <cellStyle name="Vérification 2 2 5 2 2 5 3 2" xfId="33899"/>
    <cellStyle name="Vérification 2 2 5 2 2 5 4" xfId="12063"/>
    <cellStyle name="Vérification 2 2 5 2 2 5 5" xfId="28284"/>
    <cellStyle name="Vérification 2 2 5 2 2 6" xfId="3750"/>
    <cellStyle name="Vérification 2 2 5 2 2 6 2" xfId="19978"/>
    <cellStyle name="Vérification 2 2 5 2 2 6 2 2" xfId="34092"/>
    <cellStyle name="Vérification 2 2 5 2 2 6 3" xfId="13514"/>
    <cellStyle name="Vérification 2 2 5 2 2 6 4" xfId="29735"/>
    <cellStyle name="Vérification 2 2 5 2 2 7" xfId="17590"/>
    <cellStyle name="Vérification 2 2 5 2 2 7 2" xfId="32838"/>
    <cellStyle name="Vérification 2 2 5 2 2 8" xfId="10610"/>
    <cellStyle name="Vérification 2 2 5 2 2 9" xfId="26835"/>
    <cellStyle name="Vérification 2 2 5 2 3" xfId="1004"/>
    <cellStyle name="Vérification 2 2 5 2 3 2" xfId="2740"/>
    <cellStyle name="Vérification 2 2 5 2 3 2 2" xfId="6428"/>
    <cellStyle name="Vérification 2 2 5 2 3 2 2 2" xfId="8809"/>
    <cellStyle name="Vérification 2 2 5 2 3 2 2 2 2" xfId="25033"/>
    <cellStyle name="Vérification 2 2 5 2 3 2 2 2 2 2" xfId="37040"/>
    <cellStyle name="Vérification 2 2 5 2 3 2 2 2 3" xfId="14816"/>
    <cellStyle name="Vérification 2 2 5 2 3 2 2 2 4" xfId="31037"/>
    <cellStyle name="Vérification 2 2 5 2 3 2 2 3" xfId="10187"/>
    <cellStyle name="Vérification 2 2 5 2 3 2 2 3 2" xfId="26411"/>
    <cellStyle name="Vérification 2 2 5 2 3 2 2 3 2 2" xfId="38418"/>
    <cellStyle name="Vérification 2 2 5 2 3 2 2 3 3" xfId="16194"/>
    <cellStyle name="Vérification 2 2 5 2 3 2 2 3 4" xfId="32415"/>
    <cellStyle name="Vérification 2 2 5 2 3 2 2 4" xfId="22652"/>
    <cellStyle name="Vérification 2 2 5 2 3 2 2 4 2" xfId="34659"/>
    <cellStyle name="Vérification 2 2 5 2 3 2 2 5" xfId="12513"/>
    <cellStyle name="Vérification 2 2 5 2 3 2 2 6" xfId="28734"/>
    <cellStyle name="Vérification 2 2 5 2 3 2 3" xfId="7476"/>
    <cellStyle name="Vérification 2 2 5 2 3 2 3 2" xfId="9520"/>
    <cellStyle name="Vérification 2 2 5 2 3 2 3 2 2" xfId="25744"/>
    <cellStyle name="Vérification 2 2 5 2 3 2 3 2 2 2" xfId="37751"/>
    <cellStyle name="Vérification 2 2 5 2 3 2 3 2 3" xfId="15527"/>
    <cellStyle name="Vérification 2 2 5 2 3 2 3 2 4" xfId="31748"/>
    <cellStyle name="Vérification 2 2 5 2 3 2 3 3" xfId="23700"/>
    <cellStyle name="Vérification 2 2 5 2 3 2 3 3 2" xfId="35707"/>
    <cellStyle name="Vérification 2 2 5 2 3 2 3 4" xfId="13224"/>
    <cellStyle name="Vérification 2 2 5 2 3 2 3 5" xfId="29445"/>
    <cellStyle name="Vérification 2 2 5 2 3 2 4" xfId="7853"/>
    <cellStyle name="Vérification 2 2 5 2 3 2 4 2" xfId="24077"/>
    <cellStyle name="Vérification 2 2 5 2 3 2 4 2 2" xfId="36084"/>
    <cellStyle name="Vérification 2 2 5 2 3 2 4 3" xfId="13860"/>
    <cellStyle name="Vérification 2 2 5 2 3 2 4 4" xfId="30081"/>
    <cellStyle name="Vérification 2 2 5 2 3 2 5" xfId="18968"/>
    <cellStyle name="Vérification 2 2 5 2 3 2 5 2" xfId="33082"/>
    <cellStyle name="Vérification 2 2 5 2 3 2 6" xfId="11209"/>
    <cellStyle name="Vérification 2 2 5 2 3 2 7" xfId="27430"/>
    <cellStyle name="Vérification 2 2 5 2 3 3" xfId="4701"/>
    <cellStyle name="Vérification 2 2 5 2 3 3 2" xfId="6953"/>
    <cellStyle name="Vérification 2 2 5 2 3 3 2 2" xfId="9187"/>
    <cellStyle name="Vérification 2 2 5 2 3 3 2 2 2" xfId="25411"/>
    <cellStyle name="Vérification 2 2 5 2 3 3 2 2 2 2" xfId="37418"/>
    <cellStyle name="Vérification 2 2 5 2 3 3 2 2 3" xfId="15194"/>
    <cellStyle name="Vérification 2 2 5 2 3 3 2 2 4" xfId="31415"/>
    <cellStyle name="Vérification 2 2 5 2 3 3 2 3" xfId="23177"/>
    <cellStyle name="Vérification 2 2 5 2 3 3 2 3 2" xfId="35184"/>
    <cellStyle name="Vérification 2 2 5 2 3 3 2 4" xfId="12891"/>
    <cellStyle name="Vérification 2 2 5 2 3 3 2 5" xfId="29112"/>
    <cellStyle name="Vérification 2 2 5 2 3 3 3" xfId="7254"/>
    <cellStyle name="Vérification 2 2 5 2 3 3 3 2" xfId="23478"/>
    <cellStyle name="Vérification 2 2 5 2 3 3 3 2 2" xfId="35485"/>
    <cellStyle name="Vérification 2 2 5 2 3 3 3 3" xfId="13638"/>
    <cellStyle name="Vérification 2 2 5 2 3 3 3 4" xfId="29859"/>
    <cellStyle name="Vérification 2 2 5 2 3 3 4" xfId="20927"/>
    <cellStyle name="Vérification 2 2 5 2 3 3 4 2" xfId="34326"/>
    <cellStyle name="Vérification 2 2 5 2 3 3 5" xfId="10873"/>
    <cellStyle name="Vérification 2 2 5 2 3 3 6" xfId="27096"/>
    <cellStyle name="Vérification 2 2 5 2 3 4" xfId="3288"/>
    <cellStyle name="Vérification 2 2 5 2 3 4 2" xfId="8279"/>
    <cellStyle name="Vérification 2 2 5 2 3 4 2 2" xfId="24503"/>
    <cellStyle name="Vérification 2 2 5 2 3 4 2 2 2" xfId="36510"/>
    <cellStyle name="Vérification 2 2 5 2 3 4 2 3" xfId="14286"/>
    <cellStyle name="Vérification 2 2 5 2 3 4 2 4" xfId="30507"/>
    <cellStyle name="Vérification 2 2 5 2 3 4 3" xfId="9854"/>
    <cellStyle name="Vérification 2 2 5 2 3 4 3 2" xfId="26078"/>
    <cellStyle name="Vérification 2 2 5 2 3 4 3 2 2" xfId="38085"/>
    <cellStyle name="Vérification 2 2 5 2 3 4 3 3" xfId="15861"/>
    <cellStyle name="Vérification 2 2 5 2 3 4 3 4" xfId="32082"/>
    <cellStyle name="Vérification 2 2 5 2 3 4 4" xfId="19516"/>
    <cellStyle name="Vérification 2 2 5 2 3 4 4 2" xfId="33630"/>
    <cellStyle name="Vérification 2 2 5 2 3 4 5" xfId="11834"/>
    <cellStyle name="Vérification 2 2 5 2 3 4 6" xfId="28055"/>
    <cellStyle name="Vérification 2 2 5 2 3 5" xfId="2988"/>
    <cellStyle name="Vérification 2 2 5 2 3 5 2" xfId="8079"/>
    <cellStyle name="Vérification 2 2 5 2 3 5 2 2" xfId="24303"/>
    <cellStyle name="Vérification 2 2 5 2 3 5 2 2 2" xfId="36310"/>
    <cellStyle name="Vérification 2 2 5 2 3 5 2 3" xfId="14086"/>
    <cellStyle name="Vérification 2 2 5 2 3 5 2 4" xfId="30307"/>
    <cellStyle name="Vérification 2 2 5 2 3 5 3" xfId="19216"/>
    <cellStyle name="Vérification 2 2 5 2 3 5 3 2" xfId="33330"/>
    <cellStyle name="Vérification 2 2 5 2 3 5 4" xfId="11634"/>
    <cellStyle name="Vérification 2 2 5 2 3 5 5" xfId="27855"/>
    <cellStyle name="Vérification 2 2 5 2 3 6" xfId="7238"/>
    <cellStyle name="Vérification 2 2 5 2 3 6 2" xfId="23462"/>
    <cellStyle name="Vérification 2 2 5 2 3 6 2 2" xfId="35469"/>
    <cellStyle name="Vérification 2 2 5 2 3 6 3" xfId="13622"/>
    <cellStyle name="Vérification 2 2 5 2 3 6 4" xfId="29843"/>
    <cellStyle name="Vérification 2 2 5 2 3 7" xfId="17243"/>
    <cellStyle name="Vérification 2 2 5 2 3 7 2" xfId="32749"/>
    <cellStyle name="Vérification 2 2 5 2 3 8" xfId="10521"/>
    <cellStyle name="Vérification 2 2 5 2 3 9" xfId="26746"/>
    <cellStyle name="Vérification 2 2 5 2 4" xfId="2651"/>
    <cellStyle name="Vérification 2 2 5 2 4 2" xfId="6339"/>
    <cellStyle name="Vérification 2 2 5 2 4 2 2" xfId="8720"/>
    <cellStyle name="Vérification 2 2 5 2 4 2 2 2" xfId="24944"/>
    <cellStyle name="Vérification 2 2 5 2 4 2 2 2 2" xfId="36951"/>
    <cellStyle name="Vérification 2 2 5 2 4 2 2 3" xfId="14727"/>
    <cellStyle name="Vérification 2 2 5 2 4 2 2 4" xfId="30948"/>
    <cellStyle name="Vérification 2 2 5 2 4 2 3" xfId="10098"/>
    <cellStyle name="Vérification 2 2 5 2 4 2 3 2" xfId="26322"/>
    <cellStyle name="Vérification 2 2 5 2 4 2 3 2 2" xfId="38329"/>
    <cellStyle name="Vérification 2 2 5 2 4 2 3 3" xfId="16105"/>
    <cellStyle name="Vérification 2 2 5 2 4 2 3 4" xfId="32326"/>
    <cellStyle name="Vérification 2 2 5 2 4 2 4" xfId="22563"/>
    <cellStyle name="Vérification 2 2 5 2 4 2 4 2" xfId="34570"/>
    <cellStyle name="Vérification 2 2 5 2 4 2 5" xfId="12424"/>
    <cellStyle name="Vérification 2 2 5 2 4 2 6" xfId="28645"/>
    <cellStyle name="Vérification 2 2 5 2 4 3" xfId="7387"/>
    <cellStyle name="Vérification 2 2 5 2 4 3 2" xfId="9431"/>
    <cellStyle name="Vérification 2 2 5 2 4 3 2 2" xfId="25655"/>
    <cellStyle name="Vérification 2 2 5 2 4 3 2 2 2" xfId="37662"/>
    <cellStyle name="Vérification 2 2 5 2 4 3 2 3" xfId="15438"/>
    <cellStyle name="Vérification 2 2 5 2 4 3 2 4" xfId="31659"/>
    <cellStyle name="Vérification 2 2 5 2 4 3 3" xfId="23611"/>
    <cellStyle name="Vérification 2 2 5 2 4 3 3 2" xfId="35618"/>
    <cellStyle name="Vérification 2 2 5 2 4 3 4" xfId="13135"/>
    <cellStyle name="Vérification 2 2 5 2 4 3 5" xfId="29356"/>
    <cellStyle name="Vérification 2 2 5 2 4 4" xfId="7764"/>
    <cellStyle name="Vérification 2 2 5 2 4 4 2" xfId="23988"/>
    <cellStyle name="Vérification 2 2 5 2 4 4 2 2" xfId="35995"/>
    <cellStyle name="Vérification 2 2 5 2 4 4 3" xfId="13771"/>
    <cellStyle name="Vérification 2 2 5 2 4 4 4" xfId="29992"/>
    <cellStyle name="Vérification 2 2 5 2 4 5" xfId="18879"/>
    <cellStyle name="Vérification 2 2 5 2 4 5 2" xfId="32993"/>
    <cellStyle name="Vérification 2 2 5 2 4 6" xfId="11120"/>
    <cellStyle name="Vérification 2 2 5 2 4 7" xfId="27341"/>
    <cellStyle name="Vérification 2 2 5 2 5" xfId="4126"/>
    <cellStyle name="Vérification 2 2 5 2 5 2" xfId="6790"/>
    <cellStyle name="Vérification 2 2 5 2 5 2 2" xfId="9098"/>
    <cellStyle name="Vérification 2 2 5 2 5 2 2 2" xfId="25322"/>
    <cellStyle name="Vérification 2 2 5 2 5 2 2 2 2" xfId="37329"/>
    <cellStyle name="Vérification 2 2 5 2 5 2 2 3" xfId="15105"/>
    <cellStyle name="Vérification 2 2 5 2 5 2 2 4" xfId="31326"/>
    <cellStyle name="Vérification 2 2 5 2 5 2 3" xfId="23014"/>
    <cellStyle name="Vérification 2 2 5 2 5 2 3 2" xfId="35021"/>
    <cellStyle name="Vérification 2 2 5 2 5 2 4" xfId="12802"/>
    <cellStyle name="Vérification 2 2 5 2 5 2 5" xfId="29023"/>
    <cellStyle name="Vérification 2 2 5 2 5 3" xfId="3391"/>
    <cellStyle name="Vérification 2 2 5 2 5 3 2" xfId="19619"/>
    <cellStyle name="Vérification 2 2 5 2 5 3 2 2" xfId="33733"/>
    <cellStyle name="Vérification 2 2 5 2 5 3 3" xfId="11488"/>
    <cellStyle name="Vérification 2 2 5 2 5 3 4" xfId="27709"/>
    <cellStyle name="Vérification 2 2 5 2 5 4" xfId="20352"/>
    <cellStyle name="Vérification 2 2 5 2 5 4 2" xfId="34237"/>
    <cellStyle name="Vérification 2 2 5 2 5 5" xfId="10777"/>
    <cellStyle name="Vérification 2 2 5 2 5 6" xfId="27000"/>
    <cellStyle name="Vérification 2 2 5 2 6" xfId="3065"/>
    <cellStyle name="Vérification 2 2 5 2 6 2" xfId="8131"/>
    <cellStyle name="Vérification 2 2 5 2 6 2 2" xfId="24355"/>
    <cellStyle name="Vérification 2 2 5 2 6 2 2 2" xfId="36362"/>
    <cellStyle name="Vérification 2 2 5 2 6 2 3" xfId="14138"/>
    <cellStyle name="Vérification 2 2 5 2 6 2 4" xfId="30359"/>
    <cellStyle name="Vérification 2 2 5 2 6 3" xfId="9765"/>
    <cellStyle name="Vérification 2 2 5 2 6 3 2" xfId="25989"/>
    <cellStyle name="Vérification 2 2 5 2 6 3 2 2" xfId="37996"/>
    <cellStyle name="Vérification 2 2 5 2 6 3 3" xfId="15772"/>
    <cellStyle name="Vérification 2 2 5 2 6 3 4" xfId="31993"/>
    <cellStyle name="Vérification 2 2 5 2 6 4" xfId="19293"/>
    <cellStyle name="Vérification 2 2 5 2 6 4 2" xfId="33407"/>
    <cellStyle name="Vérification 2 2 5 2 6 5" xfId="11686"/>
    <cellStyle name="Vérification 2 2 5 2 6 6" xfId="27907"/>
    <cellStyle name="Vérification 2 2 5 2 7" xfId="3255"/>
    <cellStyle name="Vérification 2 2 5 2 7 2" xfId="8258"/>
    <cellStyle name="Vérification 2 2 5 2 7 2 2" xfId="24482"/>
    <cellStyle name="Vérification 2 2 5 2 7 2 2 2" xfId="36489"/>
    <cellStyle name="Vérification 2 2 5 2 7 2 3" xfId="14265"/>
    <cellStyle name="Vérification 2 2 5 2 7 2 4" xfId="30486"/>
    <cellStyle name="Vérification 2 2 5 2 7 3" xfId="19483"/>
    <cellStyle name="Vérification 2 2 5 2 7 3 2" xfId="33597"/>
    <cellStyle name="Vérification 2 2 5 2 7 4" xfId="11813"/>
    <cellStyle name="Vérification 2 2 5 2 7 5" xfId="28034"/>
    <cellStyle name="Vérification 2 2 5 2 8" xfId="3024"/>
    <cellStyle name="Vérification 2 2 5 2 8 2" xfId="19252"/>
    <cellStyle name="Vérification 2 2 5 2 8 2 2" xfId="33366"/>
    <cellStyle name="Vérification 2 2 5 2 8 3" xfId="13469"/>
    <cellStyle name="Vérification 2 2 5 2 8 4" xfId="29690"/>
    <cellStyle name="Vérification 2 2 5 2 9" xfId="16668"/>
    <cellStyle name="Vérification 2 2 5 2 9 2" xfId="32660"/>
    <cellStyle name="Vérification 2 2 5 3" xfId="506"/>
    <cellStyle name="Vérification 2 2 5 3 10" xfId="10453"/>
    <cellStyle name="Vérification 2 2 5 3 11" xfId="26678"/>
    <cellStyle name="Vérification 2 2 5 3 2" xfId="1372"/>
    <cellStyle name="Vérification 2 2 5 3 2 2" xfId="2850"/>
    <cellStyle name="Vérification 2 2 5 3 2 2 2" xfId="6538"/>
    <cellStyle name="Vérification 2 2 5 3 2 2 2 2" xfId="8919"/>
    <cellStyle name="Vérification 2 2 5 3 2 2 2 2 2" xfId="25143"/>
    <cellStyle name="Vérification 2 2 5 3 2 2 2 2 2 2" xfId="37150"/>
    <cellStyle name="Vérification 2 2 5 3 2 2 2 2 3" xfId="14926"/>
    <cellStyle name="Vérification 2 2 5 3 2 2 2 2 4" xfId="31147"/>
    <cellStyle name="Vérification 2 2 5 3 2 2 2 3" xfId="10297"/>
    <cellStyle name="Vérification 2 2 5 3 2 2 2 3 2" xfId="26521"/>
    <cellStyle name="Vérification 2 2 5 3 2 2 2 3 2 2" xfId="38528"/>
    <cellStyle name="Vérification 2 2 5 3 2 2 2 3 3" xfId="16304"/>
    <cellStyle name="Vérification 2 2 5 3 2 2 2 3 4" xfId="32525"/>
    <cellStyle name="Vérification 2 2 5 3 2 2 2 4" xfId="22762"/>
    <cellStyle name="Vérification 2 2 5 3 2 2 2 4 2" xfId="34769"/>
    <cellStyle name="Vérification 2 2 5 3 2 2 2 5" xfId="12623"/>
    <cellStyle name="Vérification 2 2 5 3 2 2 2 6" xfId="28844"/>
    <cellStyle name="Vérification 2 2 5 3 2 2 3" xfId="7586"/>
    <cellStyle name="Vérification 2 2 5 3 2 2 3 2" xfId="9630"/>
    <cellStyle name="Vérification 2 2 5 3 2 2 3 2 2" xfId="25854"/>
    <cellStyle name="Vérification 2 2 5 3 2 2 3 2 2 2" xfId="37861"/>
    <cellStyle name="Vérification 2 2 5 3 2 2 3 2 3" xfId="15637"/>
    <cellStyle name="Vérification 2 2 5 3 2 2 3 2 4" xfId="31858"/>
    <cellStyle name="Vérification 2 2 5 3 2 2 3 3" xfId="23810"/>
    <cellStyle name="Vérification 2 2 5 3 2 2 3 3 2" xfId="35817"/>
    <cellStyle name="Vérification 2 2 5 3 2 2 3 4" xfId="13334"/>
    <cellStyle name="Vérification 2 2 5 3 2 2 3 5" xfId="29555"/>
    <cellStyle name="Vérification 2 2 5 3 2 2 4" xfId="7963"/>
    <cellStyle name="Vérification 2 2 5 3 2 2 4 2" xfId="24187"/>
    <cellStyle name="Vérification 2 2 5 3 2 2 4 2 2" xfId="36194"/>
    <cellStyle name="Vérification 2 2 5 3 2 2 4 3" xfId="13970"/>
    <cellStyle name="Vérification 2 2 5 3 2 2 4 4" xfId="30191"/>
    <cellStyle name="Vérification 2 2 5 3 2 2 5" xfId="19078"/>
    <cellStyle name="Vérification 2 2 5 3 2 2 5 2" xfId="33192"/>
    <cellStyle name="Vérification 2 2 5 3 2 2 6" xfId="11319"/>
    <cellStyle name="Vérification 2 2 5 3 2 2 7" xfId="27540"/>
    <cellStyle name="Vérification 2 2 5 3 2 3" xfId="5069"/>
    <cellStyle name="Vérification 2 2 5 3 2 3 2" xfId="7096"/>
    <cellStyle name="Vérification 2 2 5 3 2 3 2 2" xfId="9297"/>
    <cellStyle name="Vérification 2 2 5 3 2 3 2 2 2" xfId="25521"/>
    <cellStyle name="Vérification 2 2 5 3 2 3 2 2 2 2" xfId="37528"/>
    <cellStyle name="Vérification 2 2 5 3 2 3 2 2 3" xfId="15304"/>
    <cellStyle name="Vérification 2 2 5 3 2 3 2 2 4" xfId="31525"/>
    <cellStyle name="Vérification 2 2 5 3 2 3 2 3" xfId="23320"/>
    <cellStyle name="Vérification 2 2 5 3 2 3 2 3 2" xfId="35327"/>
    <cellStyle name="Vérification 2 2 5 3 2 3 2 4" xfId="13001"/>
    <cellStyle name="Vérification 2 2 5 3 2 3 2 5" xfId="29222"/>
    <cellStyle name="Vérification 2 2 5 3 2 3 3" xfId="6960"/>
    <cellStyle name="Vérification 2 2 5 3 2 3 3 2" xfId="23184"/>
    <cellStyle name="Vérification 2 2 5 3 2 3 3 2 2" xfId="35191"/>
    <cellStyle name="Vérification 2 2 5 3 2 3 3 3" xfId="11600"/>
    <cellStyle name="Vérification 2 2 5 3 2 3 3 4" xfId="27821"/>
    <cellStyle name="Vérification 2 2 5 3 2 3 4" xfId="21295"/>
    <cellStyle name="Vérification 2 2 5 3 2 3 4 2" xfId="34436"/>
    <cellStyle name="Vérification 2 2 5 3 2 3 5" xfId="10983"/>
    <cellStyle name="Vérification 2 2 5 3 2 3 6" xfId="27206"/>
    <cellStyle name="Vérification 2 2 5 3 2 4" xfId="3460"/>
    <cellStyle name="Vérification 2 2 5 3 2 4 2" xfId="8427"/>
    <cellStyle name="Vérification 2 2 5 3 2 4 2 2" xfId="24651"/>
    <cellStyle name="Vérification 2 2 5 3 2 4 2 2 2" xfId="36658"/>
    <cellStyle name="Vérification 2 2 5 3 2 4 2 3" xfId="14434"/>
    <cellStyle name="Vérification 2 2 5 3 2 4 2 4" xfId="30655"/>
    <cellStyle name="Vérification 2 2 5 3 2 4 3" xfId="9964"/>
    <cellStyle name="Vérification 2 2 5 3 2 4 3 2" xfId="26188"/>
    <cellStyle name="Vérification 2 2 5 3 2 4 3 2 2" xfId="38195"/>
    <cellStyle name="Vérification 2 2 5 3 2 4 3 3" xfId="15971"/>
    <cellStyle name="Vérification 2 2 5 3 2 4 3 4" xfId="32192"/>
    <cellStyle name="Vérification 2 2 5 3 2 4 4" xfId="19688"/>
    <cellStyle name="Vérification 2 2 5 3 2 4 4 2" xfId="33802"/>
    <cellStyle name="Vérification 2 2 5 3 2 4 5" xfId="11982"/>
    <cellStyle name="Vérification 2 2 5 3 2 4 6" xfId="28203"/>
    <cellStyle name="Vérification 2 2 5 3 2 5" xfId="3258"/>
    <cellStyle name="Vérification 2 2 5 3 2 5 2" xfId="8260"/>
    <cellStyle name="Vérification 2 2 5 3 2 5 2 2" xfId="24484"/>
    <cellStyle name="Vérification 2 2 5 3 2 5 2 2 2" xfId="36491"/>
    <cellStyle name="Vérification 2 2 5 3 2 5 2 3" xfId="14267"/>
    <cellStyle name="Vérification 2 2 5 3 2 5 2 4" xfId="30488"/>
    <cellStyle name="Vérification 2 2 5 3 2 5 3" xfId="19486"/>
    <cellStyle name="Vérification 2 2 5 3 2 5 3 2" xfId="33600"/>
    <cellStyle name="Vérification 2 2 5 3 2 5 4" xfId="11815"/>
    <cellStyle name="Vérification 2 2 5 3 2 5 5" xfId="28036"/>
    <cellStyle name="Vérification 2 2 5 3 2 6" xfId="6643"/>
    <cellStyle name="Vérification 2 2 5 3 2 6 2" xfId="22867"/>
    <cellStyle name="Vérification 2 2 5 3 2 6 2 2" xfId="34874"/>
    <cellStyle name="Vérification 2 2 5 3 2 6 3" xfId="12316"/>
    <cellStyle name="Vérification 2 2 5 3 2 6 4" xfId="28537"/>
    <cellStyle name="Vérification 2 2 5 3 2 7" xfId="17611"/>
    <cellStyle name="Vérification 2 2 5 3 2 7 2" xfId="32859"/>
    <cellStyle name="Vérification 2 2 5 3 2 8" xfId="10631"/>
    <cellStyle name="Vérification 2 2 5 3 2 9" xfId="26856"/>
    <cellStyle name="Vérification 2 2 5 3 3" xfId="1121"/>
    <cellStyle name="Vérification 2 2 5 3 3 2" xfId="2761"/>
    <cellStyle name="Vérification 2 2 5 3 3 2 2" xfId="6449"/>
    <cellStyle name="Vérification 2 2 5 3 3 2 2 2" xfId="8830"/>
    <cellStyle name="Vérification 2 2 5 3 3 2 2 2 2" xfId="25054"/>
    <cellStyle name="Vérification 2 2 5 3 3 2 2 2 2 2" xfId="37061"/>
    <cellStyle name="Vérification 2 2 5 3 3 2 2 2 3" xfId="14837"/>
    <cellStyle name="Vérification 2 2 5 3 3 2 2 2 4" xfId="31058"/>
    <cellStyle name="Vérification 2 2 5 3 3 2 2 3" xfId="10208"/>
    <cellStyle name="Vérification 2 2 5 3 3 2 2 3 2" xfId="26432"/>
    <cellStyle name="Vérification 2 2 5 3 3 2 2 3 2 2" xfId="38439"/>
    <cellStyle name="Vérification 2 2 5 3 3 2 2 3 3" xfId="16215"/>
    <cellStyle name="Vérification 2 2 5 3 3 2 2 3 4" xfId="32436"/>
    <cellStyle name="Vérification 2 2 5 3 3 2 2 4" xfId="22673"/>
    <cellStyle name="Vérification 2 2 5 3 3 2 2 4 2" xfId="34680"/>
    <cellStyle name="Vérification 2 2 5 3 3 2 2 5" xfId="12534"/>
    <cellStyle name="Vérification 2 2 5 3 3 2 2 6" xfId="28755"/>
    <cellStyle name="Vérification 2 2 5 3 3 2 3" xfId="7497"/>
    <cellStyle name="Vérification 2 2 5 3 3 2 3 2" xfId="9541"/>
    <cellStyle name="Vérification 2 2 5 3 3 2 3 2 2" xfId="25765"/>
    <cellStyle name="Vérification 2 2 5 3 3 2 3 2 2 2" xfId="37772"/>
    <cellStyle name="Vérification 2 2 5 3 3 2 3 2 3" xfId="15548"/>
    <cellStyle name="Vérification 2 2 5 3 3 2 3 2 4" xfId="31769"/>
    <cellStyle name="Vérification 2 2 5 3 3 2 3 3" xfId="23721"/>
    <cellStyle name="Vérification 2 2 5 3 3 2 3 3 2" xfId="35728"/>
    <cellStyle name="Vérification 2 2 5 3 3 2 3 4" xfId="13245"/>
    <cellStyle name="Vérification 2 2 5 3 3 2 3 5" xfId="29466"/>
    <cellStyle name="Vérification 2 2 5 3 3 2 4" xfId="7874"/>
    <cellStyle name="Vérification 2 2 5 3 3 2 4 2" xfId="24098"/>
    <cellStyle name="Vérification 2 2 5 3 3 2 4 2 2" xfId="36105"/>
    <cellStyle name="Vérification 2 2 5 3 3 2 4 3" xfId="13881"/>
    <cellStyle name="Vérification 2 2 5 3 3 2 4 4" xfId="30102"/>
    <cellStyle name="Vérification 2 2 5 3 3 2 5" xfId="18989"/>
    <cellStyle name="Vérification 2 2 5 3 3 2 5 2" xfId="33103"/>
    <cellStyle name="Vérification 2 2 5 3 3 2 6" xfId="11230"/>
    <cellStyle name="Vérification 2 2 5 3 3 2 7" xfId="27451"/>
    <cellStyle name="Vérification 2 2 5 3 3 3" xfId="4818"/>
    <cellStyle name="Vérification 2 2 5 3 3 3 2" xfId="6988"/>
    <cellStyle name="Vérification 2 2 5 3 3 3 2 2" xfId="9208"/>
    <cellStyle name="Vérification 2 2 5 3 3 3 2 2 2" xfId="25432"/>
    <cellStyle name="Vérification 2 2 5 3 3 3 2 2 2 2" xfId="37439"/>
    <cellStyle name="Vérification 2 2 5 3 3 3 2 2 3" xfId="15215"/>
    <cellStyle name="Vérification 2 2 5 3 3 3 2 2 4" xfId="31436"/>
    <cellStyle name="Vérification 2 2 5 3 3 3 2 3" xfId="23212"/>
    <cellStyle name="Vérification 2 2 5 3 3 3 2 3 2" xfId="35219"/>
    <cellStyle name="Vérification 2 2 5 3 3 3 2 4" xfId="12912"/>
    <cellStyle name="Vérification 2 2 5 3 3 3 2 5" xfId="29133"/>
    <cellStyle name="Vérification 2 2 5 3 3 3 3" xfId="3265"/>
    <cellStyle name="Vérification 2 2 5 3 3 3 3 2" xfId="19493"/>
    <cellStyle name="Vérification 2 2 5 3 3 3 3 2 2" xfId="33607"/>
    <cellStyle name="Vérification 2 2 5 3 3 3 3 3" xfId="12351"/>
    <cellStyle name="Vérification 2 2 5 3 3 3 3 4" xfId="28572"/>
    <cellStyle name="Vérification 2 2 5 3 3 3 4" xfId="21044"/>
    <cellStyle name="Vérification 2 2 5 3 3 3 4 2" xfId="34347"/>
    <cellStyle name="Vérification 2 2 5 3 3 3 5" xfId="10894"/>
    <cellStyle name="Vérification 2 2 5 3 3 3 6" xfId="27117"/>
    <cellStyle name="Vérification 2 2 5 3 3 4" xfId="3332"/>
    <cellStyle name="Vérification 2 2 5 3 3 4 2" xfId="8315"/>
    <cellStyle name="Vérification 2 2 5 3 3 4 2 2" xfId="24539"/>
    <cellStyle name="Vérification 2 2 5 3 3 4 2 2 2" xfId="36546"/>
    <cellStyle name="Vérification 2 2 5 3 3 4 2 3" xfId="14322"/>
    <cellStyle name="Vérification 2 2 5 3 3 4 2 4" xfId="30543"/>
    <cellStyle name="Vérification 2 2 5 3 3 4 3" xfId="9875"/>
    <cellStyle name="Vérification 2 2 5 3 3 4 3 2" xfId="26099"/>
    <cellStyle name="Vérification 2 2 5 3 3 4 3 2 2" xfId="38106"/>
    <cellStyle name="Vérification 2 2 5 3 3 4 3 3" xfId="15882"/>
    <cellStyle name="Vérification 2 2 5 3 3 4 3 4" xfId="32103"/>
    <cellStyle name="Vérification 2 2 5 3 3 4 4" xfId="19560"/>
    <cellStyle name="Vérification 2 2 5 3 3 4 4 2" xfId="33674"/>
    <cellStyle name="Vérification 2 2 5 3 3 4 5" xfId="11870"/>
    <cellStyle name="Vérification 2 2 5 3 3 4 6" xfId="28091"/>
    <cellStyle name="Vérification 2 2 5 3 3 5" xfId="3585"/>
    <cellStyle name="Vérification 2 2 5 3 3 5 2" xfId="8523"/>
    <cellStyle name="Vérification 2 2 5 3 3 5 2 2" xfId="24747"/>
    <cellStyle name="Vérification 2 2 5 3 3 5 2 2 2" xfId="36754"/>
    <cellStyle name="Vérification 2 2 5 3 3 5 2 3" xfId="14530"/>
    <cellStyle name="Vérification 2 2 5 3 3 5 2 4" xfId="30751"/>
    <cellStyle name="Vérification 2 2 5 3 3 5 3" xfId="19813"/>
    <cellStyle name="Vérification 2 2 5 3 3 5 3 2" xfId="33927"/>
    <cellStyle name="Vérification 2 2 5 3 3 5 4" xfId="12078"/>
    <cellStyle name="Vérification 2 2 5 3 3 5 5" xfId="28299"/>
    <cellStyle name="Vérification 2 2 5 3 3 6" xfId="3281"/>
    <cellStyle name="Vérification 2 2 5 3 3 6 2" xfId="19509"/>
    <cellStyle name="Vérification 2 2 5 3 3 6 2 2" xfId="33623"/>
    <cellStyle name="Vérification 2 2 5 3 3 6 3" xfId="13470"/>
    <cellStyle name="Vérification 2 2 5 3 3 6 4" xfId="29691"/>
    <cellStyle name="Vérification 2 2 5 3 3 7" xfId="17360"/>
    <cellStyle name="Vérification 2 2 5 3 3 7 2" xfId="32770"/>
    <cellStyle name="Vérification 2 2 5 3 3 8" xfId="10542"/>
    <cellStyle name="Vérification 2 2 5 3 3 9" xfId="26767"/>
    <cellStyle name="Vérification 2 2 5 3 4" xfId="2672"/>
    <cellStyle name="Vérification 2 2 5 3 4 2" xfId="6360"/>
    <cellStyle name="Vérification 2 2 5 3 4 2 2" xfId="8741"/>
    <cellStyle name="Vérification 2 2 5 3 4 2 2 2" xfId="24965"/>
    <cellStyle name="Vérification 2 2 5 3 4 2 2 2 2" xfId="36972"/>
    <cellStyle name="Vérification 2 2 5 3 4 2 2 3" xfId="14748"/>
    <cellStyle name="Vérification 2 2 5 3 4 2 2 4" xfId="30969"/>
    <cellStyle name="Vérification 2 2 5 3 4 2 3" xfId="10119"/>
    <cellStyle name="Vérification 2 2 5 3 4 2 3 2" xfId="26343"/>
    <cellStyle name="Vérification 2 2 5 3 4 2 3 2 2" xfId="38350"/>
    <cellStyle name="Vérification 2 2 5 3 4 2 3 3" xfId="16126"/>
    <cellStyle name="Vérification 2 2 5 3 4 2 3 4" xfId="32347"/>
    <cellStyle name="Vérification 2 2 5 3 4 2 4" xfId="22584"/>
    <cellStyle name="Vérification 2 2 5 3 4 2 4 2" xfId="34591"/>
    <cellStyle name="Vérification 2 2 5 3 4 2 5" xfId="12445"/>
    <cellStyle name="Vérification 2 2 5 3 4 2 6" xfId="28666"/>
    <cellStyle name="Vérification 2 2 5 3 4 3" xfId="7408"/>
    <cellStyle name="Vérification 2 2 5 3 4 3 2" xfId="9452"/>
    <cellStyle name="Vérification 2 2 5 3 4 3 2 2" xfId="25676"/>
    <cellStyle name="Vérification 2 2 5 3 4 3 2 2 2" xfId="37683"/>
    <cellStyle name="Vérification 2 2 5 3 4 3 2 3" xfId="15459"/>
    <cellStyle name="Vérification 2 2 5 3 4 3 2 4" xfId="31680"/>
    <cellStyle name="Vérification 2 2 5 3 4 3 3" xfId="23632"/>
    <cellStyle name="Vérification 2 2 5 3 4 3 3 2" xfId="35639"/>
    <cellStyle name="Vérification 2 2 5 3 4 3 4" xfId="13156"/>
    <cellStyle name="Vérification 2 2 5 3 4 3 5" xfId="29377"/>
    <cellStyle name="Vérification 2 2 5 3 4 4" xfId="7785"/>
    <cellStyle name="Vérification 2 2 5 3 4 4 2" xfId="24009"/>
    <cellStyle name="Vérification 2 2 5 3 4 4 2 2" xfId="36016"/>
    <cellStyle name="Vérification 2 2 5 3 4 4 3" xfId="13792"/>
    <cellStyle name="Vérification 2 2 5 3 4 4 4" xfId="30013"/>
    <cellStyle name="Vérification 2 2 5 3 4 5" xfId="18900"/>
    <cellStyle name="Vérification 2 2 5 3 4 5 2" xfId="33014"/>
    <cellStyle name="Vérification 2 2 5 3 4 6" xfId="11141"/>
    <cellStyle name="Vérification 2 2 5 3 4 7" xfId="27362"/>
    <cellStyle name="Vérification 2 2 5 3 5" xfId="4243"/>
    <cellStyle name="Vérification 2 2 5 3 5 2" xfId="6823"/>
    <cellStyle name="Vérification 2 2 5 3 5 2 2" xfId="9119"/>
    <cellStyle name="Vérification 2 2 5 3 5 2 2 2" xfId="25343"/>
    <cellStyle name="Vérification 2 2 5 3 5 2 2 2 2" xfId="37350"/>
    <cellStyle name="Vérification 2 2 5 3 5 2 2 3" xfId="15126"/>
    <cellStyle name="Vérification 2 2 5 3 5 2 2 4" xfId="31347"/>
    <cellStyle name="Vérification 2 2 5 3 5 2 3" xfId="23047"/>
    <cellStyle name="Vérification 2 2 5 3 5 2 3 2" xfId="35054"/>
    <cellStyle name="Vérification 2 2 5 3 5 2 4" xfId="12823"/>
    <cellStyle name="Vérification 2 2 5 3 5 2 5" xfId="29044"/>
    <cellStyle name="Vérification 2 2 5 3 5 3" xfId="7248"/>
    <cellStyle name="Vérification 2 2 5 3 5 3 2" xfId="23472"/>
    <cellStyle name="Vérification 2 2 5 3 5 3 2 2" xfId="35479"/>
    <cellStyle name="Vérification 2 2 5 3 5 3 3" xfId="13632"/>
    <cellStyle name="Vérification 2 2 5 3 5 3 4" xfId="29853"/>
    <cellStyle name="Vérification 2 2 5 3 5 4" xfId="20469"/>
    <cellStyle name="Vérification 2 2 5 3 5 4 2" xfId="34258"/>
    <cellStyle name="Vérification 2 2 5 3 5 5" xfId="10798"/>
    <cellStyle name="Vérification 2 2 5 3 5 6" xfId="27021"/>
    <cellStyle name="Vérification 2 2 5 3 6" xfId="3111"/>
    <cellStyle name="Vérification 2 2 5 3 6 2" xfId="8163"/>
    <cellStyle name="Vérification 2 2 5 3 6 2 2" xfId="24387"/>
    <cellStyle name="Vérification 2 2 5 3 6 2 2 2" xfId="36394"/>
    <cellStyle name="Vérification 2 2 5 3 6 2 3" xfId="14170"/>
    <cellStyle name="Vérification 2 2 5 3 6 2 4" xfId="30391"/>
    <cellStyle name="Vérification 2 2 5 3 6 3" xfId="9786"/>
    <cellStyle name="Vérification 2 2 5 3 6 3 2" xfId="26010"/>
    <cellStyle name="Vérification 2 2 5 3 6 3 2 2" xfId="38017"/>
    <cellStyle name="Vérification 2 2 5 3 6 3 3" xfId="15793"/>
    <cellStyle name="Vérification 2 2 5 3 6 3 4" xfId="32014"/>
    <cellStyle name="Vérification 2 2 5 3 6 4" xfId="19339"/>
    <cellStyle name="Vérification 2 2 5 3 6 4 2" xfId="33453"/>
    <cellStyle name="Vérification 2 2 5 3 6 5" xfId="11718"/>
    <cellStyle name="Vérification 2 2 5 3 6 6" xfId="27939"/>
    <cellStyle name="Vérification 2 2 5 3 7" xfId="3407"/>
    <cellStyle name="Vérification 2 2 5 3 7 2" xfId="8374"/>
    <cellStyle name="Vérification 2 2 5 3 7 2 2" xfId="24598"/>
    <cellStyle name="Vérification 2 2 5 3 7 2 2 2" xfId="36605"/>
    <cellStyle name="Vérification 2 2 5 3 7 2 3" xfId="14381"/>
    <cellStyle name="Vérification 2 2 5 3 7 2 4" xfId="30602"/>
    <cellStyle name="Vérification 2 2 5 3 7 3" xfId="19635"/>
    <cellStyle name="Vérification 2 2 5 3 7 3 2" xfId="33749"/>
    <cellStyle name="Vérification 2 2 5 3 7 4" xfId="11929"/>
    <cellStyle name="Vérification 2 2 5 3 7 5" xfId="28150"/>
    <cellStyle name="Vérification 2 2 5 3 8" xfId="3268"/>
    <cellStyle name="Vérification 2 2 5 3 8 2" xfId="19496"/>
    <cellStyle name="Vérification 2 2 5 3 8 2 2" xfId="33610"/>
    <cellStyle name="Vérification 2 2 5 3 8 3" xfId="12334"/>
    <cellStyle name="Vérification 2 2 5 3 8 4" xfId="28555"/>
    <cellStyle name="Vérification 2 2 5 3 9" xfId="16785"/>
    <cellStyle name="Vérification 2 2 5 3 9 2" xfId="32681"/>
    <cellStyle name="Vérification 2 2 5 4" xfId="613"/>
    <cellStyle name="Vérification 2 2 5 4 10" xfId="10476"/>
    <cellStyle name="Vérification 2 2 5 4 11" xfId="26701"/>
    <cellStyle name="Vérification 2 2 5 4 2" xfId="1395"/>
    <cellStyle name="Vérification 2 2 5 4 2 2" xfId="2873"/>
    <cellStyle name="Vérification 2 2 5 4 2 2 2" xfId="6561"/>
    <cellStyle name="Vérification 2 2 5 4 2 2 2 2" xfId="8942"/>
    <cellStyle name="Vérification 2 2 5 4 2 2 2 2 2" xfId="25166"/>
    <cellStyle name="Vérification 2 2 5 4 2 2 2 2 2 2" xfId="37173"/>
    <cellStyle name="Vérification 2 2 5 4 2 2 2 2 3" xfId="14949"/>
    <cellStyle name="Vérification 2 2 5 4 2 2 2 2 4" xfId="31170"/>
    <cellStyle name="Vérification 2 2 5 4 2 2 2 3" xfId="10320"/>
    <cellStyle name="Vérification 2 2 5 4 2 2 2 3 2" xfId="26544"/>
    <cellStyle name="Vérification 2 2 5 4 2 2 2 3 2 2" xfId="38551"/>
    <cellStyle name="Vérification 2 2 5 4 2 2 2 3 3" xfId="16327"/>
    <cellStyle name="Vérification 2 2 5 4 2 2 2 3 4" xfId="32548"/>
    <cellStyle name="Vérification 2 2 5 4 2 2 2 4" xfId="22785"/>
    <cellStyle name="Vérification 2 2 5 4 2 2 2 4 2" xfId="34792"/>
    <cellStyle name="Vérification 2 2 5 4 2 2 2 5" xfId="12646"/>
    <cellStyle name="Vérification 2 2 5 4 2 2 2 6" xfId="28867"/>
    <cellStyle name="Vérification 2 2 5 4 2 2 3" xfId="7609"/>
    <cellStyle name="Vérification 2 2 5 4 2 2 3 2" xfId="9653"/>
    <cellStyle name="Vérification 2 2 5 4 2 2 3 2 2" xfId="25877"/>
    <cellStyle name="Vérification 2 2 5 4 2 2 3 2 2 2" xfId="37884"/>
    <cellStyle name="Vérification 2 2 5 4 2 2 3 2 3" xfId="15660"/>
    <cellStyle name="Vérification 2 2 5 4 2 2 3 2 4" xfId="31881"/>
    <cellStyle name="Vérification 2 2 5 4 2 2 3 3" xfId="23833"/>
    <cellStyle name="Vérification 2 2 5 4 2 2 3 3 2" xfId="35840"/>
    <cellStyle name="Vérification 2 2 5 4 2 2 3 4" xfId="13357"/>
    <cellStyle name="Vérification 2 2 5 4 2 2 3 5" xfId="29578"/>
    <cellStyle name="Vérification 2 2 5 4 2 2 4" xfId="7986"/>
    <cellStyle name="Vérification 2 2 5 4 2 2 4 2" xfId="24210"/>
    <cellStyle name="Vérification 2 2 5 4 2 2 4 2 2" xfId="36217"/>
    <cellStyle name="Vérification 2 2 5 4 2 2 4 3" xfId="13993"/>
    <cellStyle name="Vérification 2 2 5 4 2 2 4 4" xfId="30214"/>
    <cellStyle name="Vérification 2 2 5 4 2 2 5" xfId="19101"/>
    <cellStyle name="Vérification 2 2 5 4 2 2 5 2" xfId="33215"/>
    <cellStyle name="Vérification 2 2 5 4 2 2 6" xfId="11342"/>
    <cellStyle name="Vérification 2 2 5 4 2 2 7" xfId="27563"/>
    <cellStyle name="Vérification 2 2 5 4 2 3" xfId="5092"/>
    <cellStyle name="Vérification 2 2 5 4 2 3 2" xfId="7119"/>
    <cellStyle name="Vérification 2 2 5 4 2 3 2 2" xfId="9320"/>
    <cellStyle name="Vérification 2 2 5 4 2 3 2 2 2" xfId="25544"/>
    <cellStyle name="Vérification 2 2 5 4 2 3 2 2 2 2" xfId="37551"/>
    <cellStyle name="Vérification 2 2 5 4 2 3 2 2 3" xfId="15327"/>
    <cellStyle name="Vérification 2 2 5 4 2 3 2 2 4" xfId="31548"/>
    <cellStyle name="Vérification 2 2 5 4 2 3 2 3" xfId="23343"/>
    <cellStyle name="Vérification 2 2 5 4 2 3 2 3 2" xfId="35350"/>
    <cellStyle name="Vérification 2 2 5 4 2 3 2 4" xfId="13024"/>
    <cellStyle name="Vérification 2 2 5 4 2 3 2 5" xfId="29245"/>
    <cellStyle name="Vérification 2 2 5 4 2 3 3" xfId="6786"/>
    <cellStyle name="Vérification 2 2 5 4 2 3 3 2" xfId="23010"/>
    <cellStyle name="Vérification 2 2 5 4 2 3 3 2 2" xfId="35017"/>
    <cellStyle name="Vérification 2 2 5 4 2 3 3 3" xfId="11424"/>
    <cellStyle name="Vérification 2 2 5 4 2 3 3 4" xfId="27645"/>
    <cellStyle name="Vérification 2 2 5 4 2 3 4" xfId="21318"/>
    <cellStyle name="Vérification 2 2 5 4 2 3 4 2" xfId="34459"/>
    <cellStyle name="Vérification 2 2 5 4 2 3 5" xfId="11006"/>
    <cellStyle name="Vérification 2 2 5 4 2 3 6" xfId="27229"/>
    <cellStyle name="Vérification 2 2 5 4 2 4" xfId="3483"/>
    <cellStyle name="Vérification 2 2 5 4 2 4 2" xfId="8450"/>
    <cellStyle name="Vérification 2 2 5 4 2 4 2 2" xfId="24674"/>
    <cellStyle name="Vérification 2 2 5 4 2 4 2 2 2" xfId="36681"/>
    <cellStyle name="Vérification 2 2 5 4 2 4 2 3" xfId="14457"/>
    <cellStyle name="Vérification 2 2 5 4 2 4 2 4" xfId="30678"/>
    <cellStyle name="Vérification 2 2 5 4 2 4 3" xfId="9987"/>
    <cellStyle name="Vérification 2 2 5 4 2 4 3 2" xfId="26211"/>
    <cellStyle name="Vérification 2 2 5 4 2 4 3 2 2" xfId="38218"/>
    <cellStyle name="Vérification 2 2 5 4 2 4 3 3" xfId="15994"/>
    <cellStyle name="Vérification 2 2 5 4 2 4 3 4" xfId="32215"/>
    <cellStyle name="Vérification 2 2 5 4 2 4 4" xfId="19711"/>
    <cellStyle name="Vérification 2 2 5 4 2 4 4 2" xfId="33825"/>
    <cellStyle name="Vérification 2 2 5 4 2 4 5" xfId="12005"/>
    <cellStyle name="Vérification 2 2 5 4 2 4 6" xfId="28226"/>
    <cellStyle name="Vérification 2 2 5 4 2 5" xfId="3818"/>
    <cellStyle name="Vérification 2 2 5 4 2 5 2" xfId="8652"/>
    <cellStyle name="Vérification 2 2 5 4 2 5 2 2" xfId="24876"/>
    <cellStyle name="Vérification 2 2 5 4 2 5 2 2 2" xfId="36883"/>
    <cellStyle name="Vérification 2 2 5 4 2 5 2 3" xfId="14659"/>
    <cellStyle name="Vérification 2 2 5 4 2 5 2 4" xfId="30880"/>
    <cellStyle name="Vérification 2 2 5 4 2 5 3" xfId="20046"/>
    <cellStyle name="Vérification 2 2 5 4 2 5 3 2" xfId="34160"/>
    <cellStyle name="Vérification 2 2 5 4 2 5 4" xfId="12207"/>
    <cellStyle name="Vérification 2 2 5 4 2 5 5" xfId="28428"/>
    <cellStyle name="Vérification 2 2 5 4 2 6" xfId="3645"/>
    <cellStyle name="Vérification 2 2 5 4 2 6 2" xfId="19873"/>
    <cellStyle name="Vérification 2 2 5 4 2 6 2 2" xfId="33987"/>
    <cellStyle name="Vérification 2 2 5 4 2 6 3" xfId="11540"/>
    <cellStyle name="Vérification 2 2 5 4 2 6 4" xfId="27761"/>
    <cellStyle name="Vérification 2 2 5 4 2 7" xfId="17634"/>
    <cellStyle name="Vérification 2 2 5 4 2 7 2" xfId="32882"/>
    <cellStyle name="Vérification 2 2 5 4 2 8" xfId="10654"/>
    <cellStyle name="Vérification 2 2 5 4 2 9" xfId="26879"/>
    <cellStyle name="Vérification 2 2 5 4 3" xfId="1210"/>
    <cellStyle name="Vérification 2 2 5 4 3 2" xfId="2784"/>
    <cellStyle name="Vérification 2 2 5 4 3 2 2" xfId="6472"/>
    <cellStyle name="Vérification 2 2 5 4 3 2 2 2" xfId="8853"/>
    <cellStyle name="Vérification 2 2 5 4 3 2 2 2 2" xfId="25077"/>
    <cellStyle name="Vérification 2 2 5 4 3 2 2 2 2 2" xfId="37084"/>
    <cellStyle name="Vérification 2 2 5 4 3 2 2 2 3" xfId="14860"/>
    <cellStyle name="Vérification 2 2 5 4 3 2 2 2 4" xfId="31081"/>
    <cellStyle name="Vérification 2 2 5 4 3 2 2 3" xfId="10231"/>
    <cellStyle name="Vérification 2 2 5 4 3 2 2 3 2" xfId="26455"/>
    <cellStyle name="Vérification 2 2 5 4 3 2 2 3 2 2" xfId="38462"/>
    <cellStyle name="Vérification 2 2 5 4 3 2 2 3 3" xfId="16238"/>
    <cellStyle name="Vérification 2 2 5 4 3 2 2 3 4" xfId="32459"/>
    <cellStyle name="Vérification 2 2 5 4 3 2 2 4" xfId="22696"/>
    <cellStyle name="Vérification 2 2 5 4 3 2 2 4 2" xfId="34703"/>
    <cellStyle name="Vérification 2 2 5 4 3 2 2 5" xfId="12557"/>
    <cellStyle name="Vérification 2 2 5 4 3 2 2 6" xfId="28778"/>
    <cellStyle name="Vérification 2 2 5 4 3 2 3" xfId="7520"/>
    <cellStyle name="Vérification 2 2 5 4 3 2 3 2" xfId="9564"/>
    <cellStyle name="Vérification 2 2 5 4 3 2 3 2 2" xfId="25788"/>
    <cellStyle name="Vérification 2 2 5 4 3 2 3 2 2 2" xfId="37795"/>
    <cellStyle name="Vérification 2 2 5 4 3 2 3 2 3" xfId="15571"/>
    <cellStyle name="Vérification 2 2 5 4 3 2 3 2 4" xfId="31792"/>
    <cellStyle name="Vérification 2 2 5 4 3 2 3 3" xfId="23744"/>
    <cellStyle name="Vérification 2 2 5 4 3 2 3 3 2" xfId="35751"/>
    <cellStyle name="Vérification 2 2 5 4 3 2 3 4" xfId="13268"/>
    <cellStyle name="Vérification 2 2 5 4 3 2 3 5" xfId="29489"/>
    <cellStyle name="Vérification 2 2 5 4 3 2 4" xfId="7897"/>
    <cellStyle name="Vérification 2 2 5 4 3 2 4 2" xfId="24121"/>
    <cellStyle name="Vérification 2 2 5 4 3 2 4 2 2" xfId="36128"/>
    <cellStyle name="Vérification 2 2 5 4 3 2 4 3" xfId="13904"/>
    <cellStyle name="Vérification 2 2 5 4 3 2 4 4" xfId="30125"/>
    <cellStyle name="Vérification 2 2 5 4 3 2 5" xfId="19012"/>
    <cellStyle name="Vérification 2 2 5 4 3 2 5 2" xfId="33126"/>
    <cellStyle name="Vérification 2 2 5 4 3 2 6" xfId="11253"/>
    <cellStyle name="Vérification 2 2 5 4 3 2 7" xfId="27474"/>
    <cellStyle name="Vérification 2 2 5 4 3 3" xfId="4907"/>
    <cellStyle name="Vérification 2 2 5 4 3 3 2" xfId="7019"/>
    <cellStyle name="Vérification 2 2 5 4 3 3 2 2" xfId="9231"/>
    <cellStyle name="Vérification 2 2 5 4 3 3 2 2 2" xfId="25455"/>
    <cellStyle name="Vérification 2 2 5 4 3 3 2 2 2 2" xfId="37462"/>
    <cellStyle name="Vérification 2 2 5 4 3 3 2 2 3" xfId="15238"/>
    <cellStyle name="Vérification 2 2 5 4 3 3 2 2 4" xfId="31459"/>
    <cellStyle name="Vérification 2 2 5 4 3 3 2 3" xfId="23243"/>
    <cellStyle name="Vérification 2 2 5 4 3 3 2 3 2" xfId="35250"/>
    <cellStyle name="Vérification 2 2 5 4 3 3 2 4" xfId="12935"/>
    <cellStyle name="Vérification 2 2 5 4 3 3 2 5" xfId="29156"/>
    <cellStyle name="Vérification 2 2 5 4 3 3 3" xfId="3570"/>
    <cellStyle name="Vérification 2 2 5 4 3 3 3 2" xfId="19798"/>
    <cellStyle name="Vérification 2 2 5 4 3 3 3 2 2" xfId="33912"/>
    <cellStyle name="Vérification 2 2 5 4 3 3 3 3" xfId="11551"/>
    <cellStyle name="Vérification 2 2 5 4 3 3 3 4" xfId="27772"/>
    <cellStyle name="Vérification 2 2 5 4 3 3 4" xfId="21133"/>
    <cellStyle name="Vérification 2 2 5 4 3 3 4 2" xfId="34370"/>
    <cellStyle name="Vérification 2 2 5 4 3 3 5" xfId="10917"/>
    <cellStyle name="Vérification 2 2 5 4 3 3 6" xfId="27140"/>
    <cellStyle name="Vérification 2 2 5 4 3 4" xfId="3372"/>
    <cellStyle name="Vérification 2 2 5 4 3 4 2" xfId="8348"/>
    <cellStyle name="Vérification 2 2 5 4 3 4 2 2" xfId="24572"/>
    <cellStyle name="Vérification 2 2 5 4 3 4 2 2 2" xfId="36579"/>
    <cellStyle name="Vérification 2 2 5 4 3 4 2 3" xfId="14355"/>
    <cellStyle name="Vérification 2 2 5 4 3 4 2 4" xfId="30576"/>
    <cellStyle name="Vérification 2 2 5 4 3 4 3" xfId="9898"/>
    <cellStyle name="Vérification 2 2 5 4 3 4 3 2" xfId="26122"/>
    <cellStyle name="Vérification 2 2 5 4 3 4 3 2 2" xfId="38129"/>
    <cellStyle name="Vérification 2 2 5 4 3 4 3 3" xfId="15905"/>
    <cellStyle name="Vérification 2 2 5 4 3 4 3 4" xfId="32126"/>
    <cellStyle name="Vérification 2 2 5 4 3 4 4" xfId="19600"/>
    <cellStyle name="Vérification 2 2 5 4 3 4 4 2" xfId="33714"/>
    <cellStyle name="Vérification 2 2 5 4 3 4 5" xfId="11903"/>
    <cellStyle name="Vérification 2 2 5 4 3 4 6" xfId="28124"/>
    <cellStyle name="Vérification 2 2 5 4 3 5" xfId="3592"/>
    <cellStyle name="Vérification 2 2 5 4 3 5 2" xfId="8528"/>
    <cellStyle name="Vérification 2 2 5 4 3 5 2 2" xfId="24752"/>
    <cellStyle name="Vérification 2 2 5 4 3 5 2 2 2" xfId="36759"/>
    <cellStyle name="Vérification 2 2 5 4 3 5 2 3" xfId="14535"/>
    <cellStyle name="Vérification 2 2 5 4 3 5 2 4" xfId="30756"/>
    <cellStyle name="Vérification 2 2 5 4 3 5 3" xfId="19820"/>
    <cellStyle name="Vérification 2 2 5 4 3 5 3 2" xfId="33934"/>
    <cellStyle name="Vérification 2 2 5 4 3 5 4" xfId="12083"/>
    <cellStyle name="Vérification 2 2 5 4 3 5 5" xfId="28304"/>
    <cellStyle name="Vérification 2 2 5 4 3 6" xfId="3805"/>
    <cellStyle name="Vérification 2 2 5 4 3 6 2" xfId="20033"/>
    <cellStyle name="Vérification 2 2 5 4 3 6 2 2" xfId="34147"/>
    <cellStyle name="Vérification 2 2 5 4 3 6 3" xfId="12314"/>
    <cellStyle name="Vérification 2 2 5 4 3 6 4" xfId="28535"/>
    <cellStyle name="Vérification 2 2 5 4 3 7" xfId="17449"/>
    <cellStyle name="Vérification 2 2 5 4 3 7 2" xfId="32793"/>
    <cellStyle name="Vérification 2 2 5 4 3 8" xfId="10565"/>
    <cellStyle name="Vérification 2 2 5 4 3 9" xfId="26790"/>
    <cellStyle name="Vérification 2 2 5 4 4" xfId="2695"/>
    <cellStyle name="Vérification 2 2 5 4 4 2" xfId="6383"/>
    <cellStyle name="Vérification 2 2 5 4 4 2 2" xfId="8764"/>
    <cellStyle name="Vérification 2 2 5 4 4 2 2 2" xfId="24988"/>
    <cellStyle name="Vérification 2 2 5 4 4 2 2 2 2" xfId="36995"/>
    <cellStyle name="Vérification 2 2 5 4 4 2 2 3" xfId="14771"/>
    <cellStyle name="Vérification 2 2 5 4 4 2 2 4" xfId="30992"/>
    <cellStyle name="Vérification 2 2 5 4 4 2 3" xfId="10142"/>
    <cellStyle name="Vérification 2 2 5 4 4 2 3 2" xfId="26366"/>
    <cellStyle name="Vérification 2 2 5 4 4 2 3 2 2" xfId="38373"/>
    <cellStyle name="Vérification 2 2 5 4 4 2 3 3" xfId="16149"/>
    <cellStyle name="Vérification 2 2 5 4 4 2 3 4" xfId="32370"/>
    <cellStyle name="Vérification 2 2 5 4 4 2 4" xfId="22607"/>
    <cellStyle name="Vérification 2 2 5 4 4 2 4 2" xfId="34614"/>
    <cellStyle name="Vérification 2 2 5 4 4 2 5" xfId="12468"/>
    <cellStyle name="Vérification 2 2 5 4 4 2 6" xfId="28689"/>
    <cellStyle name="Vérification 2 2 5 4 4 3" xfId="7431"/>
    <cellStyle name="Vérification 2 2 5 4 4 3 2" xfId="9475"/>
    <cellStyle name="Vérification 2 2 5 4 4 3 2 2" xfId="25699"/>
    <cellStyle name="Vérification 2 2 5 4 4 3 2 2 2" xfId="37706"/>
    <cellStyle name="Vérification 2 2 5 4 4 3 2 3" xfId="15482"/>
    <cellStyle name="Vérification 2 2 5 4 4 3 2 4" xfId="31703"/>
    <cellStyle name="Vérification 2 2 5 4 4 3 3" xfId="23655"/>
    <cellStyle name="Vérification 2 2 5 4 4 3 3 2" xfId="35662"/>
    <cellStyle name="Vérification 2 2 5 4 4 3 4" xfId="13179"/>
    <cellStyle name="Vérification 2 2 5 4 4 3 5" xfId="29400"/>
    <cellStyle name="Vérification 2 2 5 4 4 4" xfId="7808"/>
    <cellStyle name="Vérification 2 2 5 4 4 4 2" xfId="24032"/>
    <cellStyle name="Vérification 2 2 5 4 4 4 2 2" xfId="36039"/>
    <cellStyle name="Vérification 2 2 5 4 4 4 3" xfId="13815"/>
    <cellStyle name="Vérification 2 2 5 4 4 4 4" xfId="30036"/>
    <cellStyle name="Vérification 2 2 5 4 4 5" xfId="18923"/>
    <cellStyle name="Vérification 2 2 5 4 4 5 2" xfId="33037"/>
    <cellStyle name="Vérification 2 2 5 4 4 6" xfId="11164"/>
    <cellStyle name="Vérification 2 2 5 4 4 7" xfId="27385"/>
    <cellStyle name="Vérification 2 2 5 4 5" xfId="4332"/>
    <cellStyle name="Vérification 2 2 5 4 5 2" xfId="6861"/>
    <cellStyle name="Vérification 2 2 5 4 5 2 2" xfId="9142"/>
    <cellStyle name="Vérification 2 2 5 4 5 2 2 2" xfId="25366"/>
    <cellStyle name="Vérification 2 2 5 4 5 2 2 2 2" xfId="37373"/>
    <cellStyle name="Vérification 2 2 5 4 5 2 2 3" xfId="15149"/>
    <cellStyle name="Vérification 2 2 5 4 5 2 2 4" xfId="31370"/>
    <cellStyle name="Vérification 2 2 5 4 5 2 3" xfId="23085"/>
    <cellStyle name="Vérification 2 2 5 4 5 2 3 2" xfId="35092"/>
    <cellStyle name="Vérification 2 2 5 4 5 2 4" xfId="12846"/>
    <cellStyle name="Vérification 2 2 5 4 5 2 5" xfId="29067"/>
    <cellStyle name="Vérification 2 2 5 4 5 3" xfId="7032"/>
    <cellStyle name="Vérification 2 2 5 4 5 3 2" xfId="23256"/>
    <cellStyle name="Vérification 2 2 5 4 5 3 2 2" xfId="35263"/>
    <cellStyle name="Vérification 2 2 5 4 5 3 3" xfId="13533"/>
    <cellStyle name="Vérification 2 2 5 4 5 3 4" xfId="29754"/>
    <cellStyle name="Vérification 2 2 5 4 5 4" xfId="20558"/>
    <cellStyle name="Vérification 2 2 5 4 5 4 2" xfId="34281"/>
    <cellStyle name="Vérification 2 2 5 4 5 5" xfId="10823"/>
    <cellStyle name="Vérification 2 2 5 4 5 6" xfId="27046"/>
    <cellStyle name="Vérification 2 2 5 4 6" xfId="3154"/>
    <cellStyle name="Vérification 2 2 5 4 6 2" xfId="8194"/>
    <cellStyle name="Vérification 2 2 5 4 6 2 2" xfId="24418"/>
    <cellStyle name="Vérification 2 2 5 4 6 2 2 2" xfId="36425"/>
    <cellStyle name="Vérification 2 2 5 4 6 2 3" xfId="14201"/>
    <cellStyle name="Vérification 2 2 5 4 6 2 4" xfId="30422"/>
    <cellStyle name="Vérification 2 2 5 4 6 3" xfId="9809"/>
    <cellStyle name="Vérification 2 2 5 4 6 3 2" xfId="26033"/>
    <cellStyle name="Vérification 2 2 5 4 6 3 2 2" xfId="38040"/>
    <cellStyle name="Vérification 2 2 5 4 6 3 3" xfId="15816"/>
    <cellStyle name="Vérification 2 2 5 4 6 3 4" xfId="32037"/>
    <cellStyle name="Vérification 2 2 5 4 6 4" xfId="19382"/>
    <cellStyle name="Vérification 2 2 5 4 6 4 2" xfId="33496"/>
    <cellStyle name="Vérification 2 2 5 4 6 5" xfId="11749"/>
    <cellStyle name="Vérification 2 2 5 4 6 6" xfId="27970"/>
    <cellStyle name="Vérification 2 2 5 4 7" xfId="3085"/>
    <cellStyle name="Vérification 2 2 5 4 7 2" xfId="8143"/>
    <cellStyle name="Vérification 2 2 5 4 7 2 2" xfId="24367"/>
    <cellStyle name="Vérification 2 2 5 4 7 2 2 2" xfId="36374"/>
    <cellStyle name="Vérification 2 2 5 4 7 2 3" xfId="14150"/>
    <cellStyle name="Vérification 2 2 5 4 7 2 4" xfId="30371"/>
    <cellStyle name="Vérification 2 2 5 4 7 3" xfId="19313"/>
    <cellStyle name="Vérification 2 2 5 4 7 3 2" xfId="33427"/>
    <cellStyle name="Vérification 2 2 5 4 7 4" xfId="11698"/>
    <cellStyle name="Vérification 2 2 5 4 7 5" xfId="27919"/>
    <cellStyle name="Vérification 2 2 5 4 8" xfId="7022"/>
    <cellStyle name="Vérification 2 2 5 4 8 2" xfId="23246"/>
    <cellStyle name="Vérification 2 2 5 4 8 2 2" xfId="35253"/>
    <cellStyle name="Vérification 2 2 5 4 8 3" xfId="13529"/>
    <cellStyle name="Vérification 2 2 5 4 8 4" xfId="29750"/>
    <cellStyle name="Vérification 2 2 5 4 9" xfId="16874"/>
    <cellStyle name="Vérification 2 2 5 4 9 2" xfId="32704"/>
    <cellStyle name="Vérification 2 2 5 5" xfId="749"/>
    <cellStyle name="Vérification 2 2 5 5 10" xfId="26723"/>
    <cellStyle name="Vérification 2 2 5 5 2" xfId="1417"/>
    <cellStyle name="Vérification 2 2 5 5 2 2" xfId="2895"/>
    <cellStyle name="Vérification 2 2 5 5 2 2 2" xfId="6583"/>
    <cellStyle name="Vérification 2 2 5 5 2 2 2 2" xfId="8964"/>
    <cellStyle name="Vérification 2 2 5 5 2 2 2 2 2" xfId="25188"/>
    <cellStyle name="Vérification 2 2 5 5 2 2 2 2 2 2" xfId="37195"/>
    <cellStyle name="Vérification 2 2 5 5 2 2 2 2 3" xfId="14971"/>
    <cellStyle name="Vérification 2 2 5 5 2 2 2 2 4" xfId="31192"/>
    <cellStyle name="Vérification 2 2 5 5 2 2 2 3" xfId="10342"/>
    <cellStyle name="Vérification 2 2 5 5 2 2 2 3 2" xfId="26566"/>
    <cellStyle name="Vérification 2 2 5 5 2 2 2 3 2 2" xfId="38573"/>
    <cellStyle name="Vérification 2 2 5 5 2 2 2 3 3" xfId="16349"/>
    <cellStyle name="Vérification 2 2 5 5 2 2 2 3 4" xfId="32570"/>
    <cellStyle name="Vérification 2 2 5 5 2 2 2 4" xfId="22807"/>
    <cellStyle name="Vérification 2 2 5 5 2 2 2 4 2" xfId="34814"/>
    <cellStyle name="Vérification 2 2 5 5 2 2 2 5" xfId="12668"/>
    <cellStyle name="Vérification 2 2 5 5 2 2 2 6" xfId="28889"/>
    <cellStyle name="Vérification 2 2 5 5 2 2 3" xfId="7631"/>
    <cellStyle name="Vérification 2 2 5 5 2 2 3 2" xfId="9675"/>
    <cellStyle name="Vérification 2 2 5 5 2 2 3 2 2" xfId="25899"/>
    <cellStyle name="Vérification 2 2 5 5 2 2 3 2 2 2" xfId="37906"/>
    <cellStyle name="Vérification 2 2 5 5 2 2 3 2 3" xfId="15682"/>
    <cellStyle name="Vérification 2 2 5 5 2 2 3 2 4" xfId="31903"/>
    <cellStyle name="Vérification 2 2 5 5 2 2 3 3" xfId="23855"/>
    <cellStyle name="Vérification 2 2 5 5 2 2 3 3 2" xfId="35862"/>
    <cellStyle name="Vérification 2 2 5 5 2 2 3 4" xfId="13379"/>
    <cellStyle name="Vérification 2 2 5 5 2 2 3 5" xfId="29600"/>
    <cellStyle name="Vérification 2 2 5 5 2 2 4" xfId="8008"/>
    <cellStyle name="Vérification 2 2 5 5 2 2 4 2" xfId="24232"/>
    <cellStyle name="Vérification 2 2 5 5 2 2 4 2 2" xfId="36239"/>
    <cellStyle name="Vérification 2 2 5 5 2 2 4 3" xfId="14015"/>
    <cellStyle name="Vérification 2 2 5 5 2 2 4 4" xfId="30236"/>
    <cellStyle name="Vérification 2 2 5 5 2 2 5" xfId="19123"/>
    <cellStyle name="Vérification 2 2 5 5 2 2 5 2" xfId="33237"/>
    <cellStyle name="Vérification 2 2 5 5 2 2 6" xfId="11364"/>
    <cellStyle name="Vérification 2 2 5 5 2 2 7" xfId="27585"/>
    <cellStyle name="Vérification 2 2 5 5 2 3" xfId="5114"/>
    <cellStyle name="Vérification 2 2 5 5 2 3 2" xfId="7141"/>
    <cellStyle name="Vérification 2 2 5 5 2 3 2 2" xfId="9342"/>
    <cellStyle name="Vérification 2 2 5 5 2 3 2 2 2" xfId="25566"/>
    <cellStyle name="Vérification 2 2 5 5 2 3 2 2 2 2" xfId="37573"/>
    <cellStyle name="Vérification 2 2 5 5 2 3 2 2 3" xfId="15349"/>
    <cellStyle name="Vérification 2 2 5 5 2 3 2 2 4" xfId="31570"/>
    <cellStyle name="Vérification 2 2 5 5 2 3 2 3" xfId="23365"/>
    <cellStyle name="Vérification 2 2 5 5 2 3 2 3 2" xfId="35372"/>
    <cellStyle name="Vérification 2 2 5 5 2 3 2 4" xfId="13046"/>
    <cellStyle name="Vérification 2 2 5 5 2 3 2 5" xfId="29267"/>
    <cellStyle name="Vérification 2 2 5 5 2 3 3" xfId="3755"/>
    <cellStyle name="Vérification 2 2 5 5 2 3 3 2" xfId="19983"/>
    <cellStyle name="Vérification 2 2 5 5 2 3 3 2 2" xfId="34097"/>
    <cellStyle name="Vérification 2 2 5 5 2 3 3 3" xfId="11548"/>
    <cellStyle name="Vérification 2 2 5 5 2 3 3 4" xfId="27769"/>
    <cellStyle name="Vérification 2 2 5 5 2 3 4" xfId="21340"/>
    <cellStyle name="Vérification 2 2 5 5 2 3 4 2" xfId="34481"/>
    <cellStyle name="Vérification 2 2 5 5 2 3 5" xfId="11028"/>
    <cellStyle name="Vérification 2 2 5 5 2 3 6" xfId="27251"/>
    <cellStyle name="Vérification 2 2 5 5 2 4" xfId="3505"/>
    <cellStyle name="Vérification 2 2 5 5 2 4 2" xfId="8472"/>
    <cellStyle name="Vérification 2 2 5 5 2 4 2 2" xfId="24696"/>
    <cellStyle name="Vérification 2 2 5 5 2 4 2 2 2" xfId="36703"/>
    <cellStyle name="Vérification 2 2 5 5 2 4 2 3" xfId="14479"/>
    <cellStyle name="Vérification 2 2 5 5 2 4 2 4" xfId="30700"/>
    <cellStyle name="Vérification 2 2 5 5 2 4 3" xfId="10009"/>
    <cellStyle name="Vérification 2 2 5 5 2 4 3 2" xfId="26233"/>
    <cellStyle name="Vérification 2 2 5 5 2 4 3 2 2" xfId="38240"/>
    <cellStyle name="Vérification 2 2 5 5 2 4 3 3" xfId="16016"/>
    <cellStyle name="Vérification 2 2 5 5 2 4 3 4" xfId="32237"/>
    <cellStyle name="Vérification 2 2 5 5 2 4 4" xfId="19733"/>
    <cellStyle name="Vérification 2 2 5 5 2 4 4 2" xfId="33847"/>
    <cellStyle name="Vérification 2 2 5 5 2 4 5" xfId="12027"/>
    <cellStyle name="Vérification 2 2 5 5 2 4 6" xfId="28248"/>
    <cellStyle name="Vérification 2 2 5 5 2 5" xfId="3701"/>
    <cellStyle name="Vérification 2 2 5 5 2 5 2" xfId="8588"/>
    <cellStyle name="Vérification 2 2 5 5 2 5 2 2" xfId="24812"/>
    <cellStyle name="Vérification 2 2 5 5 2 5 2 2 2" xfId="36819"/>
    <cellStyle name="Vérification 2 2 5 5 2 5 2 3" xfId="14595"/>
    <cellStyle name="Vérification 2 2 5 5 2 5 2 4" xfId="30816"/>
    <cellStyle name="Vérification 2 2 5 5 2 5 3" xfId="19929"/>
    <cellStyle name="Vérification 2 2 5 5 2 5 3 2" xfId="34043"/>
    <cellStyle name="Vérification 2 2 5 5 2 5 4" xfId="12143"/>
    <cellStyle name="Vérification 2 2 5 5 2 5 5" xfId="28364"/>
    <cellStyle name="Vérification 2 2 5 5 2 6" xfId="3666"/>
    <cellStyle name="Vérification 2 2 5 5 2 6 2" xfId="19894"/>
    <cellStyle name="Vérification 2 2 5 5 2 6 2 2" xfId="34008"/>
    <cellStyle name="Vérification 2 2 5 5 2 6 3" xfId="13515"/>
    <cellStyle name="Vérification 2 2 5 5 2 6 4" xfId="29736"/>
    <cellStyle name="Vérification 2 2 5 5 2 7" xfId="17656"/>
    <cellStyle name="Vérification 2 2 5 5 2 7 2" xfId="32904"/>
    <cellStyle name="Vérification 2 2 5 5 2 8" xfId="10676"/>
    <cellStyle name="Vérification 2 2 5 5 2 9" xfId="26901"/>
    <cellStyle name="Vérification 2 2 5 5 3" xfId="2717"/>
    <cellStyle name="Vérification 2 2 5 5 3 2" xfId="6405"/>
    <cellStyle name="Vérification 2 2 5 5 3 2 2" xfId="8786"/>
    <cellStyle name="Vérification 2 2 5 5 3 2 2 2" xfId="25010"/>
    <cellStyle name="Vérification 2 2 5 5 3 2 2 2 2" xfId="37017"/>
    <cellStyle name="Vérification 2 2 5 5 3 2 2 3" xfId="14793"/>
    <cellStyle name="Vérification 2 2 5 5 3 2 2 4" xfId="31014"/>
    <cellStyle name="Vérification 2 2 5 5 3 2 3" xfId="10164"/>
    <cellStyle name="Vérification 2 2 5 5 3 2 3 2" xfId="26388"/>
    <cellStyle name="Vérification 2 2 5 5 3 2 3 2 2" xfId="38395"/>
    <cellStyle name="Vérification 2 2 5 5 3 2 3 3" xfId="16171"/>
    <cellStyle name="Vérification 2 2 5 5 3 2 3 4" xfId="32392"/>
    <cellStyle name="Vérification 2 2 5 5 3 2 4" xfId="22629"/>
    <cellStyle name="Vérification 2 2 5 5 3 2 4 2" xfId="34636"/>
    <cellStyle name="Vérification 2 2 5 5 3 2 5" xfId="12490"/>
    <cellStyle name="Vérification 2 2 5 5 3 2 6" xfId="28711"/>
    <cellStyle name="Vérification 2 2 5 5 3 3" xfId="7453"/>
    <cellStyle name="Vérification 2 2 5 5 3 3 2" xfId="9497"/>
    <cellStyle name="Vérification 2 2 5 5 3 3 2 2" xfId="25721"/>
    <cellStyle name="Vérification 2 2 5 5 3 3 2 2 2" xfId="37728"/>
    <cellStyle name="Vérification 2 2 5 5 3 3 2 3" xfId="15504"/>
    <cellStyle name="Vérification 2 2 5 5 3 3 2 4" xfId="31725"/>
    <cellStyle name="Vérification 2 2 5 5 3 3 3" xfId="23677"/>
    <cellStyle name="Vérification 2 2 5 5 3 3 3 2" xfId="35684"/>
    <cellStyle name="Vérification 2 2 5 5 3 3 4" xfId="13201"/>
    <cellStyle name="Vérification 2 2 5 5 3 3 5" xfId="29422"/>
    <cellStyle name="Vérification 2 2 5 5 3 4" xfId="7830"/>
    <cellStyle name="Vérification 2 2 5 5 3 4 2" xfId="24054"/>
    <cellStyle name="Vérification 2 2 5 5 3 4 2 2" xfId="36061"/>
    <cellStyle name="Vérification 2 2 5 5 3 4 3" xfId="13837"/>
    <cellStyle name="Vérification 2 2 5 5 3 4 4" xfId="30058"/>
    <cellStyle name="Vérification 2 2 5 5 3 5" xfId="18945"/>
    <cellStyle name="Vérification 2 2 5 5 3 5 2" xfId="33059"/>
    <cellStyle name="Vérification 2 2 5 5 3 6" xfId="11186"/>
    <cellStyle name="Vérification 2 2 5 5 3 7" xfId="27407"/>
    <cellStyle name="Vérification 2 2 5 5 4" xfId="4450"/>
    <cellStyle name="Vérification 2 2 5 5 4 2" xfId="6895"/>
    <cellStyle name="Vérification 2 2 5 5 4 2 2" xfId="9164"/>
    <cellStyle name="Vérification 2 2 5 5 4 2 2 2" xfId="25388"/>
    <cellStyle name="Vérification 2 2 5 5 4 2 2 2 2" xfId="37395"/>
    <cellStyle name="Vérification 2 2 5 5 4 2 2 3" xfId="15171"/>
    <cellStyle name="Vérification 2 2 5 5 4 2 2 4" xfId="31392"/>
    <cellStyle name="Vérification 2 2 5 5 4 2 3" xfId="23119"/>
    <cellStyle name="Vérification 2 2 5 5 4 2 3 2" xfId="35126"/>
    <cellStyle name="Vérification 2 2 5 5 4 2 4" xfId="12868"/>
    <cellStyle name="Vérification 2 2 5 5 4 2 5" xfId="29089"/>
    <cellStyle name="Vérification 2 2 5 5 4 3" xfId="3725"/>
    <cellStyle name="Vérification 2 2 5 5 4 3 2" xfId="19953"/>
    <cellStyle name="Vérification 2 2 5 5 4 3 2 2" xfId="34067"/>
    <cellStyle name="Vérification 2 2 5 5 4 3 3" xfId="12289"/>
    <cellStyle name="Vérification 2 2 5 5 4 3 4" xfId="28510"/>
    <cellStyle name="Vérification 2 2 5 5 4 4" xfId="20676"/>
    <cellStyle name="Vérification 2 2 5 5 4 4 2" xfId="34303"/>
    <cellStyle name="Vérification 2 2 5 5 4 5" xfId="10849"/>
    <cellStyle name="Vérification 2 2 5 5 4 6" xfId="27072"/>
    <cellStyle name="Vérification 2 2 5 5 5" xfId="3206"/>
    <cellStyle name="Vérification 2 2 5 5 5 2" xfId="8227"/>
    <cellStyle name="Vérification 2 2 5 5 5 2 2" xfId="24451"/>
    <cellStyle name="Vérification 2 2 5 5 5 2 2 2" xfId="36458"/>
    <cellStyle name="Vérification 2 2 5 5 5 2 3" xfId="14234"/>
    <cellStyle name="Vérification 2 2 5 5 5 2 4" xfId="30455"/>
    <cellStyle name="Vérification 2 2 5 5 5 3" xfId="9831"/>
    <cellStyle name="Vérification 2 2 5 5 5 3 2" xfId="26055"/>
    <cellStyle name="Vérification 2 2 5 5 5 3 2 2" xfId="38062"/>
    <cellStyle name="Vérification 2 2 5 5 5 3 3" xfId="15838"/>
    <cellStyle name="Vérification 2 2 5 5 5 3 4" xfId="32059"/>
    <cellStyle name="Vérification 2 2 5 5 5 4" xfId="19434"/>
    <cellStyle name="Vérification 2 2 5 5 5 4 2" xfId="33548"/>
    <cellStyle name="Vérification 2 2 5 5 5 5" xfId="11782"/>
    <cellStyle name="Vérification 2 2 5 5 5 6" xfId="28003"/>
    <cellStyle name="Vérification 2 2 5 5 6" xfId="2977"/>
    <cellStyle name="Vérification 2 2 5 5 6 2" xfId="8072"/>
    <cellStyle name="Vérification 2 2 5 5 6 2 2" xfId="24296"/>
    <cellStyle name="Vérification 2 2 5 5 6 2 2 2" xfId="36303"/>
    <cellStyle name="Vérification 2 2 5 5 6 2 3" xfId="14079"/>
    <cellStyle name="Vérification 2 2 5 5 6 2 4" xfId="30300"/>
    <cellStyle name="Vérification 2 2 5 5 6 3" xfId="19205"/>
    <cellStyle name="Vérification 2 2 5 5 6 3 2" xfId="33319"/>
    <cellStyle name="Vérification 2 2 5 5 6 4" xfId="11627"/>
    <cellStyle name="Vérification 2 2 5 5 6 5" xfId="27848"/>
    <cellStyle name="Vérification 2 2 5 5 7" xfId="2981"/>
    <cellStyle name="Vérification 2 2 5 5 7 2" xfId="19209"/>
    <cellStyle name="Vérification 2 2 5 5 7 2 2" xfId="33323"/>
    <cellStyle name="Vérification 2 2 5 5 7 3" xfId="11557"/>
    <cellStyle name="Vérification 2 2 5 5 7 4" xfId="27778"/>
    <cellStyle name="Vérification 2 2 5 5 8" xfId="16992"/>
    <cellStyle name="Vérification 2 2 5 5 8 2" xfId="32726"/>
    <cellStyle name="Vérification 2 2 5 5 9" xfId="10498"/>
    <cellStyle name="Vérification 2 2 5 6" xfId="1328"/>
    <cellStyle name="Vérification 2 2 5 6 2" xfId="2806"/>
    <cellStyle name="Vérification 2 2 5 6 2 2" xfId="6494"/>
    <cellStyle name="Vérification 2 2 5 6 2 2 2" xfId="8875"/>
    <cellStyle name="Vérification 2 2 5 6 2 2 2 2" xfId="25099"/>
    <cellStyle name="Vérification 2 2 5 6 2 2 2 2 2" xfId="37106"/>
    <cellStyle name="Vérification 2 2 5 6 2 2 2 3" xfId="14882"/>
    <cellStyle name="Vérification 2 2 5 6 2 2 2 4" xfId="31103"/>
    <cellStyle name="Vérification 2 2 5 6 2 2 3" xfId="10253"/>
    <cellStyle name="Vérification 2 2 5 6 2 2 3 2" xfId="26477"/>
    <cellStyle name="Vérification 2 2 5 6 2 2 3 2 2" xfId="38484"/>
    <cellStyle name="Vérification 2 2 5 6 2 2 3 3" xfId="16260"/>
    <cellStyle name="Vérification 2 2 5 6 2 2 3 4" xfId="32481"/>
    <cellStyle name="Vérification 2 2 5 6 2 2 4" xfId="22718"/>
    <cellStyle name="Vérification 2 2 5 6 2 2 4 2" xfId="34725"/>
    <cellStyle name="Vérification 2 2 5 6 2 2 5" xfId="12579"/>
    <cellStyle name="Vérification 2 2 5 6 2 2 6" xfId="28800"/>
    <cellStyle name="Vérification 2 2 5 6 2 3" xfId="7542"/>
    <cellStyle name="Vérification 2 2 5 6 2 3 2" xfId="9586"/>
    <cellStyle name="Vérification 2 2 5 6 2 3 2 2" xfId="25810"/>
    <cellStyle name="Vérification 2 2 5 6 2 3 2 2 2" xfId="37817"/>
    <cellStyle name="Vérification 2 2 5 6 2 3 2 3" xfId="15593"/>
    <cellStyle name="Vérification 2 2 5 6 2 3 2 4" xfId="31814"/>
    <cellStyle name="Vérification 2 2 5 6 2 3 3" xfId="23766"/>
    <cellStyle name="Vérification 2 2 5 6 2 3 3 2" xfId="35773"/>
    <cellStyle name="Vérification 2 2 5 6 2 3 4" xfId="13290"/>
    <cellStyle name="Vérification 2 2 5 6 2 3 5" xfId="29511"/>
    <cellStyle name="Vérification 2 2 5 6 2 4" xfId="7919"/>
    <cellStyle name="Vérification 2 2 5 6 2 4 2" xfId="24143"/>
    <cellStyle name="Vérification 2 2 5 6 2 4 2 2" xfId="36150"/>
    <cellStyle name="Vérification 2 2 5 6 2 4 3" xfId="13926"/>
    <cellStyle name="Vérification 2 2 5 6 2 4 4" xfId="30147"/>
    <cellStyle name="Vérification 2 2 5 6 2 5" xfId="19034"/>
    <cellStyle name="Vérification 2 2 5 6 2 5 2" xfId="33148"/>
    <cellStyle name="Vérification 2 2 5 6 2 6" xfId="11275"/>
    <cellStyle name="Vérification 2 2 5 6 2 7" xfId="27496"/>
    <cellStyle name="Vérification 2 2 5 6 3" xfId="5025"/>
    <cellStyle name="Vérification 2 2 5 6 3 2" xfId="7052"/>
    <cellStyle name="Vérification 2 2 5 6 3 2 2" xfId="9253"/>
    <cellStyle name="Vérification 2 2 5 6 3 2 2 2" xfId="25477"/>
    <cellStyle name="Vérification 2 2 5 6 3 2 2 2 2" xfId="37484"/>
    <cellStyle name="Vérification 2 2 5 6 3 2 2 3" xfId="15260"/>
    <cellStyle name="Vérification 2 2 5 6 3 2 2 4" xfId="31481"/>
    <cellStyle name="Vérification 2 2 5 6 3 2 3" xfId="23276"/>
    <cellStyle name="Vérification 2 2 5 6 3 2 3 2" xfId="35283"/>
    <cellStyle name="Vérification 2 2 5 6 3 2 4" xfId="12957"/>
    <cellStyle name="Vérification 2 2 5 6 3 2 5" xfId="29178"/>
    <cellStyle name="Vérification 2 2 5 6 3 3" xfId="6686"/>
    <cellStyle name="Vérification 2 2 5 6 3 3 2" xfId="22910"/>
    <cellStyle name="Vérification 2 2 5 6 3 3 2 2" xfId="34917"/>
    <cellStyle name="Vérification 2 2 5 6 3 3 3" xfId="11511"/>
    <cellStyle name="Vérification 2 2 5 6 3 3 4" xfId="27732"/>
    <cellStyle name="Vérification 2 2 5 6 3 4" xfId="21251"/>
    <cellStyle name="Vérification 2 2 5 6 3 4 2" xfId="34392"/>
    <cellStyle name="Vérification 2 2 5 6 3 5" xfId="10939"/>
    <cellStyle name="Vérification 2 2 5 6 3 6" xfId="27162"/>
    <cellStyle name="Vérification 2 2 5 6 4" xfId="3416"/>
    <cellStyle name="Vérification 2 2 5 6 4 2" xfId="8383"/>
    <cellStyle name="Vérification 2 2 5 6 4 2 2" xfId="24607"/>
    <cellStyle name="Vérification 2 2 5 6 4 2 2 2" xfId="36614"/>
    <cellStyle name="Vérification 2 2 5 6 4 2 3" xfId="14390"/>
    <cellStyle name="Vérification 2 2 5 6 4 2 4" xfId="30611"/>
    <cellStyle name="Vérification 2 2 5 6 4 3" xfId="9920"/>
    <cellStyle name="Vérification 2 2 5 6 4 3 2" xfId="26144"/>
    <cellStyle name="Vérification 2 2 5 6 4 3 2 2" xfId="38151"/>
    <cellStyle name="Vérification 2 2 5 6 4 3 3" xfId="15927"/>
    <cellStyle name="Vérification 2 2 5 6 4 3 4" xfId="32148"/>
    <cellStyle name="Vérification 2 2 5 6 4 4" xfId="19644"/>
    <cellStyle name="Vérification 2 2 5 6 4 4 2" xfId="33758"/>
    <cellStyle name="Vérification 2 2 5 6 4 5" xfId="11938"/>
    <cellStyle name="Vérification 2 2 5 6 4 6" xfId="28159"/>
    <cellStyle name="Vérification 2 2 5 6 5" xfId="3071"/>
    <cellStyle name="Vérification 2 2 5 6 5 2" xfId="8135"/>
    <cellStyle name="Vérification 2 2 5 6 5 2 2" xfId="24359"/>
    <cellStyle name="Vérification 2 2 5 6 5 2 2 2" xfId="36366"/>
    <cellStyle name="Vérification 2 2 5 6 5 2 3" xfId="14142"/>
    <cellStyle name="Vérification 2 2 5 6 5 2 4" xfId="30363"/>
    <cellStyle name="Vérification 2 2 5 6 5 3" xfId="19299"/>
    <cellStyle name="Vérification 2 2 5 6 5 3 2" xfId="33413"/>
    <cellStyle name="Vérification 2 2 5 6 5 4" xfId="11690"/>
    <cellStyle name="Vérification 2 2 5 6 5 5" xfId="27911"/>
    <cellStyle name="Vérification 2 2 5 6 6" xfId="3519"/>
    <cellStyle name="Vérification 2 2 5 6 6 2" xfId="19747"/>
    <cellStyle name="Vérification 2 2 5 6 6 2 2" xfId="33861"/>
    <cellStyle name="Vérification 2 2 5 6 6 3" xfId="12338"/>
    <cellStyle name="Vérification 2 2 5 6 6 4" xfId="28559"/>
    <cellStyle name="Vérification 2 2 5 6 7" xfId="17567"/>
    <cellStyle name="Vérification 2 2 5 6 7 2" xfId="32815"/>
    <cellStyle name="Vérification 2 2 5 6 8" xfId="10587"/>
    <cellStyle name="Vérification 2 2 5 6 9" xfId="26812"/>
    <cellStyle name="Vérification 2 2 5 7" xfId="2487"/>
    <cellStyle name="Vérification 2 2 5 7 2" xfId="2918"/>
    <cellStyle name="Vérification 2 2 5 7 2 2" xfId="6606"/>
    <cellStyle name="Vérification 2 2 5 7 2 2 2" xfId="8987"/>
    <cellStyle name="Vérification 2 2 5 7 2 2 2 2" xfId="25211"/>
    <cellStyle name="Vérification 2 2 5 7 2 2 2 2 2" xfId="37218"/>
    <cellStyle name="Vérification 2 2 5 7 2 2 2 3" xfId="14994"/>
    <cellStyle name="Vérification 2 2 5 7 2 2 2 4" xfId="31215"/>
    <cellStyle name="Vérification 2 2 5 7 2 2 3" xfId="10365"/>
    <cellStyle name="Vérification 2 2 5 7 2 2 3 2" xfId="26589"/>
    <cellStyle name="Vérification 2 2 5 7 2 2 3 2 2" xfId="38596"/>
    <cellStyle name="Vérification 2 2 5 7 2 2 3 3" xfId="16372"/>
    <cellStyle name="Vérification 2 2 5 7 2 2 3 4" xfId="32593"/>
    <cellStyle name="Vérification 2 2 5 7 2 2 4" xfId="22830"/>
    <cellStyle name="Vérification 2 2 5 7 2 2 4 2" xfId="34837"/>
    <cellStyle name="Vérification 2 2 5 7 2 2 5" xfId="12691"/>
    <cellStyle name="Vérification 2 2 5 7 2 2 6" xfId="28912"/>
    <cellStyle name="Vérification 2 2 5 7 2 3" xfId="7654"/>
    <cellStyle name="Vérification 2 2 5 7 2 3 2" xfId="9698"/>
    <cellStyle name="Vérification 2 2 5 7 2 3 2 2" xfId="25922"/>
    <cellStyle name="Vérification 2 2 5 7 2 3 2 2 2" xfId="37929"/>
    <cellStyle name="Vérification 2 2 5 7 2 3 2 3" xfId="15705"/>
    <cellStyle name="Vérification 2 2 5 7 2 3 2 4" xfId="31926"/>
    <cellStyle name="Vérification 2 2 5 7 2 3 3" xfId="23878"/>
    <cellStyle name="Vérification 2 2 5 7 2 3 3 2" xfId="35885"/>
    <cellStyle name="Vérification 2 2 5 7 2 3 4" xfId="13402"/>
    <cellStyle name="Vérification 2 2 5 7 2 3 5" xfId="29623"/>
    <cellStyle name="Vérification 2 2 5 7 2 4" xfId="8031"/>
    <cellStyle name="Vérification 2 2 5 7 2 4 2" xfId="24255"/>
    <cellStyle name="Vérification 2 2 5 7 2 4 2 2" xfId="36262"/>
    <cellStyle name="Vérification 2 2 5 7 2 4 3" xfId="14038"/>
    <cellStyle name="Vérification 2 2 5 7 2 4 4" xfId="30259"/>
    <cellStyle name="Vérification 2 2 5 7 2 5" xfId="19146"/>
    <cellStyle name="Vérification 2 2 5 7 2 5 2" xfId="33260"/>
    <cellStyle name="Vérification 2 2 5 7 2 6" xfId="11387"/>
    <cellStyle name="Vérification 2 2 5 7 2 7" xfId="27608"/>
    <cellStyle name="Vérification 2 2 5 7 3" xfId="6177"/>
    <cellStyle name="Vérification 2 2 5 7 3 2" xfId="7312"/>
    <cellStyle name="Vérification 2 2 5 7 3 2 2" xfId="9365"/>
    <cellStyle name="Vérification 2 2 5 7 3 2 2 2" xfId="25589"/>
    <cellStyle name="Vérification 2 2 5 7 3 2 2 2 2" xfId="37596"/>
    <cellStyle name="Vérification 2 2 5 7 3 2 2 3" xfId="15372"/>
    <cellStyle name="Vérification 2 2 5 7 3 2 2 4" xfId="31593"/>
    <cellStyle name="Vérification 2 2 5 7 3 2 3" xfId="23536"/>
    <cellStyle name="Vérification 2 2 5 7 3 2 3 2" xfId="35543"/>
    <cellStyle name="Vérification 2 2 5 7 3 2 4" xfId="13069"/>
    <cellStyle name="Vérification 2 2 5 7 3 2 5" xfId="29290"/>
    <cellStyle name="Vérification 2 2 5 7 3 3" xfId="7698"/>
    <cellStyle name="Vérification 2 2 5 7 3 3 2" xfId="23922"/>
    <cellStyle name="Vérification 2 2 5 7 3 3 2 2" xfId="35929"/>
    <cellStyle name="Vérification 2 2 5 7 3 3 3" xfId="13705"/>
    <cellStyle name="Vérification 2 2 5 7 3 3 4" xfId="29926"/>
    <cellStyle name="Vérification 2 2 5 7 3 4" xfId="22401"/>
    <cellStyle name="Vérification 2 2 5 7 3 4 2" xfId="34504"/>
    <cellStyle name="Vérification 2 2 5 7 3 5" xfId="11053"/>
    <cellStyle name="Vérification 2 2 5 7 3 6" xfId="27274"/>
    <cellStyle name="Vérification 2 2 5 7 4" xfId="3803"/>
    <cellStyle name="Vérification 2 2 5 7 4 2" xfId="8642"/>
    <cellStyle name="Vérification 2 2 5 7 4 2 2" xfId="24866"/>
    <cellStyle name="Vérification 2 2 5 7 4 2 2 2" xfId="36873"/>
    <cellStyle name="Vérification 2 2 5 7 4 2 3" xfId="14649"/>
    <cellStyle name="Vérification 2 2 5 7 4 2 4" xfId="30870"/>
    <cellStyle name="Vérification 2 2 5 7 4 3" xfId="10032"/>
    <cellStyle name="Vérification 2 2 5 7 4 3 2" xfId="26256"/>
    <cellStyle name="Vérification 2 2 5 7 4 3 2 2" xfId="38263"/>
    <cellStyle name="Vérification 2 2 5 7 4 3 3" xfId="16039"/>
    <cellStyle name="Vérification 2 2 5 7 4 3 4" xfId="32260"/>
    <cellStyle name="Vérification 2 2 5 7 4 4" xfId="20031"/>
    <cellStyle name="Vérification 2 2 5 7 4 4 2" xfId="34145"/>
    <cellStyle name="Vérification 2 2 5 7 4 5" xfId="12197"/>
    <cellStyle name="Vérification 2 2 5 7 4 6" xfId="28418"/>
    <cellStyle name="Vérification 2 2 5 7 5" xfId="6675"/>
    <cellStyle name="Vérification 2 2 5 7 5 2" xfId="9031"/>
    <cellStyle name="Vérification 2 2 5 7 5 2 2" xfId="25255"/>
    <cellStyle name="Vérification 2 2 5 7 5 2 2 2" xfId="37262"/>
    <cellStyle name="Vérification 2 2 5 7 5 2 3" xfId="15038"/>
    <cellStyle name="Vérification 2 2 5 7 5 2 4" xfId="31259"/>
    <cellStyle name="Vérification 2 2 5 7 5 3" xfId="22899"/>
    <cellStyle name="Vérification 2 2 5 7 5 3 2" xfId="34906"/>
    <cellStyle name="Vérification 2 2 5 7 5 4" xfId="12735"/>
    <cellStyle name="Vérification 2 2 5 7 5 5" xfId="28956"/>
    <cellStyle name="Vérification 2 2 5 7 6" xfId="3406"/>
    <cellStyle name="Vérification 2 2 5 7 6 2" xfId="19634"/>
    <cellStyle name="Vérification 2 2 5 7 6 2 2" xfId="33748"/>
    <cellStyle name="Vérification 2 2 5 7 6 3" xfId="11541"/>
    <cellStyle name="Vérification 2 2 5 7 6 4" xfId="27762"/>
    <cellStyle name="Vérification 2 2 5 7 7" xfId="18717"/>
    <cellStyle name="Vérification 2 2 5 7 7 2" xfId="32927"/>
    <cellStyle name="Vérification 2 2 5 7 8" xfId="10701"/>
    <cellStyle name="Vérification 2 2 5 7 9" xfId="26924"/>
    <cellStyle name="Vérification 2 2 5 8" xfId="2606"/>
    <cellStyle name="Vérification 2 2 5 8 2" xfId="2939"/>
    <cellStyle name="Vérification 2 2 5 8 2 2" xfId="6627"/>
    <cellStyle name="Vérification 2 2 5 8 2 2 2" xfId="9008"/>
    <cellStyle name="Vérification 2 2 5 8 2 2 2 2" xfId="25232"/>
    <cellStyle name="Vérification 2 2 5 8 2 2 2 2 2" xfId="37239"/>
    <cellStyle name="Vérification 2 2 5 8 2 2 2 3" xfId="15015"/>
    <cellStyle name="Vérification 2 2 5 8 2 2 2 4" xfId="31236"/>
    <cellStyle name="Vérification 2 2 5 8 2 2 3" xfId="10386"/>
    <cellStyle name="Vérification 2 2 5 8 2 2 3 2" xfId="26610"/>
    <cellStyle name="Vérification 2 2 5 8 2 2 3 2 2" xfId="38617"/>
    <cellStyle name="Vérification 2 2 5 8 2 2 3 3" xfId="16393"/>
    <cellStyle name="Vérification 2 2 5 8 2 2 3 4" xfId="32614"/>
    <cellStyle name="Vérification 2 2 5 8 2 2 4" xfId="22851"/>
    <cellStyle name="Vérification 2 2 5 8 2 2 4 2" xfId="34858"/>
    <cellStyle name="Vérification 2 2 5 8 2 2 5" xfId="12712"/>
    <cellStyle name="Vérification 2 2 5 8 2 2 6" xfId="28933"/>
    <cellStyle name="Vérification 2 2 5 8 2 3" xfId="7675"/>
    <cellStyle name="Vérification 2 2 5 8 2 3 2" xfId="9719"/>
    <cellStyle name="Vérification 2 2 5 8 2 3 2 2" xfId="25943"/>
    <cellStyle name="Vérification 2 2 5 8 2 3 2 2 2" xfId="37950"/>
    <cellStyle name="Vérification 2 2 5 8 2 3 2 3" xfId="15726"/>
    <cellStyle name="Vérification 2 2 5 8 2 3 2 4" xfId="31947"/>
    <cellStyle name="Vérification 2 2 5 8 2 3 3" xfId="23899"/>
    <cellStyle name="Vérification 2 2 5 8 2 3 3 2" xfId="35906"/>
    <cellStyle name="Vérification 2 2 5 8 2 3 4" xfId="13423"/>
    <cellStyle name="Vérification 2 2 5 8 2 3 5" xfId="29644"/>
    <cellStyle name="Vérification 2 2 5 8 2 4" xfId="8052"/>
    <cellStyle name="Vérification 2 2 5 8 2 4 2" xfId="24276"/>
    <cellStyle name="Vérification 2 2 5 8 2 4 2 2" xfId="36283"/>
    <cellStyle name="Vérification 2 2 5 8 2 4 3" xfId="14059"/>
    <cellStyle name="Vérification 2 2 5 8 2 4 4" xfId="30280"/>
    <cellStyle name="Vérification 2 2 5 8 2 5" xfId="19167"/>
    <cellStyle name="Vérification 2 2 5 8 2 5 2" xfId="33281"/>
    <cellStyle name="Vérification 2 2 5 8 2 6" xfId="11408"/>
    <cellStyle name="Vérification 2 2 5 8 2 7" xfId="27629"/>
    <cellStyle name="Vérification 2 2 5 8 3" xfId="6294"/>
    <cellStyle name="Vérification 2 2 5 8 3 2" xfId="7342"/>
    <cellStyle name="Vérification 2 2 5 8 3 2 2" xfId="9386"/>
    <cellStyle name="Vérification 2 2 5 8 3 2 2 2" xfId="25610"/>
    <cellStyle name="Vérification 2 2 5 8 3 2 2 2 2" xfId="37617"/>
    <cellStyle name="Vérification 2 2 5 8 3 2 2 3" xfId="15393"/>
    <cellStyle name="Vérification 2 2 5 8 3 2 2 4" xfId="31614"/>
    <cellStyle name="Vérification 2 2 5 8 3 2 3" xfId="23566"/>
    <cellStyle name="Vérification 2 2 5 8 3 2 3 2" xfId="35573"/>
    <cellStyle name="Vérification 2 2 5 8 3 2 4" xfId="13090"/>
    <cellStyle name="Vérification 2 2 5 8 3 2 5" xfId="29311"/>
    <cellStyle name="Vérification 2 2 5 8 3 3" xfId="7719"/>
    <cellStyle name="Vérification 2 2 5 8 3 3 2" xfId="23943"/>
    <cellStyle name="Vérification 2 2 5 8 3 3 2 2" xfId="35950"/>
    <cellStyle name="Vérification 2 2 5 8 3 3 3" xfId="13726"/>
    <cellStyle name="Vérification 2 2 5 8 3 3 4" xfId="29947"/>
    <cellStyle name="Vérification 2 2 5 8 3 4" xfId="22518"/>
    <cellStyle name="Vérification 2 2 5 8 3 4 2" xfId="34525"/>
    <cellStyle name="Vérification 2 2 5 8 3 5" xfId="11075"/>
    <cellStyle name="Vérification 2 2 5 8 3 6" xfId="27296"/>
    <cellStyle name="Vérification 2 2 5 8 4" xfId="3849"/>
    <cellStyle name="Vérification 2 2 5 8 4 2" xfId="8675"/>
    <cellStyle name="Vérification 2 2 5 8 4 2 2" xfId="24899"/>
    <cellStyle name="Vérification 2 2 5 8 4 2 2 2" xfId="36906"/>
    <cellStyle name="Vérification 2 2 5 8 4 2 3" xfId="14682"/>
    <cellStyle name="Vérification 2 2 5 8 4 2 4" xfId="30903"/>
    <cellStyle name="Vérification 2 2 5 8 4 3" xfId="10053"/>
    <cellStyle name="Vérification 2 2 5 8 4 3 2" xfId="26277"/>
    <cellStyle name="Vérification 2 2 5 8 4 3 2 2" xfId="38284"/>
    <cellStyle name="Vérification 2 2 5 8 4 3 3" xfId="16060"/>
    <cellStyle name="Vérification 2 2 5 8 4 3 4" xfId="32281"/>
    <cellStyle name="Vérification 2 2 5 8 4 4" xfId="20077"/>
    <cellStyle name="Vérification 2 2 5 8 4 4 2" xfId="34191"/>
    <cellStyle name="Vérification 2 2 5 8 4 5" xfId="12230"/>
    <cellStyle name="Vérification 2 2 5 8 4 6" xfId="28451"/>
    <cellStyle name="Vérification 2 2 5 8 5" xfId="6706"/>
    <cellStyle name="Vérification 2 2 5 8 5 2" xfId="9052"/>
    <cellStyle name="Vérification 2 2 5 8 5 2 2" xfId="25276"/>
    <cellStyle name="Vérification 2 2 5 8 5 2 2 2" xfId="37283"/>
    <cellStyle name="Vérification 2 2 5 8 5 2 3" xfId="15059"/>
    <cellStyle name="Vérification 2 2 5 8 5 2 4" xfId="31280"/>
    <cellStyle name="Vérification 2 2 5 8 5 3" xfId="22930"/>
    <cellStyle name="Vérification 2 2 5 8 5 3 2" xfId="34937"/>
    <cellStyle name="Vérification 2 2 5 8 5 4" xfId="12756"/>
    <cellStyle name="Vérification 2 2 5 8 5 5" xfId="28977"/>
    <cellStyle name="Vérification 2 2 5 8 6" xfId="6730"/>
    <cellStyle name="Vérification 2 2 5 8 6 2" xfId="22954"/>
    <cellStyle name="Vérification 2 2 5 8 6 2 2" xfId="34961"/>
    <cellStyle name="Vérification 2 2 5 8 6 3" xfId="13510"/>
    <cellStyle name="Vérification 2 2 5 8 6 4" xfId="29731"/>
    <cellStyle name="Vérification 2 2 5 8 7" xfId="18834"/>
    <cellStyle name="Vérification 2 2 5 8 7 2" xfId="32948"/>
    <cellStyle name="Vérification 2 2 5 8 8" xfId="10722"/>
    <cellStyle name="Vérification 2 2 5 8 9" xfId="26945"/>
    <cellStyle name="Vérification 2 2 5 9" xfId="2628"/>
    <cellStyle name="Vérification 2 2 5 9 2" xfId="6316"/>
    <cellStyle name="Vérification 2 2 5 9 2 2" xfId="8697"/>
    <cellStyle name="Vérification 2 2 5 9 2 2 2" xfId="24921"/>
    <cellStyle name="Vérification 2 2 5 9 2 2 2 2" xfId="36928"/>
    <cellStyle name="Vérification 2 2 5 9 2 2 3" xfId="14704"/>
    <cellStyle name="Vérification 2 2 5 9 2 2 4" xfId="30925"/>
    <cellStyle name="Vérification 2 2 5 9 2 3" xfId="10075"/>
    <cellStyle name="Vérification 2 2 5 9 2 3 2" xfId="26299"/>
    <cellStyle name="Vérification 2 2 5 9 2 3 2 2" xfId="38306"/>
    <cellStyle name="Vérification 2 2 5 9 2 3 3" xfId="16082"/>
    <cellStyle name="Vérification 2 2 5 9 2 3 4" xfId="32303"/>
    <cellStyle name="Vérification 2 2 5 9 2 4" xfId="22540"/>
    <cellStyle name="Vérification 2 2 5 9 2 4 2" xfId="34547"/>
    <cellStyle name="Vérification 2 2 5 9 2 5" xfId="12401"/>
    <cellStyle name="Vérification 2 2 5 9 2 6" xfId="28622"/>
    <cellStyle name="Vérification 2 2 5 9 3" xfId="7364"/>
    <cellStyle name="Vérification 2 2 5 9 3 2" xfId="9408"/>
    <cellStyle name="Vérification 2 2 5 9 3 2 2" xfId="25632"/>
    <cellStyle name="Vérification 2 2 5 9 3 2 2 2" xfId="37639"/>
    <cellStyle name="Vérification 2 2 5 9 3 2 3" xfId="15415"/>
    <cellStyle name="Vérification 2 2 5 9 3 2 4" xfId="31636"/>
    <cellStyle name="Vérification 2 2 5 9 3 3" xfId="23588"/>
    <cellStyle name="Vérification 2 2 5 9 3 3 2" xfId="35595"/>
    <cellStyle name="Vérification 2 2 5 9 3 4" xfId="13112"/>
    <cellStyle name="Vérification 2 2 5 9 3 5" xfId="29333"/>
    <cellStyle name="Vérification 2 2 5 9 4" xfId="7741"/>
    <cellStyle name="Vérification 2 2 5 9 4 2" xfId="23965"/>
    <cellStyle name="Vérification 2 2 5 9 4 2 2" xfId="35972"/>
    <cellStyle name="Vérification 2 2 5 9 4 3" xfId="13748"/>
    <cellStyle name="Vérification 2 2 5 9 4 4" xfId="29969"/>
    <cellStyle name="Vérification 2 2 5 9 5" xfId="18856"/>
    <cellStyle name="Vérification 2 2 5 9 5 2" xfId="32970"/>
    <cellStyle name="Vérification 2 2 5 9 6" xfId="11097"/>
    <cellStyle name="Vérification 2 2 5 9 7" xfId="27318"/>
    <cellStyle name="Vérification 2 2 6" xfId="197"/>
    <cellStyle name="Vérification 2 2 6 10" xfId="3954"/>
    <cellStyle name="Vérification 2 2 6 10 2" xfId="6747"/>
    <cellStyle name="Vérification 2 2 6 10 2 2" xfId="9077"/>
    <cellStyle name="Vérification 2 2 6 10 2 2 2" xfId="25301"/>
    <cellStyle name="Vérification 2 2 6 10 2 2 2 2" xfId="37308"/>
    <cellStyle name="Vérification 2 2 6 10 2 2 3" xfId="15084"/>
    <cellStyle name="Vérification 2 2 6 10 2 2 4" xfId="31305"/>
    <cellStyle name="Vérification 2 2 6 10 2 3" xfId="22971"/>
    <cellStyle name="Vérification 2 2 6 10 2 3 2" xfId="34978"/>
    <cellStyle name="Vérification 2 2 6 10 2 4" xfId="12781"/>
    <cellStyle name="Vérification 2 2 6 10 2 5" xfId="29002"/>
    <cellStyle name="Vérification 2 2 6 10 3" xfId="7170"/>
    <cellStyle name="Vérification 2 2 6 10 3 2" xfId="23394"/>
    <cellStyle name="Vérification 2 2 6 10 3 2 2" xfId="35401"/>
    <cellStyle name="Vérification 2 2 6 10 3 3" xfId="13554"/>
    <cellStyle name="Vérification 2 2 6 10 3 4" xfId="29775"/>
    <cellStyle name="Vérification 2 2 6 10 4" xfId="20181"/>
    <cellStyle name="Vérification 2 2 6 10 4 2" xfId="34216"/>
    <cellStyle name="Vérification 2 2 6 10 5" xfId="10754"/>
    <cellStyle name="Vérification 2 2 6 10 6" xfId="26977"/>
    <cellStyle name="Vérification 2 2 6 11" xfId="3004"/>
    <cellStyle name="Vérification 2 2 6 11 2" xfId="8092"/>
    <cellStyle name="Vérification 2 2 6 11 2 2" xfId="24316"/>
    <cellStyle name="Vérification 2 2 6 11 2 2 2" xfId="36323"/>
    <cellStyle name="Vérification 2 2 6 11 2 3" xfId="14099"/>
    <cellStyle name="Vérification 2 2 6 11 2 4" xfId="30320"/>
    <cellStyle name="Vérification 2 2 6 11 3" xfId="9744"/>
    <cellStyle name="Vérification 2 2 6 11 3 2" xfId="25968"/>
    <cellStyle name="Vérification 2 2 6 11 3 2 2" xfId="37975"/>
    <cellStyle name="Vérification 2 2 6 11 3 3" xfId="15751"/>
    <cellStyle name="Vérification 2 2 6 11 3 4" xfId="31972"/>
    <cellStyle name="Vérification 2 2 6 11 4" xfId="19232"/>
    <cellStyle name="Vérification 2 2 6 11 4 2" xfId="33346"/>
    <cellStyle name="Vérification 2 2 6 11 5" xfId="11647"/>
    <cellStyle name="Vérification 2 2 6 11 6" xfId="27868"/>
    <cellStyle name="Vérification 2 2 6 12" xfId="3690"/>
    <cellStyle name="Vérification 2 2 6 12 2" xfId="8579"/>
    <cellStyle name="Vérification 2 2 6 12 2 2" xfId="24803"/>
    <cellStyle name="Vérification 2 2 6 12 2 2 2" xfId="36810"/>
    <cellStyle name="Vérification 2 2 6 12 2 3" xfId="14586"/>
    <cellStyle name="Vérification 2 2 6 12 2 4" xfId="30807"/>
    <cellStyle name="Vérification 2 2 6 12 3" xfId="19918"/>
    <cellStyle name="Vérification 2 2 6 12 3 2" xfId="34032"/>
    <cellStyle name="Vérification 2 2 6 12 4" xfId="12134"/>
    <cellStyle name="Vérification 2 2 6 12 5" xfId="28355"/>
    <cellStyle name="Vérification 2 2 6 13" xfId="3554"/>
    <cellStyle name="Vérification 2 2 6 13 2" xfId="19782"/>
    <cellStyle name="Vérification 2 2 6 13 2 2" xfId="33896"/>
    <cellStyle name="Vérification 2 2 6 13 3" xfId="12342"/>
    <cellStyle name="Vérification 2 2 6 13 4" xfId="28563"/>
    <cellStyle name="Vérification 2 2 6 14" xfId="16497"/>
    <cellStyle name="Vérification 2 2 6 14 2" xfId="32639"/>
    <cellStyle name="Vérification 2 2 6 15" xfId="10411"/>
    <cellStyle name="Vérification 2 2 6 16" xfId="26636"/>
    <cellStyle name="Vérification 2 2 6 2" xfId="403"/>
    <cellStyle name="Vérification 2 2 6 2 10" xfId="10434"/>
    <cellStyle name="Vérification 2 2 6 2 11" xfId="26659"/>
    <cellStyle name="Vérification 2 2 6 2 2" xfId="1353"/>
    <cellStyle name="Vérification 2 2 6 2 2 2" xfId="2831"/>
    <cellStyle name="Vérification 2 2 6 2 2 2 2" xfId="6519"/>
    <cellStyle name="Vérification 2 2 6 2 2 2 2 2" xfId="8900"/>
    <cellStyle name="Vérification 2 2 6 2 2 2 2 2 2" xfId="25124"/>
    <cellStyle name="Vérification 2 2 6 2 2 2 2 2 2 2" xfId="37131"/>
    <cellStyle name="Vérification 2 2 6 2 2 2 2 2 3" xfId="14907"/>
    <cellStyle name="Vérification 2 2 6 2 2 2 2 2 4" xfId="31128"/>
    <cellStyle name="Vérification 2 2 6 2 2 2 2 3" xfId="10278"/>
    <cellStyle name="Vérification 2 2 6 2 2 2 2 3 2" xfId="26502"/>
    <cellStyle name="Vérification 2 2 6 2 2 2 2 3 2 2" xfId="38509"/>
    <cellStyle name="Vérification 2 2 6 2 2 2 2 3 3" xfId="16285"/>
    <cellStyle name="Vérification 2 2 6 2 2 2 2 3 4" xfId="32506"/>
    <cellStyle name="Vérification 2 2 6 2 2 2 2 4" xfId="22743"/>
    <cellStyle name="Vérification 2 2 6 2 2 2 2 4 2" xfId="34750"/>
    <cellStyle name="Vérification 2 2 6 2 2 2 2 5" xfId="12604"/>
    <cellStyle name="Vérification 2 2 6 2 2 2 2 6" xfId="28825"/>
    <cellStyle name="Vérification 2 2 6 2 2 2 3" xfId="7567"/>
    <cellStyle name="Vérification 2 2 6 2 2 2 3 2" xfId="9611"/>
    <cellStyle name="Vérification 2 2 6 2 2 2 3 2 2" xfId="25835"/>
    <cellStyle name="Vérification 2 2 6 2 2 2 3 2 2 2" xfId="37842"/>
    <cellStyle name="Vérification 2 2 6 2 2 2 3 2 3" xfId="15618"/>
    <cellStyle name="Vérification 2 2 6 2 2 2 3 2 4" xfId="31839"/>
    <cellStyle name="Vérification 2 2 6 2 2 2 3 3" xfId="23791"/>
    <cellStyle name="Vérification 2 2 6 2 2 2 3 3 2" xfId="35798"/>
    <cellStyle name="Vérification 2 2 6 2 2 2 3 4" xfId="13315"/>
    <cellStyle name="Vérification 2 2 6 2 2 2 3 5" xfId="29536"/>
    <cellStyle name="Vérification 2 2 6 2 2 2 4" xfId="7944"/>
    <cellStyle name="Vérification 2 2 6 2 2 2 4 2" xfId="24168"/>
    <cellStyle name="Vérification 2 2 6 2 2 2 4 2 2" xfId="36175"/>
    <cellStyle name="Vérification 2 2 6 2 2 2 4 3" xfId="13951"/>
    <cellStyle name="Vérification 2 2 6 2 2 2 4 4" xfId="30172"/>
    <cellStyle name="Vérification 2 2 6 2 2 2 5" xfId="19059"/>
    <cellStyle name="Vérification 2 2 6 2 2 2 5 2" xfId="33173"/>
    <cellStyle name="Vérification 2 2 6 2 2 2 6" xfId="11300"/>
    <cellStyle name="Vérification 2 2 6 2 2 2 7" xfId="27521"/>
    <cellStyle name="Vérification 2 2 6 2 2 3" xfId="5050"/>
    <cellStyle name="Vérification 2 2 6 2 2 3 2" xfId="7077"/>
    <cellStyle name="Vérification 2 2 6 2 2 3 2 2" xfId="9278"/>
    <cellStyle name="Vérification 2 2 6 2 2 3 2 2 2" xfId="25502"/>
    <cellStyle name="Vérification 2 2 6 2 2 3 2 2 2 2" xfId="37509"/>
    <cellStyle name="Vérification 2 2 6 2 2 3 2 2 3" xfId="15285"/>
    <cellStyle name="Vérification 2 2 6 2 2 3 2 2 4" xfId="31506"/>
    <cellStyle name="Vérification 2 2 6 2 2 3 2 3" xfId="23301"/>
    <cellStyle name="Vérification 2 2 6 2 2 3 2 3 2" xfId="35308"/>
    <cellStyle name="Vérification 2 2 6 2 2 3 2 4" xfId="12982"/>
    <cellStyle name="Vérification 2 2 6 2 2 3 2 5" xfId="29203"/>
    <cellStyle name="Vérification 2 2 6 2 2 3 3" xfId="7316"/>
    <cellStyle name="Vérification 2 2 6 2 2 3 3 2" xfId="23540"/>
    <cellStyle name="Vérification 2 2 6 2 2 3 3 2 2" xfId="35547"/>
    <cellStyle name="Vérification 2 2 6 2 2 3 3 3" xfId="13688"/>
    <cellStyle name="Vérification 2 2 6 2 2 3 3 4" xfId="29909"/>
    <cellStyle name="Vérification 2 2 6 2 2 3 4" xfId="21276"/>
    <cellStyle name="Vérification 2 2 6 2 2 3 4 2" xfId="34417"/>
    <cellStyle name="Vérification 2 2 6 2 2 3 5" xfId="10964"/>
    <cellStyle name="Vérification 2 2 6 2 2 3 6" xfId="27187"/>
    <cellStyle name="Vérification 2 2 6 2 2 4" xfId="3441"/>
    <cellStyle name="Vérification 2 2 6 2 2 4 2" xfId="8408"/>
    <cellStyle name="Vérification 2 2 6 2 2 4 2 2" xfId="24632"/>
    <cellStyle name="Vérification 2 2 6 2 2 4 2 2 2" xfId="36639"/>
    <cellStyle name="Vérification 2 2 6 2 2 4 2 3" xfId="14415"/>
    <cellStyle name="Vérification 2 2 6 2 2 4 2 4" xfId="30636"/>
    <cellStyle name="Vérification 2 2 6 2 2 4 3" xfId="9945"/>
    <cellStyle name="Vérification 2 2 6 2 2 4 3 2" xfId="26169"/>
    <cellStyle name="Vérification 2 2 6 2 2 4 3 2 2" xfId="38176"/>
    <cellStyle name="Vérification 2 2 6 2 2 4 3 3" xfId="15952"/>
    <cellStyle name="Vérification 2 2 6 2 2 4 3 4" xfId="32173"/>
    <cellStyle name="Vérification 2 2 6 2 2 4 4" xfId="19669"/>
    <cellStyle name="Vérification 2 2 6 2 2 4 4 2" xfId="33783"/>
    <cellStyle name="Vérification 2 2 6 2 2 4 5" xfId="11963"/>
    <cellStyle name="Vérification 2 2 6 2 2 4 6" xfId="28184"/>
    <cellStyle name="Vérification 2 2 6 2 2 5" xfId="3273"/>
    <cellStyle name="Vérification 2 2 6 2 2 5 2" xfId="8270"/>
    <cellStyle name="Vérification 2 2 6 2 2 5 2 2" xfId="24494"/>
    <cellStyle name="Vérification 2 2 6 2 2 5 2 2 2" xfId="36501"/>
    <cellStyle name="Vérification 2 2 6 2 2 5 2 3" xfId="14277"/>
    <cellStyle name="Vérification 2 2 6 2 2 5 2 4" xfId="30498"/>
    <cellStyle name="Vérification 2 2 6 2 2 5 3" xfId="19501"/>
    <cellStyle name="Vérification 2 2 6 2 2 5 3 2" xfId="33615"/>
    <cellStyle name="Vérification 2 2 6 2 2 5 4" xfId="11825"/>
    <cellStyle name="Vérification 2 2 6 2 2 5 5" xfId="28046"/>
    <cellStyle name="Vérification 2 2 6 2 2 6" xfId="7255"/>
    <cellStyle name="Vérification 2 2 6 2 2 6 2" xfId="23479"/>
    <cellStyle name="Vérification 2 2 6 2 2 6 2 2" xfId="35486"/>
    <cellStyle name="Vérification 2 2 6 2 2 6 3" xfId="13639"/>
    <cellStyle name="Vérification 2 2 6 2 2 6 4" xfId="29860"/>
    <cellStyle name="Vérification 2 2 6 2 2 7" xfId="17592"/>
    <cellStyle name="Vérification 2 2 6 2 2 7 2" xfId="32840"/>
    <cellStyle name="Vérification 2 2 6 2 2 8" xfId="10612"/>
    <cellStyle name="Vérification 2 2 6 2 2 9" xfId="26837"/>
    <cellStyle name="Vérification 2 2 6 2 3" xfId="1018"/>
    <cellStyle name="Vérification 2 2 6 2 3 2" xfId="2742"/>
    <cellStyle name="Vérification 2 2 6 2 3 2 2" xfId="6430"/>
    <cellStyle name="Vérification 2 2 6 2 3 2 2 2" xfId="8811"/>
    <cellStyle name="Vérification 2 2 6 2 3 2 2 2 2" xfId="25035"/>
    <cellStyle name="Vérification 2 2 6 2 3 2 2 2 2 2" xfId="37042"/>
    <cellStyle name="Vérification 2 2 6 2 3 2 2 2 3" xfId="14818"/>
    <cellStyle name="Vérification 2 2 6 2 3 2 2 2 4" xfId="31039"/>
    <cellStyle name="Vérification 2 2 6 2 3 2 2 3" xfId="10189"/>
    <cellStyle name="Vérification 2 2 6 2 3 2 2 3 2" xfId="26413"/>
    <cellStyle name="Vérification 2 2 6 2 3 2 2 3 2 2" xfId="38420"/>
    <cellStyle name="Vérification 2 2 6 2 3 2 2 3 3" xfId="16196"/>
    <cellStyle name="Vérification 2 2 6 2 3 2 2 3 4" xfId="32417"/>
    <cellStyle name="Vérification 2 2 6 2 3 2 2 4" xfId="22654"/>
    <cellStyle name="Vérification 2 2 6 2 3 2 2 4 2" xfId="34661"/>
    <cellStyle name="Vérification 2 2 6 2 3 2 2 5" xfId="12515"/>
    <cellStyle name="Vérification 2 2 6 2 3 2 2 6" xfId="28736"/>
    <cellStyle name="Vérification 2 2 6 2 3 2 3" xfId="7478"/>
    <cellStyle name="Vérification 2 2 6 2 3 2 3 2" xfId="9522"/>
    <cellStyle name="Vérification 2 2 6 2 3 2 3 2 2" xfId="25746"/>
    <cellStyle name="Vérification 2 2 6 2 3 2 3 2 2 2" xfId="37753"/>
    <cellStyle name="Vérification 2 2 6 2 3 2 3 2 3" xfId="15529"/>
    <cellStyle name="Vérification 2 2 6 2 3 2 3 2 4" xfId="31750"/>
    <cellStyle name="Vérification 2 2 6 2 3 2 3 3" xfId="23702"/>
    <cellStyle name="Vérification 2 2 6 2 3 2 3 3 2" xfId="35709"/>
    <cellStyle name="Vérification 2 2 6 2 3 2 3 4" xfId="13226"/>
    <cellStyle name="Vérification 2 2 6 2 3 2 3 5" xfId="29447"/>
    <cellStyle name="Vérification 2 2 6 2 3 2 4" xfId="7855"/>
    <cellStyle name="Vérification 2 2 6 2 3 2 4 2" xfId="24079"/>
    <cellStyle name="Vérification 2 2 6 2 3 2 4 2 2" xfId="36086"/>
    <cellStyle name="Vérification 2 2 6 2 3 2 4 3" xfId="13862"/>
    <cellStyle name="Vérification 2 2 6 2 3 2 4 4" xfId="30083"/>
    <cellStyle name="Vérification 2 2 6 2 3 2 5" xfId="18970"/>
    <cellStyle name="Vérification 2 2 6 2 3 2 5 2" xfId="33084"/>
    <cellStyle name="Vérification 2 2 6 2 3 2 6" xfId="11211"/>
    <cellStyle name="Vérification 2 2 6 2 3 2 7" xfId="27432"/>
    <cellStyle name="Vérification 2 2 6 2 3 3" xfId="4715"/>
    <cellStyle name="Vérification 2 2 6 2 3 3 2" xfId="6959"/>
    <cellStyle name="Vérification 2 2 6 2 3 3 2 2" xfId="9189"/>
    <cellStyle name="Vérification 2 2 6 2 3 3 2 2 2" xfId="25413"/>
    <cellStyle name="Vérification 2 2 6 2 3 3 2 2 2 2" xfId="37420"/>
    <cellStyle name="Vérification 2 2 6 2 3 3 2 2 3" xfId="15196"/>
    <cellStyle name="Vérification 2 2 6 2 3 3 2 2 4" xfId="31417"/>
    <cellStyle name="Vérification 2 2 6 2 3 3 2 3" xfId="23183"/>
    <cellStyle name="Vérification 2 2 6 2 3 3 2 3 2" xfId="35190"/>
    <cellStyle name="Vérification 2 2 6 2 3 3 2 4" xfId="12893"/>
    <cellStyle name="Vérification 2 2 6 2 3 3 2 5" xfId="29114"/>
    <cellStyle name="Vérification 2 2 6 2 3 3 3" xfId="6855"/>
    <cellStyle name="Vérification 2 2 6 2 3 3 3 2" xfId="23079"/>
    <cellStyle name="Vérification 2 2 6 2 3 3 3 2 2" xfId="35086"/>
    <cellStyle name="Vérification 2 2 6 2 3 3 3 3" xfId="12255"/>
    <cellStyle name="Vérification 2 2 6 2 3 3 3 4" xfId="28476"/>
    <cellStyle name="Vérification 2 2 6 2 3 3 4" xfId="20941"/>
    <cellStyle name="Vérification 2 2 6 2 3 3 4 2" xfId="34328"/>
    <cellStyle name="Vérification 2 2 6 2 3 3 5" xfId="10875"/>
    <cellStyle name="Vérification 2 2 6 2 3 3 6" xfId="27098"/>
    <cellStyle name="Vérification 2 2 6 2 3 4" xfId="3292"/>
    <cellStyle name="Vérification 2 2 6 2 3 4 2" xfId="8283"/>
    <cellStyle name="Vérification 2 2 6 2 3 4 2 2" xfId="24507"/>
    <cellStyle name="Vérification 2 2 6 2 3 4 2 2 2" xfId="36514"/>
    <cellStyle name="Vérification 2 2 6 2 3 4 2 3" xfId="14290"/>
    <cellStyle name="Vérification 2 2 6 2 3 4 2 4" xfId="30511"/>
    <cellStyle name="Vérification 2 2 6 2 3 4 3" xfId="9856"/>
    <cellStyle name="Vérification 2 2 6 2 3 4 3 2" xfId="26080"/>
    <cellStyle name="Vérification 2 2 6 2 3 4 3 2 2" xfId="38087"/>
    <cellStyle name="Vérification 2 2 6 2 3 4 3 3" xfId="15863"/>
    <cellStyle name="Vérification 2 2 6 2 3 4 3 4" xfId="32084"/>
    <cellStyle name="Vérification 2 2 6 2 3 4 4" xfId="19520"/>
    <cellStyle name="Vérification 2 2 6 2 3 4 4 2" xfId="33634"/>
    <cellStyle name="Vérification 2 2 6 2 3 4 5" xfId="11838"/>
    <cellStyle name="Vérification 2 2 6 2 3 4 6" xfId="28059"/>
    <cellStyle name="Vérification 2 2 6 2 3 5" xfId="3839"/>
    <cellStyle name="Vérification 2 2 6 2 3 5 2" xfId="8666"/>
    <cellStyle name="Vérification 2 2 6 2 3 5 2 2" xfId="24890"/>
    <cellStyle name="Vérification 2 2 6 2 3 5 2 2 2" xfId="36897"/>
    <cellStyle name="Vérification 2 2 6 2 3 5 2 3" xfId="14673"/>
    <cellStyle name="Vérification 2 2 6 2 3 5 2 4" xfId="30894"/>
    <cellStyle name="Vérification 2 2 6 2 3 5 3" xfId="20067"/>
    <cellStyle name="Vérification 2 2 6 2 3 5 3 2" xfId="34181"/>
    <cellStyle name="Vérification 2 2 6 2 3 5 4" xfId="12221"/>
    <cellStyle name="Vérification 2 2 6 2 3 5 5" xfId="28442"/>
    <cellStyle name="Vérification 2 2 6 2 3 6" xfId="6961"/>
    <cellStyle name="Vérification 2 2 6 2 3 6 2" xfId="23185"/>
    <cellStyle name="Vérification 2 2 6 2 3 6 2 2" xfId="35192"/>
    <cellStyle name="Vérification 2 2 6 2 3 6 3" xfId="12371"/>
    <cellStyle name="Vérification 2 2 6 2 3 6 4" xfId="28592"/>
    <cellStyle name="Vérification 2 2 6 2 3 7" xfId="17257"/>
    <cellStyle name="Vérification 2 2 6 2 3 7 2" xfId="32751"/>
    <cellStyle name="Vérification 2 2 6 2 3 8" xfId="10523"/>
    <cellStyle name="Vérification 2 2 6 2 3 9" xfId="26748"/>
    <cellStyle name="Vérification 2 2 6 2 4" xfId="2653"/>
    <cellStyle name="Vérification 2 2 6 2 4 2" xfId="6341"/>
    <cellStyle name="Vérification 2 2 6 2 4 2 2" xfId="8722"/>
    <cellStyle name="Vérification 2 2 6 2 4 2 2 2" xfId="24946"/>
    <cellStyle name="Vérification 2 2 6 2 4 2 2 2 2" xfId="36953"/>
    <cellStyle name="Vérification 2 2 6 2 4 2 2 3" xfId="14729"/>
    <cellStyle name="Vérification 2 2 6 2 4 2 2 4" xfId="30950"/>
    <cellStyle name="Vérification 2 2 6 2 4 2 3" xfId="10100"/>
    <cellStyle name="Vérification 2 2 6 2 4 2 3 2" xfId="26324"/>
    <cellStyle name="Vérification 2 2 6 2 4 2 3 2 2" xfId="38331"/>
    <cellStyle name="Vérification 2 2 6 2 4 2 3 3" xfId="16107"/>
    <cellStyle name="Vérification 2 2 6 2 4 2 3 4" xfId="32328"/>
    <cellStyle name="Vérification 2 2 6 2 4 2 4" xfId="22565"/>
    <cellStyle name="Vérification 2 2 6 2 4 2 4 2" xfId="34572"/>
    <cellStyle name="Vérification 2 2 6 2 4 2 5" xfId="12426"/>
    <cellStyle name="Vérification 2 2 6 2 4 2 6" xfId="28647"/>
    <cellStyle name="Vérification 2 2 6 2 4 3" xfId="7389"/>
    <cellStyle name="Vérification 2 2 6 2 4 3 2" xfId="9433"/>
    <cellStyle name="Vérification 2 2 6 2 4 3 2 2" xfId="25657"/>
    <cellStyle name="Vérification 2 2 6 2 4 3 2 2 2" xfId="37664"/>
    <cellStyle name="Vérification 2 2 6 2 4 3 2 3" xfId="15440"/>
    <cellStyle name="Vérification 2 2 6 2 4 3 2 4" xfId="31661"/>
    <cellStyle name="Vérification 2 2 6 2 4 3 3" xfId="23613"/>
    <cellStyle name="Vérification 2 2 6 2 4 3 3 2" xfId="35620"/>
    <cellStyle name="Vérification 2 2 6 2 4 3 4" xfId="13137"/>
    <cellStyle name="Vérification 2 2 6 2 4 3 5" xfId="29358"/>
    <cellStyle name="Vérification 2 2 6 2 4 4" xfId="7766"/>
    <cellStyle name="Vérification 2 2 6 2 4 4 2" xfId="23990"/>
    <cellStyle name="Vérification 2 2 6 2 4 4 2 2" xfId="35997"/>
    <cellStyle name="Vérification 2 2 6 2 4 4 3" xfId="13773"/>
    <cellStyle name="Vérification 2 2 6 2 4 4 4" xfId="29994"/>
    <cellStyle name="Vérification 2 2 6 2 4 5" xfId="18881"/>
    <cellStyle name="Vérification 2 2 6 2 4 5 2" xfId="32995"/>
    <cellStyle name="Vérification 2 2 6 2 4 6" xfId="11122"/>
    <cellStyle name="Vérification 2 2 6 2 4 7" xfId="27343"/>
    <cellStyle name="Vérification 2 2 6 2 5" xfId="4140"/>
    <cellStyle name="Vérification 2 2 6 2 5 2" xfId="6793"/>
    <cellStyle name="Vérification 2 2 6 2 5 2 2" xfId="9100"/>
    <cellStyle name="Vérification 2 2 6 2 5 2 2 2" xfId="25324"/>
    <cellStyle name="Vérification 2 2 6 2 5 2 2 2 2" xfId="37331"/>
    <cellStyle name="Vérification 2 2 6 2 5 2 2 3" xfId="15107"/>
    <cellStyle name="Vérification 2 2 6 2 5 2 2 4" xfId="31328"/>
    <cellStyle name="Vérification 2 2 6 2 5 2 3" xfId="23017"/>
    <cellStyle name="Vérification 2 2 6 2 5 2 3 2" xfId="35024"/>
    <cellStyle name="Vérification 2 2 6 2 5 2 4" xfId="12804"/>
    <cellStyle name="Vérification 2 2 6 2 5 2 5" xfId="29025"/>
    <cellStyle name="Vérification 2 2 6 2 5 3" xfId="3135"/>
    <cellStyle name="Vérification 2 2 6 2 5 3 2" xfId="19363"/>
    <cellStyle name="Vérification 2 2 6 2 5 3 2 2" xfId="33477"/>
    <cellStyle name="Vérification 2 2 6 2 5 3 3" xfId="12376"/>
    <cellStyle name="Vérification 2 2 6 2 5 3 4" xfId="28597"/>
    <cellStyle name="Vérification 2 2 6 2 5 4" xfId="20366"/>
    <cellStyle name="Vérification 2 2 6 2 5 4 2" xfId="34239"/>
    <cellStyle name="Vérification 2 2 6 2 5 5" xfId="10779"/>
    <cellStyle name="Vérification 2 2 6 2 5 6" xfId="27002"/>
    <cellStyle name="Vérification 2 2 6 2 6" xfId="3069"/>
    <cellStyle name="Vérification 2 2 6 2 6 2" xfId="8134"/>
    <cellStyle name="Vérification 2 2 6 2 6 2 2" xfId="24358"/>
    <cellStyle name="Vérification 2 2 6 2 6 2 2 2" xfId="36365"/>
    <cellStyle name="Vérification 2 2 6 2 6 2 3" xfId="14141"/>
    <cellStyle name="Vérification 2 2 6 2 6 2 4" xfId="30362"/>
    <cellStyle name="Vérification 2 2 6 2 6 3" xfId="9767"/>
    <cellStyle name="Vérification 2 2 6 2 6 3 2" xfId="25991"/>
    <cellStyle name="Vérification 2 2 6 2 6 3 2 2" xfId="37998"/>
    <cellStyle name="Vérification 2 2 6 2 6 3 3" xfId="15774"/>
    <cellStyle name="Vérification 2 2 6 2 6 3 4" xfId="31995"/>
    <cellStyle name="Vérification 2 2 6 2 6 4" xfId="19297"/>
    <cellStyle name="Vérification 2 2 6 2 6 4 2" xfId="33411"/>
    <cellStyle name="Vérification 2 2 6 2 6 5" xfId="11689"/>
    <cellStyle name="Vérification 2 2 6 2 6 6" xfId="27910"/>
    <cellStyle name="Vérification 2 2 6 2 7" xfId="2975"/>
    <cellStyle name="Vérification 2 2 6 2 7 2" xfId="8070"/>
    <cellStyle name="Vérification 2 2 6 2 7 2 2" xfId="24294"/>
    <cellStyle name="Vérification 2 2 6 2 7 2 2 2" xfId="36301"/>
    <cellStyle name="Vérification 2 2 6 2 7 2 3" xfId="14077"/>
    <cellStyle name="Vérification 2 2 6 2 7 2 4" xfId="30298"/>
    <cellStyle name="Vérification 2 2 6 2 7 3" xfId="19203"/>
    <cellStyle name="Vérification 2 2 6 2 7 3 2" xfId="33317"/>
    <cellStyle name="Vérification 2 2 6 2 7 4" xfId="11625"/>
    <cellStyle name="Vérification 2 2 6 2 7 5" xfId="27846"/>
    <cellStyle name="Vérification 2 2 6 2 8" xfId="7217"/>
    <cellStyle name="Vérification 2 2 6 2 8 2" xfId="23441"/>
    <cellStyle name="Vérification 2 2 6 2 8 2 2" xfId="35448"/>
    <cellStyle name="Vérification 2 2 6 2 8 3" xfId="13601"/>
    <cellStyle name="Vérification 2 2 6 2 8 4" xfId="29822"/>
    <cellStyle name="Vérification 2 2 6 2 9" xfId="16682"/>
    <cellStyle name="Vérification 2 2 6 2 9 2" xfId="32662"/>
    <cellStyle name="Vérification 2 2 6 3" xfId="508"/>
    <cellStyle name="Vérification 2 2 6 3 10" xfId="10455"/>
    <cellStyle name="Vérification 2 2 6 3 11" xfId="26680"/>
    <cellStyle name="Vérification 2 2 6 3 2" xfId="1374"/>
    <cellStyle name="Vérification 2 2 6 3 2 2" xfId="2852"/>
    <cellStyle name="Vérification 2 2 6 3 2 2 2" xfId="6540"/>
    <cellStyle name="Vérification 2 2 6 3 2 2 2 2" xfId="8921"/>
    <cellStyle name="Vérification 2 2 6 3 2 2 2 2 2" xfId="25145"/>
    <cellStyle name="Vérification 2 2 6 3 2 2 2 2 2 2" xfId="37152"/>
    <cellStyle name="Vérification 2 2 6 3 2 2 2 2 3" xfId="14928"/>
    <cellStyle name="Vérification 2 2 6 3 2 2 2 2 4" xfId="31149"/>
    <cellStyle name="Vérification 2 2 6 3 2 2 2 3" xfId="10299"/>
    <cellStyle name="Vérification 2 2 6 3 2 2 2 3 2" xfId="26523"/>
    <cellStyle name="Vérification 2 2 6 3 2 2 2 3 2 2" xfId="38530"/>
    <cellStyle name="Vérification 2 2 6 3 2 2 2 3 3" xfId="16306"/>
    <cellStyle name="Vérification 2 2 6 3 2 2 2 3 4" xfId="32527"/>
    <cellStyle name="Vérification 2 2 6 3 2 2 2 4" xfId="22764"/>
    <cellStyle name="Vérification 2 2 6 3 2 2 2 4 2" xfId="34771"/>
    <cellStyle name="Vérification 2 2 6 3 2 2 2 5" xfId="12625"/>
    <cellStyle name="Vérification 2 2 6 3 2 2 2 6" xfId="28846"/>
    <cellStyle name="Vérification 2 2 6 3 2 2 3" xfId="7588"/>
    <cellStyle name="Vérification 2 2 6 3 2 2 3 2" xfId="9632"/>
    <cellStyle name="Vérification 2 2 6 3 2 2 3 2 2" xfId="25856"/>
    <cellStyle name="Vérification 2 2 6 3 2 2 3 2 2 2" xfId="37863"/>
    <cellStyle name="Vérification 2 2 6 3 2 2 3 2 3" xfId="15639"/>
    <cellStyle name="Vérification 2 2 6 3 2 2 3 2 4" xfId="31860"/>
    <cellStyle name="Vérification 2 2 6 3 2 2 3 3" xfId="23812"/>
    <cellStyle name="Vérification 2 2 6 3 2 2 3 3 2" xfId="35819"/>
    <cellStyle name="Vérification 2 2 6 3 2 2 3 4" xfId="13336"/>
    <cellStyle name="Vérification 2 2 6 3 2 2 3 5" xfId="29557"/>
    <cellStyle name="Vérification 2 2 6 3 2 2 4" xfId="7965"/>
    <cellStyle name="Vérification 2 2 6 3 2 2 4 2" xfId="24189"/>
    <cellStyle name="Vérification 2 2 6 3 2 2 4 2 2" xfId="36196"/>
    <cellStyle name="Vérification 2 2 6 3 2 2 4 3" xfId="13972"/>
    <cellStyle name="Vérification 2 2 6 3 2 2 4 4" xfId="30193"/>
    <cellStyle name="Vérification 2 2 6 3 2 2 5" xfId="19080"/>
    <cellStyle name="Vérification 2 2 6 3 2 2 5 2" xfId="33194"/>
    <cellStyle name="Vérification 2 2 6 3 2 2 6" xfId="11321"/>
    <cellStyle name="Vérification 2 2 6 3 2 2 7" xfId="27542"/>
    <cellStyle name="Vérification 2 2 6 3 2 3" xfId="5071"/>
    <cellStyle name="Vérification 2 2 6 3 2 3 2" xfId="7098"/>
    <cellStyle name="Vérification 2 2 6 3 2 3 2 2" xfId="9299"/>
    <cellStyle name="Vérification 2 2 6 3 2 3 2 2 2" xfId="25523"/>
    <cellStyle name="Vérification 2 2 6 3 2 3 2 2 2 2" xfId="37530"/>
    <cellStyle name="Vérification 2 2 6 3 2 3 2 2 3" xfId="15306"/>
    <cellStyle name="Vérification 2 2 6 3 2 3 2 2 4" xfId="31527"/>
    <cellStyle name="Vérification 2 2 6 3 2 3 2 3" xfId="23322"/>
    <cellStyle name="Vérification 2 2 6 3 2 3 2 3 2" xfId="35329"/>
    <cellStyle name="Vérification 2 2 6 3 2 3 2 4" xfId="13003"/>
    <cellStyle name="Vérification 2 2 6 3 2 3 2 5" xfId="29224"/>
    <cellStyle name="Vérification 2 2 6 3 2 3 3" xfId="3678"/>
    <cellStyle name="Vérification 2 2 6 3 2 3 3 2" xfId="19906"/>
    <cellStyle name="Vérification 2 2 6 3 2 3 3 2 2" xfId="34020"/>
    <cellStyle name="Vérification 2 2 6 3 2 3 3 3" xfId="12273"/>
    <cellStyle name="Vérification 2 2 6 3 2 3 3 4" xfId="28494"/>
    <cellStyle name="Vérification 2 2 6 3 2 3 4" xfId="21297"/>
    <cellStyle name="Vérification 2 2 6 3 2 3 4 2" xfId="34438"/>
    <cellStyle name="Vérification 2 2 6 3 2 3 5" xfId="10985"/>
    <cellStyle name="Vérification 2 2 6 3 2 3 6" xfId="27208"/>
    <cellStyle name="Vérification 2 2 6 3 2 4" xfId="3462"/>
    <cellStyle name="Vérification 2 2 6 3 2 4 2" xfId="8429"/>
    <cellStyle name="Vérification 2 2 6 3 2 4 2 2" xfId="24653"/>
    <cellStyle name="Vérification 2 2 6 3 2 4 2 2 2" xfId="36660"/>
    <cellStyle name="Vérification 2 2 6 3 2 4 2 3" xfId="14436"/>
    <cellStyle name="Vérification 2 2 6 3 2 4 2 4" xfId="30657"/>
    <cellStyle name="Vérification 2 2 6 3 2 4 3" xfId="9966"/>
    <cellStyle name="Vérification 2 2 6 3 2 4 3 2" xfId="26190"/>
    <cellStyle name="Vérification 2 2 6 3 2 4 3 2 2" xfId="38197"/>
    <cellStyle name="Vérification 2 2 6 3 2 4 3 3" xfId="15973"/>
    <cellStyle name="Vérification 2 2 6 3 2 4 3 4" xfId="32194"/>
    <cellStyle name="Vérification 2 2 6 3 2 4 4" xfId="19690"/>
    <cellStyle name="Vérification 2 2 6 3 2 4 4 2" xfId="33804"/>
    <cellStyle name="Vérification 2 2 6 3 2 4 5" xfId="11984"/>
    <cellStyle name="Vérification 2 2 6 3 2 4 6" xfId="28205"/>
    <cellStyle name="Vérification 2 2 6 3 2 5" xfId="3769"/>
    <cellStyle name="Vérification 2 2 6 3 2 5 2" xfId="8622"/>
    <cellStyle name="Vérification 2 2 6 3 2 5 2 2" xfId="24846"/>
    <cellStyle name="Vérification 2 2 6 3 2 5 2 2 2" xfId="36853"/>
    <cellStyle name="Vérification 2 2 6 3 2 5 2 3" xfId="14629"/>
    <cellStyle name="Vérification 2 2 6 3 2 5 2 4" xfId="30850"/>
    <cellStyle name="Vérification 2 2 6 3 2 5 3" xfId="19997"/>
    <cellStyle name="Vérification 2 2 6 3 2 5 3 2" xfId="34111"/>
    <cellStyle name="Vérification 2 2 6 3 2 5 4" xfId="12177"/>
    <cellStyle name="Vérification 2 2 6 3 2 5 5" xfId="28398"/>
    <cellStyle name="Vérification 2 2 6 3 2 6" xfId="3716"/>
    <cellStyle name="Vérification 2 2 6 3 2 6 2" xfId="19944"/>
    <cellStyle name="Vérification 2 2 6 3 2 6 2 2" xfId="34058"/>
    <cellStyle name="Vérification 2 2 6 3 2 6 3" xfId="13487"/>
    <cellStyle name="Vérification 2 2 6 3 2 6 4" xfId="29708"/>
    <cellStyle name="Vérification 2 2 6 3 2 7" xfId="17613"/>
    <cellStyle name="Vérification 2 2 6 3 2 7 2" xfId="32861"/>
    <cellStyle name="Vérification 2 2 6 3 2 8" xfId="10633"/>
    <cellStyle name="Vérification 2 2 6 3 2 9" xfId="26858"/>
    <cellStyle name="Vérification 2 2 6 3 3" xfId="1123"/>
    <cellStyle name="Vérification 2 2 6 3 3 2" xfId="2763"/>
    <cellStyle name="Vérification 2 2 6 3 3 2 2" xfId="6451"/>
    <cellStyle name="Vérification 2 2 6 3 3 2 2 2" xfId="8832"/>
    <cellStyle name="Vérification 2 2 6 3 3 2 2 2 2" xfId="25056"/>
    <cellStyle name="Vérification 2 2 6 3 3 2 2 2 2 2" xfId="37063"/>
    <cellStyle name="Vérification 2 2 6 3 3 2 2 2 3" xfId="14839"/>
    <cellStyle name="Vérification 2 2 6 3 3 2 2 2 4" xfId="31060"/>
    <cellStyle name="Vérification 2 2 6 3 3 2 2 3" xfId="10210"/>
    <cellStyle name="Vérification 2 2 6 3 3 2 2 3 2" xfId="26434"/>
    <cellStyle name="Vérification 2 2 6 3 3 2 2 3 2 2" xfId="38441"/>
    <cellStyle name="Vérification 2 2 6 3 3 2 2 3 3" xfId="16217"/>
    <cellStyle name="Vérification 2 2 6 3 3 2 2 3 4" xfId="32438"/>
    <cellStyle name="Vérification 2 2 6 3 3 2 2 4" xfId="22675"/>
    <cellStyle name="Vérification 2 2 6 3 3 2 2 4 2" xfId="34682"/>
    <cellStyle name="Vérification 2 2 6 3 3 2 2 5" xfId="12536"/>
    <cellStyle name="Vérification 2 2 6 3 3 2 2 6" xfId="28757"/>
    <cellStyle name="Vérification 2 2 6 3 3 2 3" xfId="7499"/>
    <cellStyle name="Vérification 2 2 6 3 3 2 3 2" xfId="9543"/>
    <cellStyle name="Vérification 2 2 6 3 3 2 3 2 2" xfId="25767"/>
    <cellStyle name="Vérification 2 2 6 3 3 2 3 2 2 2" xfId="37774"/>
    <cellStyle name="Vérification 2 2 6 3 3 2 3 2 3" xfId="15550"/>
    <cellStyle name="Vérification 2 2 6 3 3 2 3 2 4" xfId="31771"/>
    <cellStyle name="Vérification 2 2 6 3 3 2 3 3" xfId="23723"/>
    <cellStyle name="Vérification 2 2 6 3 3 2 3 3 2" xfId="35730"/>
    <cellStyle name="Vérification 2 2 6 3 3 2 3 4" xfId="13247"/>
    <cellStyle name="Vérification 2 2 6 3 3 2 3 5" xfId="29468"/>
    <cellStyle name="Vérification 2 2 6 3 3 2 4" xfId="7876"/>
    <cellStyle name="Vérification 2 2 6 3 3 2 4 2" xfId="24100"/>
    <cellStyle name="Vérification 2 2 6 3 3 2 4 2 2" xfId="36107"/>
    <cellStyle name="Vérification 2 2 6 3 3 2 4 3" xfId="13883"/>
    <cellStyle name="Vérification 2 2 6 3 3 2 4 4" xfId="30104"/>
    <cellStyle name="Vérification 2 2 6 3 3 2 5" xfId="18991"/>
    <cellStyle name="Vérification 2 2 6 3 3 2 5 2" xfId="33105"/>
    <cellStyle name="Vérification 2 2 6 3 3 2 6" xfId="11232"/>
    <cellStyle name="Vérification 2 2 6 3 3 2 7" xfId="27453"/>
    <cellStyle name="Vérification 2 2 6 3 3 3" xfId="4820"/>
    <cellStyle name="Vérification 2 2 6 3 3 3 2" xfId="6990"/>
    <cellStyle name="Vérification 2 2 6 3 3 3 2 2" xfId="9210"/>
    <cellStyle name="Vérification 2 2 6 3 3 3 2 2 2" xfId="25434"/>
    <cellStyle name="Vérification 2 2 6 3 3 3 2 2 2 2" xfId="37441"/>
    <cellStyle name="Vérification 2 2 6 3 3 3 2 2 3" xfId="15217"/>
    <cellStyle name="Vérification 2 2 6 3 3 3 2 2 4" xfId="31438"/>
    <cellStyle name="Vérification 2 2 6 3 3 3 2 3" xfId="23214"/>
    <cellStyle name="Vérification 2 2 6 3 3 3 2 3 2" xfId="35221"/>
    <cellStyle name="Vérification 2 2 6 3 3 3 2 4" xfId="12914"/>
    <cellStyle name="Vérification 2 2 6 3 3 3 2 5" xfId="29135"/>
    <cellStyle name="Vérification 2 2 6 3 3 3 3" xfId="2970"/>
    <cellStyle name="Vérification 2 2 6 3 3 3 3 2" xfId="19198"/>
    <cellStyle name="Vérification 2 2 6 3 3 3 3 2 2" xfId="33312"/>
    <cellStyle name="Vérification 2 2 6 3 3 3 3 3" xfId="10739"/>
    <cellStyle name="Vérification 2 2 6 3 3 3 3 4" xfId="26962"/>
    <cellStyle name="Vérification 2 2 6 3 3 3 4" xfId="21046"/>
    <cellStyle name="Vérification 2 2 6 3 3 3 4 2" xfId="34349"/>
    <cellStyle name="Vérification 2 2 6 3 3 3 5" xfId="10896"/>
    <cellStyle name="Vérification 2 2 6 3 3 3 6" xfId="27119"/>
    <cellStyle name="Vérification 2 2 6 3 3 4" xfId="3334"/>
    <cellStyle name="Vérification 2 2 6 3 3 4 2" xfId="8317"/>
    <cellStyle name="Vérification 2 2 6 3 3 4 2 2" xfId="24541"/>
    <cellStyle name="Vérification 2 2 6 3 3 4 2 2 2" xfId="36548"/>
    <cellStyle name="Vérification 2 2 6 3 3 4 2 3" xfId="14324"/>
    <cellStyle name="Vérification 2 2 6 3 3 4 2 4" xfId="30545"/>
    <cellStyle name="Vérification 2 2 6 3 3 4 3" xfId="9877"/>
    <cellStyle name="Vérification 2 2 6 3 3 4 3 2" xfId="26101"/>
    <cellStyle name="Vérification 2 2 6 3 3 4 3 2 2" xfId="38108"/>
    <cellStyle name="Vérification 2 2 6 3 3 4 3 3" xfId="15884"/>
    <cellStyle name="Vérification 2 2 6 3 3 4 3 4" xfId="32105"/>
    <cellStyle name="Vérification 2 2 6 3 3 4 4" xfId="19562"/>
    <cellStyle name="Vérification 2 2 6 3 3 4 4 2" xfId="33676"/>
    <cellStyle name="Vérification 2 2 6 3 3 4 5" xfId="11872"/>
    <cellStyle name="Vérification 2 2 6 3 3 4 6" xfId="28093"/>
    <cellStyle name="Vérification 2 2 6 3 3 5" xfId="3319"/>
    <cellStyle name="Vérification 2 2 6 3 3 5 2" xfId="8303"/>
    <cellStyle name="Vérification 2 2 6 3 3 5 2 2" xfId="24527"/>
    <cellStyle name="Vérification 2 2 6 3 3 5 2 2 2" xfId="36534"/>
    <cellStyle name="Vérification 2 2 6 3 3 5 2 3" xfId="14310"/>
    <cellStyle name="Vérification 2 2 6 3 3 5 2 4" xfId="30531"/>
    <cellStyle name="Vérification 2 2 6 3 3 5 3" xfId="19547"/>
    <cellStyle name="Vérification 2 2 6 3 3 5 3 2" xfId="33661"/>
    <cellStyle name="Vérification 2 2 6 3 3 5 4" xfId="11858"/>
    <cellStyle name="Vérification 2 2 6 3 3 5 5" xfId="28079"/>
    <cellStyle name="Vérification 2 2 6 3 3 6" xfId="3226"/>
    <cellStyle name="Vérification 2 2 6 3 3 6 2" xfId="19454"/>
    <cellStyle name="Vérification 2 2 6 3 3 6 2 2" xfId="33568"/>
    <cellStyle name="Vérification 2 2 6 3 3 6 3" xfId="12264"/>
    <cellStyle name="Vérification 2 2 6 3 3 6 4" xfId="28485"/>
    <cellStyle name="Vérification 2 2 6 3 3 7" xfId="17362"/>
    <cellStyle name="Vérification 2 2 6 3 3 7 2" xfId="32772"/>
    <cellStyle name="Vérification 2 2 6 3 3 8" xfId="10544"/>
    <cellStyle name="Vérification 2 2 6 3 3 9" xfId="26769"/>
    <cellStyle name="Vérification 2 2 6 3 4" xfId="2674"/>
    <cellStyle name="Vérification 2 2 6 3 4 2" xfId="6362"/>
    <cellStyle name="Vérification 2 2 6 3 4 2 2" xfId="8743"/>
    <cellStyle name="Vérification 2 2 6 3 4 2 2 2" xfId="24967"/>
    <cellStyle name="Vérification 2 2 6 3 4 2 2 2 2" xfId="36974"/>
    <cellStyle name="Vérification 2 2 6 3 4 2 2 3" xfId="14750"/>
    <cellStyle name="Vérification 2 2 6 3 4 2 2 4" xfId="30971"/>
    <cellStyle name="Vérification 2 2 6 3 4 2 3" xfId="10121"/>
    <cellStyle name="Vérification 2 2 6 3 4 2 3 2" xfId="26345"/>
    <cellStyle name="Vérification 2 2 6 3 4 2 3 2 2" xfId="38352"/>
    <cellStyle name="Vérification 2 2 6 3 4 2 3 3" xfId="16128"/>
    <cellStyle name="Vérification 2 2 6 3 4 2 3 4" xfId="32349"/>
    <cellStyle name="Vérification 2 2 6 3 4 2 4" xfId="22586"/>
    <cellStyle name="Vérification 2 2 6 3 4 2 4 2" xfId="34593"/>
    <cellStyle name="Vérification 2 2 6 3 4 2 5" xfId="12447"/>
    <cellStyle name="Vérification 2 2 6 3 4 2 6" xfId="28668"/>
    <cellStyle name="Vérification 2 2 6 3 4 3" xfId="7410"/>
    <cellStyle name="Vérification 2 2 6 3 4 3 2" xfId="9454"/>
    <cellStyle name="Vérification 2 2 6 3 4 3 2 2" xfId="25678"/>
    <cellStyle name="Vérification 2 2 6 3 4 3 2 2 2" xfId="37685"/>
    <cellStyle name="Vérification 2 2 6 3 4 3 2 3" xfId="15461"/>
    <cellStyle name="Vérification 2 2 6 3 4 3 2 4" xfId="31682"/>
    <cellStyle name="Vérification 2 2 6 3 4 3 3" xfId="23634"/>
    <cellStyle name="Vérification 2 2 6 3 4 3 3 2" xfId="35641"/>
    <cellStyle name="Vérification 2 2 6 3 4 3 4" xfId="13158"/>
    <cellStyle name="Vérification 2 2 6 3 4 3 5" xfId="29379"/>
    <cellStyle name="Vérification 2 2 6 3 4 4" xfId="7787"/>
    <cellStyle name="Vérification 2 2 6 3 4 4 2" xfId="24011"/>
    <cellStyle name="Vérification 2 2 6 3 4 4 2 2" xfId="36018"/>
    <cellStyle name="Vérification 2 2 6 3 4 4 3" xfId="13794"/>
    <cellStyle name="Vérification 2 2 6 3 4 4 4" xfId="30015"/>
    <cellStyle name="Vérification 2 2 6 3 4 5" xfId="18902"/>
    <cellStyle name="Vérification 2 2 6 3 4 5 2" xfId="33016"/>
    <cellStyle name="Vérification 2 2 6 3 4 6" xfId="11143"/>
    <cellStyle name="Vérification 2 2 6 3 4 7" xfId="27364"/>
    <cellStyle name="Vérification 2 2 6 3 5" xfId="4245"/>
    <cellStyle name="Vérification 2 2 6 3 5 2" xfId="6825"/>
    <cellStyle name="Vérification 2 2 6 3 5 2 2" xfId="9121"/>
    <cellStyle name="Vérification 2 2 6 3 5 2 2 2" xfId="25345"/>
    <cellStyle name="Vérification 2 2 6 3 5 2 2 2 2" xfId="37352"/>
    <cellStyle name="Vérification 2 2 6 3 5 2 2 3" xfId="15128"/>
    <cellStyle name="Vérification 2 2 6 3 5 2 2 4" xfId="31349"/>
    <cellStyle name="Vérification 2 2 6 3 5 2 3" xfId="23049"/>
    <cellStyle name="Vérification 2 2 6 3 5 2 3 2" xfId="35056"/>
    <cellStyle name="Vérification 2 2 6 3 5 2 4" xfId="12825"/>
    <cellStyle name="Vérification 2 2 6 3 5 2 5" xfId="29046"/>
    <cellStyle name="Vérification 2 2 6 3 5 3" xfId="3094"/>
    <cellStyle name="Vérification 2 2 6 3 5 3 2" xfId="19322"/>
    <cellStyle name="Vérification 2 2 6 3 5 3 2 2" xfId="33436"/>
    <cellStyle name="Vérification 2 2 6 3 5 3 3" xfId="12309"/>
    <cellStyle name="Vérification 2 2 6 3 5 3 4" xfId="28530"/>
    <cellStyle name="Vérification 2 2 6 3 5 4" xfId="20471"/>
    <cellStyle name="Vérification 2 2 6 3 5 4 2" xfId="34260"/>
    <cellStyle name="Vérification 2 2 6 3 5 5" xfId="10800"/>
    <cellStyle name="Vérification 2 2 6 3 5 6" xfId="27023"/>
    <cellStyle name="Vérification 2 2 6 3 6" xfId="3113"/>
    <cellStyle name="Vérification 2 2 6 3 6 2" xfId="8165"/>
    <cellStyle name="Vérification 2 2 6 3 6 2 2" xfId="24389"/>
    <cellStyle name="Vérification 2 2 6 3 6 2 2 2" xfId="36396"/>
    <cellStyle name="Vérification 2 2 6 3 6 2 3" xfId="14172"/>
    <cellStyle name="Vérification 2 2 6 3 6 2 4" xfId="30393"/>
    <cellStyle name="Vérification 2 2 6 3 6 3" xfId="9788"/>
    <cellStyle name="Vérification 2 2 6 3 6 3 2" xfId="26012"/>
    <cellStyle name="Vérification 2 2 6 3 6 3 2 2" xfId="38019"/>
    <cellStyle name="Vérification 2 2 6 3 6 3 3" xfId="15795"/>
    <cellStyle name="Vérification 2 2 6 3 6 3 4" xfId="32016"/>
    <cellStyle name="Vérification 2 2 6 3 6 4" xfId="19341"/>
    <cellStyle name="Vérification 2 2 6 3 6 4 2" xfId="33455"/>
    <cellStyle name="Vérification 2 2 6 3 6 5" xfId="11720"/>
    <cellStyle name="Vérification 2 2 6 3 6 6" xfId="27941"/>
    <cellStyle name="Vérification 2 2 6 3 7" xfId="3593"/>
    <cellStyle name="Vérification 2 2 6 3 7 2" xfId="8529"/>
    <cellStyle name="Vérification 2 2 6 3 7 2 2" xfId="24753"/>
    <cellStyle name="Vérification 2 2 6 3 7 2 2 2" xfId="36760"/>
    <cellStyle name="Vérification 2 2 6 3 7 2 3" xfId="14536"/>
    <cellStyle name="Vérification 2 2 6 3 7 2 4" xfId="30757"/>
    <cellStyle name="Vérification 2 2 6 3 7 3" xfId="19821"/>
    <cellStyle name="Vérification 2 2 6 3 7 3 2" xfId="33935"/>
    <cellStyle name="Vérification 2 2 6 3 7 4" xfId="12084"/>
    <cellStyle name="Vérification 2 2 6 3 7 5" xfId="28305"/>
    <cellStyle name="Vérification 2 2 6 3 8" xfId="7203"/>
    <cellStyle name="Vérification 2 2 6 3 8 2" xfId="23427"/>
    <cellStyle name="Vérification 2 2 6 3 8 2 2" xfId="35434"/>
    <cellStyle name="Vérification 2 2 6 3 8 3" xfId="13587"/>
    <cellStyle name="Vérification 2 2 6 3 8 4" xfId="29808"/>
    <cellStyle name="Vérification 2 2 6 3 9" xfId="16787"/>
    <cellStyle name="Vérification 2 2 6 3 9 2" xfId="32683"/>
    <cellStyle name="Vérification 2 2 6 4" xfId="627"/>
    <cellStyle name="Vérification 2 2 6 4 10" xfId="10478"/>
    <cellStyle name="Vérification 2 2 6 4 11" xfId="26703"/>
    <cellStyle name="Vérification 2 2 6 4 2" xfId="1397"/>
    <cellStyle name="Vérification 2 2 6 4 2 2" xfId="2875"/>
    <cellStyle name="Vérification 2 2 6 4 2 2 2" xfId="6563"/>
    <cellStyle name="Vérification 2 2 6 4 2 2 2 2" xfId="8944"/>
    <cellStyle name="Vérification 2 2 6 4 2 2 2 2 2" xfId="25168"/>
    <cellStyle name="Vérification 2 2 6 4 2 2 2 2 2 2" xfId="37175"/>
    <cellStyle name="Vérification 2 2 6 4 2 2 2 2 3" xfId="14951"/>
    <cellStyle name="Vérification 2 2 6 4 2 2 2 2 4" xfId="31172"/>
    <cellStyle name="Vérification 2 2 6 4 2 2 2 3" xfId="10322"/>
    <cellStyle name="Vérification 2 2 6 4 2 2 2 3 2" xfId="26546"/>
    <cellStyle name="Vérification 2 2 6 4 2 2 2 3 2 2" xfId="38553"/>
    <cellStyle name="Vérification 2 2 6 4 2 2 2 3 3" xfId="16329"/>
    <cellStyle name="Vérification 2 2 6 4 2 2 2 3 4" xfId="32550"/>
    <cellStyle name="Vérification 2 2 6 4 2 2 2 4" xfId="22787"/>
    <cellStyle name="Vérification 2 2 6 4 2 2 2 4 2" xfId="34794"/>
    <cellStyle name="Vérification 2 2 6 4 2 2 2 5" xfId="12648"/>
    <cellStyle name="Vérification 2 2 6 4 2 2 2 6" xfId="28869"/>
    <cellStyle name="Vérification 2 2 6 4 2 2 3" xfId="7611"/>
    <cellStyle name="Vérification 2 2 6 4 2 2 3 2" xfId="9655"/>
    <cellStyle name="Vérification 2 2 6 4 2 2 3 2 2" xfId="25879"/>
    <cellStyle name="Vérification 2 2 6 4 2 2 3 2 2 2" xfId="37886"/>
    <cellStyle name="Vérification 2 2 6 4 2 2 3 2 3" xfId="15662"/>
    <cellStyle name="Vérification 2 2 6 4 2 2 3 2 4" xfId="31883"/>
    <cellStyle name="Vérification 2 2 6 4 2 2 3 3" xfId="23835"/>
    <cellStyle name="Vérification 2 2 6 4 2 2 3 3 2" xfId="35842"/>
    <cellStyle name="Vérification 2 2 6 4 2 2 3 4" xfId="13359"/>
    <cellStyle name="Vérification 2 2 6 4 2 2 3 5" xfId="29580"/>
    <cellStyle name="Vérification 2 2 6 4 2 2 4" xfId="7988"/>
    <cellStyle name="Vérification 2 2 6 4 2 2 4 2" xfId="24212"/>
    <cellStyle name="Vérification 2 2 6 4 2 2 4 2 2" xfId="36219"/>
    <cellStyle name="Vérification 2 2 6 4 2 2 4 3" xfId="13995"/>
    <cellStyle name="Vérification 2 2 6 4 2 2 4 4" xfId="30216"/>
    <cellStyle name="Vérification 2 2 6 4 2 2 5" xfId="19103"/>
    <cellStyle name="Vérification 2 2 6 4 2 2 5 2" xfId="33217"/>
    <cellStyle name="Vérification 2 2 6 4 2 2 6" xfId="11344"/>
    <cellStyle name="Vérification 2 2 6 4 2 2 7" xfId="27565"/>
    <cellStyle name="Vérification 2 2 6 4 2 3" xfId="5094"/>
    <cellStyle name="Vérification 2 2 6 4 2 3 2" xfId="7121"/>
    <cellStyle name="Vérification 2 2 6 4 2 3 2 2" xfId="9322"/>
    <cellStyle name="Vérification 2 2 6 4 2 3 2 2 2" xfId="25546"/>
    <cellStyle name="Vérification 2 2 6 4 2 3 2 2 2 2" xfId="37553"/>
    <cellStyle name="Vérification 2 2 6 4 2 3 2 2 3" xfId="15329"/>
    <cellStyle name="Vérification 2 2 6 4 2 3 2 2 4" xfId="31550"/>
    <cellStyle name="Vérification 2 2 6 4 2 3 2 3" xfId="23345"/>
    <cellStyle name="Vérification 2 2 6 4 2 3 2 3 2" xfId="35352"/>
    <cellStyle name="Vérification 2 2 6 4 2 3 2 4" xfId="13026"/>
    <cellStyle name="Vérification 2 2 6 4 2 3 2 5" xfId="29247"/>
    <cellStyle name="Vérification 2 2 6 4 2 3 3" xfId="3664"/>
    <cellStyle name="Vérification 2 2 6 4 2 3 3 2" xfId="19892"/>
    <cellStyle name="Vérification 2 2 6 4 2 3 3 2 2" xfId="34006"/>
    <cellStyle name="Vérification 2 2 6 4 2 3 3 3" xfId="11433"/>
    <cellStyle name="Vérification 2 2 6 4 2 3 3 4" xfId="27654"/>
    <cellStyle name="Vérification 2 2 6 4 2 3 4" xfId="21320"/>
    <cellStyle name="Vérification 2 2 6 4 2 3 4 2" xfId="34461"/>
    <cellStyle name="Vérification 2 2 6 4 2 3 5" xfId="11008"/>
    <cellStyle name="Vérification 2 2 6 4 2 3 6" xfId="27231"/>
    <cellStyle name="Vérification 2 2 6 4 2 4" xfId="3485"/>
    <cellStyle name="Vérification 2 2 6 4 2 4 2" xfId="8452"/>
    <cellStyle name="Vérification 2 2 6 4 2 4 2 2" xfId="24676"/>
    <cellStyle name="Vérification 2 2 6 4 2 4 2 2 2" xfId="36683"/>
    <cellStyle name="Vérification 2 2 6 4 2 4 2 3" xfId="14459"/>
    <cellStyle name="Vérification 2 2 6 4 2 4 2 4" xfId="30680"/>
    <cellStyle name="Vérification 2 2 6 4 2 4 3" xfId="9989"/>
    <cellStyle name="Vérification 2 2 6 4 2 4 3 2" xfId="26213"/>
    <cellStyle name="Vérification 2 2 6 4 2 4 3 2 2" xfId="38220"/>
    <cellStyle name="Vérification 2 2 6 4 2 4 3 3" xfId="15996"/>
    <cellStyle name="Vérification 2 2 6 4 2 4 3 4" xfId="32217"/>
    <cellStyle name="Vérification 2 2 6 4 2 4 4" xfId="19713"/>
    <cellStyle name="Vérification 2 2 6 4 2 4 4 2" xfId="33827"/>
    <cellStyle name="Vérification 2 2 6 4 2 4 5" xfId="12007"/>
    <cellStyle name="Vérification 2 2 6 4 2 4 6" xfId="28228"/>
    <cellStyle name="Vérification 2 2 6 4 2 5" xfId="3662"/>
    <cellStyle name="Vérification 2 2 6 4 2 5 2" xfId="8563"/>
    <cellStyle name="Vérification 2 2 6 4 2 5 2 2" xfId="24787"/>
    <cellStyle name="Vérification 2 2 6 4 2 5 2 2 2" xfId="36794"/>
    <cellStyle name="Vérification 2 2 6 4 2 5 2 3" xfId="14570"/>
    <cellStyle name="Vérification 2 2 6 4 2 5 2 4" xfId="30791"/>
    <cellStyle name="Vérification 2 2 6 4 2 5 3" xfId="19890"/>
    <cellStyle name="Vérification 2 2 6 4 2 5 3 2" xfId="34004"/>
    <cellStyle name="Vérification 2 2 6 4 2 5 4" xfId="12118"/>
    <cellStyle name="Vérification 2 2 6 4 2 5 5" xfId="28339"/>
    <cellStyle name="Vérification 2 2 6 4 2 6" xfId="7273"/>
    <cellStyle name="Vérification 2 2 6 4 2 6 2" xfId="23497"/>
    <cellStyle name="Vérification 2 2 6 4 2 6 2 2" xfId="35504"/>
    <cellStyle name="Vérification 2 2 6 4 2 6 3" xfId="13657"/>
    <cellStyle name="Vérification 2 2 6 4 2 6 4" xfId="29878"/>
    <cellStyle name="Vérification 2 2 6 4 2 7" xfId="17636"/>
    <cellStyle name="Vérification 2 2 6 4 2 7 2" xfId="32884"/>
    <cellStyle name="Vérification 2 2 6 4 2 8" xfId="10656"/>
    <cellStyle name="Vérification 2 2 6 4 2 9" xfId="26881"/>
    <cellStyle name="Vérification 2 2 6 4 3" xfId="1224"/>
    <cellStyle name="Vérification 2 2 6 4 3 2" xfId="2786"/>
    <cellStyle name="Vérification 2 2 6 4 3 2 2" xfId="6474"/>
    <cellStyle name="Vérification 2 2 6 4 3 2 2 2" xfId="8855"/>
    <cellStyle name="Vérification 2 2 6 4 3 2 2 2 2" xfId="25079"/>
    <cellStyle name="Vérification 2 2 6 4 3 2 2 2 2 2" xfId="37086"/>
    <cellStyle name="Vérification 2 2 6 4 3 2 2 2 3" xfId="14862"/>
    <cellStyle name="Vérification 2 2 6 4 3 2 2 2 4" xfId="31083"/>
    <cellStyle name="Vérification 2 2 6 4 3 2 2 3" xfId="10233"/>
    <cellStyle name="Vérification 2 2 6 4 3 2 2 3 2" xfId="26457"/>
    <cellStyle name="Vérification 2 2 6 4 3 2 2 3 2 2" xfId="38464"/>
    <cellStyle name="Vérification 2 2 6 4 3 2 2 3 3" xfId="16240"/>
    <cellStyle name="Vérification 2 2 6 4 3 2 2 3 4" xfId="32461"/>
    <cellStyle name="Vérification 2 2 6 4 3 2 2 4" xfId="22698"/>
    <cellStyle name="Vérification 2 2 6 4 3 2 2 4 2" xfId="34705"/>
    <cellStyle name="Vérification 2 2 6 4 3 2 2 5" xfId="12559"/>
    <cellStyle name="Vérification 2 2 6 4 3 2 2 6" xfId="28780"/>
    <cellStyle name="Vérification 2 2 6 4 3 2 3" xfId="7522"/>
    <cellStyle name="Vérification 2 2 6 4 3 2 3 2" xfId="9566"/>
    <cellStyle name="Vérification 2 2 6 4 3 2 3 2 2" xfId="25790"/>
    <cellStyle name="Vérification 2 2 6 4 3 2 3 2 2 2" xfId="37797"/>
    <cellStyle name="Vérification 2 2 6 4 3 2 3 2 3" xfId="15573"/>
    <cellStyle name="Vérification 2 2 6 4 3 2 3 2 4" xfId="31794"/>
    <cellStyle name="Vérification 2 2 6 4 3 2 3 3" xfId="23746"/>
    <cellStyle name="Vérification 2 2 6 4 3 2 3 3 2" xfId="35753"/>
    <cellStyle name="Vérification 2 2 6 4 3 2 3 4" xfId="13270"/>
    <cellStyle name="Vérification 2 2 6 4 3 2 3 5" xfId="29491"/>
    <cellStyle name="Vérification 2 2 6 4 3 2 4" xfId="7899"/>
    <cellStyle name="Vérification 2 2 6 4 3 2 4 2" xfId="24123"/>
    <cellStyle name="Vérification 2 2 6 4 3 2 4 2 2" xfId="36130"/>
    <cellStyle name="Vérification 2 2 6 4 3 2 4 3" xfId="13906"/>
    <cellStyle name="Vérification 2 2 6 4 3 2 4 4" xfId="30127"/>
    <cellStyle name="Vérification 2 2 6 4 3 2 5" xfId="19014"/>
    <cellStyle name="Vérification 2 2 6 4 3 2 5 2" xfId="33128"/>
    <cellStyle name="Vérification 2 2 6 4 3 2 6" xfId="11255"/>
    <cellStyle name="Vérification 2 2 6 4 3 2 7" xfId="27476"/>
    <cellStyle name="Vérification 2 2 6 4 3 3" xfId="4921"/>
    <cellStyle name="Vérification 2 2 6 4 3 3 2" xfId="7024"/>
    <cellStyle name="Vérification 2 2 6 4 3 3 2 2" xfId="9233"/>
    <cellStyle name="Vérification 2 2 6 4 3 3 2 2 2" xfId="25457"/>
    <cellStyle name="Vérification 2 2 6 4 3 3 2 2 2 2" xfId="37464"/>
    <cellStyle name="Vérification 2 2 6 4 3 3 2 2 3" xfId="15240"/>
    <cellStyle name="Vérification 2 2 6 4 3 3 2 2 4" xfId="31461"/>
    <cellStyle name="Vérification 2 2 6 4 3 3 2 3" xfId="23248"/>
    <cellStyle name="Vérification 2 2 6 4 3 3 2 3 2" xfId="35255"/>
    <cellStyle name="Vérification 2 2 6 4 3 3 2 4" xfId="12937"/>
    <cellStyle name="Vérification 2 2 6 4 3 3 2 5" xfId="29158"/>
    <cellStyle name="Vérification 2 2 6 4 3 3 3" xfId="3231"/>
    <cellStyle name="Vérification 2 2 6 4 3 3 3 2" xfId="19459"/>
    <cellStyle name="Vérification 2 2 6 4 3 3 3 2 2" xfId="33573"/>
    <cellStyle name="Vérification 2 2 6 4 3 3 3 3" xfId="11463"/>
    <cellStyle name="Vérification 2 2 6 4 3 3 3 4" xfId="27684"/>
    <cellStyle name="Vérification 2 2 6 4 3 3 4" xfId="21147"/>
    <cellStyle name="Vérification 2 2 6 4 3 3 4 2" xfId="34372"/>
    <cellStyle name="Vérification 2 2 6 4 3 3 5" xfId="10919"/>
    <cellStyle name="Vérification 2 2 6 4 3 3 6" xfId="27142"/>
    <cellStyle name="Vérification 2 2 6 4 3 4" xfId="3375"/>
    <cellStyle name="Vérification 2 2 6 4 3 4 2" xfId="8351"/>
    <cellStyle name="Vérification 2 2 6 4 3 4 2 2" xfId="24575"/>
    <cellStyle name="Vérification 2 2 6 4 3 4 2 2 2" xfId="36582"/>
    <cellStyle name="Vérification 2 2 6 4 3 4 2 3" xfId="14358"/>
    <cellStyle name="Vérification 2 2 6 4 3 4 2 4" xfId="30579"/>
    <cellStyle name="Vérification 2 2 6 4 3 4 3" xfId="9900"/>
    <cellStyle name="Vérification 2 2 6 4 3 4 3 2" xfId="26124"/>
    <cellStyle name="Vérification 2 2 6 4 3 4 3 2 2" xfId="38131"/>
    <cellStyle name="Vérification 2 2 6 4 3 4 3 3" xfId="15907"/>
    <cellStyle name="Vérification 2 2 6 4 3 4 3 4" xfId="32128"/>
    <cellStyle name="Vérification 2 2 6 4 3 4 4" xfId="19603"/>
    <cellStyle name="Vérification 2 2 6 4 3 4 4 2" xfId="33717"/>
    <cellStyle name="Vérification 2 2 6 4 3 4 5" xfId="11906"/>
    <cellStyle name="Vérification 2 2 6 4 3 4 6" xfId="28127"/>
    <cellStyle name="Vérification 2 2 6 4 3 5" xfId="3718"/>
    <cellStyle name="Vérification 2 2 6 4 3 5 2" xfId="8598"/>
    <cellStyle name="Vérification 2 2 6 4 3 5 2 2" xfId="24822"/>
    <cellStyle name="Vérification 2 2 6 4 3 5 2 2 2" xfId="36829"/>
    <cellStyle name="Vérification 2 2 6 4 3 5 2 3" xfId="14605"/>
    <cellStyle name="Vérification 2 2 6 4 3 5 2 4" xfId="30826"/>
    <cellStyle name="Vérification 2 2 6 4 3 5 3" xfId="19946"/>
    <cellStyle name="Vérification 2 2 6 4 3 5 3 2" xfId="34060"/>
    <cellStyle name="Vérification 2 2 6 4 3 5 4" xfId="12153"/>
    <cellStyle name="Vérification 2 2 6 4 3 5 5" xfId="28374"/>
    <cellStyle name="Vérification 2 2 6 4 3 6" xfId="3572"/>
    <cellStyle name="Vérification 2 2 6 4 3 6 2" xfId="19800"/>
    <cellStyle name="Vérification 2 2 6 4 3 6 2 2" xfId="33914"/>
    <cellStyle name="Vérification 2 2 6 4 3 6 3" xfId="11477"/>
    <cellStyle name="Vérification 2 2 6 4 3 6 4" xfId="27698"/>
    <cellStyle name="Vérification 2 2 6 4 3 7" xfId="17463"/>
    <cellStyle name="Vérification 2 2 6 4 3 7 2" xfId="32795"/>
    <cellStyle name="Vérification 2 2 6 4 3 8" xfId="10567"/>
    <cellStyle name="Vérification 2 2 6 4 3 9" xfId="26792"/>
    <cellStyle name="Vérification 2 2 6 4 4" xfId="2697"/>
    <cellStyle name="Vérification 2 2 6 4 4 2" xfId="6385"/>
    <cellStyle name="Vérification 2 2 6 4 4 2 2" xfId="8766"/>
    <cellStyle name="Vérification 2 2 6 4 4 2 2 2" xfId="24990"/>
    <cellStyle name="Vérification 2 2 6 4 4 2 2 2 2" xfId="36997"/>
    <cellStyle name="Vérification 2 2 6 4 4 2 2 3" xfId="14773"/>
    <cellStyle name="Vérification 2 2 6 4 4 2 2 4" xfId="30994"/>
    <cellStyle name="Vérification 2 2 6 4 4 2 3" xfId="10144"/>
    <cellStyle name="Vérification 2 2 6 4 4 2 3 2" xfId="26368"/>
    <cellStyle name="Vérification 2 2 6 4 4 2 3 2 2" xfId="38375"/>
    <cellStyle name="Vérification 2 2 6 4 4 2 3 3" xfId="16151"/>
    <cellStyle name="Vérification 2 2 6 4 4 2 3 4" xfId="32372"/>
    <cellStyle name="Vérification 2 2 6 4 4 2 4" xfId="22609"/>
    <cellStyle name="Vérification 2 2 6 4 4 2 4 2" xfId="34616"/>
    <cellStyle name="Vérification 2 2 6 4 4 2 5" xfId="12470"/>
    <cellStyle name="Vérification 2 2 6 4 4 2 6" xfId="28691"/>
    <cellStyle name="Vérification 2 2 6 4 4 3" xfId="7433"/>
    <cellStyle name="Vérification 2 2 6 4 4 3 2" xfId="9477"/>
    <cellStyle name="Vérification 2 2 6 4 4 3 2 2" xfId="25701"/>
    <cellStyle name="Vérification 2 2 6 4 4 3 2 2 2" xfId="37708"/>
    <cellStyle name="Vérification 2 2 6 4 4 3 2 3" xfId="15484"/>
    <cellStyle name="Vérification 2 2 6 4 4 3 2 4" xfId="31705"/>
    <cellStyle name="Vérification 2 2 6 4 4 3 3" xfId="23657"/>
    <cellStyle name="Vérification 2 2 6 4 4 3 3 2" xfId="35664"/>
    <cellStyle name="Vérification 2 2 6 4 4 3 4" xfId="13181"/>
    <cellStyle name="Vérification 2 2 6 4 4 3 5" xfId="29402"/>
    <cellStyle name="Vérification 2 2 6 4 4 4" xfId="7810"/>
    <cellStyle name="Vérification 2 2 6 4 4 4 2" xfId="24034"/>
    <cellStyle name="Vérification 2 2 6 4 4 4 2 2" xfId="36041"/>
    <cellStyle name="Vérification 2 2 6 4 4 4 3" xfId="13817"/>
    <cellStyle name="Vérification 2 2 6 4 4 4 4" xfId="30038"/>
    <cellStyle name="Vérification 2 2 6 4 4 5" xfId="18925"/>
    <cellStyle name="Vérification 2 2 6 4 4 5 2" xfId="33039"/>
    <cellStyle name="Vérification 2 2 6 4 4 6" xfId="11166"/>
    <cellStyle name="Vérification 2 2 6 4 4 7" xfId="27387"/>
    <cellStyle name="Vérification 2 2 6 4 5" xfId="4346"/>
    <cellStyle name="Vérification 2 2 6 4 5 2" xfId="6864"/>
    <cellStyle name="Vérification 2 2 6 4 5 2 2" xfId="9144"/>
    <cellStyle name="Vérification 2 2 6 4 5 2 2 2" xfId="25368"/>
    <cellStyle name="Vérification 2 2 6 4 5 2 2 2 2" xfId="37375"/>
    <cellStyle name="Vérification 2 2 6 4 5 2 2 3" xfId="15151"/>
    <cellStyle name="Vérification 2 2 6 4 5 2 2 4" xfId="31372"/>
    <cellStyle name="Vérification 2 2 6 4 5 2 3" xfId="23088"/>
    <cellStyle name="Vérification 2 2 6 4 5 2 3 2" xfId="35095"/>
    <cellStyle name="Vérification 2 2 6 4 5 2 4" xfId="12848"/>
    <cellStyle name="Vérification 2 2 6 4 5 2 5" xfId="29069"/>
    <cellStyle name="Vérification 2 2 6 4 5 3" xfId="6749"/>
    <cellStyle name="Vérification 2 2 6 4 5 3 2" xfId="22973"/>
    <cellStyle name="Vérification 2 2 6 4 5 3 2 2" xfId="34980"/>
    <cellStyle name="Vérification 2 2 6 4 5 3 3" xfId="13477"/>
    <cellStyle name="Vérification 2 2 6 4 5 3 4" xfId="29698"/>
    <cellStyle name="Vérification 2 2 6 4 5 4" xfId="20572"/>
    <cellStyle name="Vérification 2 2 6 4 5 4 2" xfId="34283"/>
    <cellStyle name="Vérification 2 2 6 4 5 5" xfId="10825"/>
    <cellStyle name="Vérification 2 2 6 4 5 6" xfId="27048"/>
    <cellStyle name="Vérification 2 2 6 4 6" xfId="3159"/>
    <cellStyle name="Vérification 2 2 6 4 6 2" xfId="8197"/>
    <cellStyle name="Vérification 2 2 6 4 6 2 2" xfId="24421"/>
    <cellStyle name="Vérification 2 2 6 4 6 2 2 2" xfId="36428"/>
    <cellStyle name="Vérification 2 2 6 4 6 2 3" xfId="14204"/>
    <cellStyle name="Vérification 2 2 6 4 6 2 4" xfId="30425"/>
    <cellStyle name="Vérification 2 2 6 4 6 3" xfId="9811"/>
    <cellStyle name="Vérification 2 2 6 4 6 3 2" xfId="26035"/>
    <cellStyle name="Vérification 2 2 6 4 6 3 2 2" xfId="38042"/>
    <cellStyle name="Vérification 2 2 6 4 6 3 3" xfId="15818"/>
    <cellStyle name="Vérification 2 2 6 4 6 3 4" xfId="32039"/>
    <cellStyle name="Vérification 2 2 6 4 6 4" xfId="19387"/>
    <cellStyle name="Vérification 2 2 6 4 6 4 2" xfId="33501"/>
    <cellStyle name="Vérification 2 2 6 4 6 5" xfId="11752"/>
    <cellStyle name="Vérification 2 2 6 4 6 6" xfId="27973"/>
    <cellStyle name="Vérification 2 2 6 4 7" xfId="3008"/>
    <cellStyle name="Vérification 2 2 6 4 7 2" xfId="8094"/>
    <cellStyle name="Vérification 2 2 6 4 7 2 2" xfId="24318"/>
    <cellStyle name="Vérification 2 2 6 4 7 2 2 2" xfId="36325"/>
    <cellStyle name="Vérification 2 2 6 4 7 2 3" xfId="14101"/>
    <cellStyle name="Vérification 2 2 6 4 7 2 4" xfId="30322"/>
    <cellStyle name="Vérification 2 2 6 4 7 3" xfId="19236"/>
    <cellStyle name="Vérification 2 2 6 4 7 3 2" xfId="33350"/>
    <cellStyle name="Vérification 2 2 6 4 7 4" xfId="11649"/>
    <cellStyle name="Vérification 2 2 6 4 7 5" xfId="27870"/>
    <cellStyle name="Vérification 2 2 6 4 8" xfId="6737"/>
    <cellStyle name="Vérification 2 2 6 4 8 2" xfId="22961"/>
    <cellStyle name="Vérification 2 2 6 4 8 2 2" xfId="34968"/>
    <cellStyle name="Vérification 2 2 6 4 8 3" xfId="12261"/>
    <cellStyle name="Vérification 2 2 6 4 8 4" xfId="28482"/>
    <cellStyle name="Vérification 2 2 6 4 9" xfId="16888"/>
    <cellStyle name="Vérification 2 2 6 4 9 2" xfId="32706"/>
    <cellStyle name="Vérification 2 2 6 5" xfId="751"/>
    <cellStyle name="Vérification 2 2 6 5 10" xfId="26725"/>
    <cellStyle name="Vérification 2 2 6 5 2" xfId="1419"/>
    <cellStyle name="Vérification 2 2 6 5 2 2" xfId="2897"/>
    <cellStyle name="Vérification 2 2 6 5 2 2 2" xfId="6585"/>
    <cellStyle name="Vérification 2 2 6 5 2 2 2 2" xfId="8966"/>
    <cellStyle name="Vérification 2 2 6 5 2 2 2 2 2" xfId="25190"/>
    <cellStyle name="Vérification 2 2 6 5 2 2 2 2 2 2" xfId="37197"/>
    <cellStyle name="Vérification 2 2 6 5 2 2 2 2 3" xfId="14973"/>
    <cellStyle name="Vérification 2 2 6 5 2 2 2 2 4" xfId="31194"/>
    <cellStyle name="Vérification 2 2 6 5 2 2 2 3" xfId="10344"/>
    <cellStyle name="Vérification 2 2 6 5 2 2 2 3 2" xfId="26568"/>
    <cellStyle name="Vérification 2 2 6 5 2 2 2 3 2 2" xfId="38575"/>
    <cellStyle name="Vérification 2 2 6 5 2 2 2 3 3" xfId="16351"/>
    <cellStyle name="Vérification 2 2 6 5 2 2 2 3 4" xfId="32572"/>
    <cellStyle name="Vérification 2 2 6 5 2 2 2 4" xfId="22809"/>
    <cellStyle name="Vérification 2 2 6 5 2 2 2 4 2" xfId="34816"/>
    <cellStyle name="Vérification 2 2 6 5 2 2 2 5" xfId="12670"/>
    <cellStyle name="Vérification 2 2 6 5 2 2 2 6" xfId="28891"/>
    <cellStyle name="Vérification 2 2 6 5 2 2 3" xfId="7633"/>
    <cellStyle name="Vérification 2 2 6 5 2 2 3 2" xfId="9677"/>
    <cellStyle name="Vérification 2 2 6 5 2 2 3 2 2" xfId="25901"/>
    <cellStyle name="Vérification 2 2 6 5 2 2 3 2 2 2" xfId="37908"/>
    <cellStyle name="Vérification 2 2 6 5 2 2 3 2 3" xfId="15684"/>
    <cellStyle name="Vérification 2 2 6 5 2 2 3 2 4" xfId="31905"/>
    <cellStyle name="Vérification 2 2 6 5 2 2 3 3" xfId="23857"/>
    <cellStyle name="Vérification 2 2 6 5 2 2 3 3 2" xfId="35864"/>
    <cellStyle name="Vérification 2 2 6 5 2 2 3 4" xfId="13381"/>
    <cellStyle name="Vérification 2 2 6 5 2 2 3 5" xfId="29602"/>
    <cellStyle name="Vérification 2 2 6 5 2 2 4" xfId="8010"/>
    <cellStyle name="Vérification 2 2 6 5 2 2 4 2" xfId="24234"/>
    <cellStyle name="Vérification 2 2 6 5 2 2 4 2 2" xfId="36241"/>
    <cellStyle name="Vérification 2 2 6 5 2 2 4 3" xfId="14017"/>
    <cellStyle name="Vérification 2 2 6 5 2 2 4 4" xfId="30238"/>
    <cellStyle name="Vérification 2 2 6 5 2 2 5" xfId="19125"/>
    <cellStyle name="Vérification 2 2 6 5 2 2 5 2" xfId="33239"/>
    <cellStyle name="Vérification 2 2 6 5 2 2 6" xfId="11366"/>
    <cellStyle name="Vérification 2 2 6 5 2 2 7" xfId="27587"/>
    <cellStyle name="Vérification 2 2 6 5 2 3" xfId="5116"/>
    <cellStyle name="Vérification 2 2 6 5 2 3 2" xfId="7143"/>
    <cellStyle name="Vérification 2 2 6 5 2 3 2 2" xfId="9344"/>
    <cellStyle name="Vérification 2 2 6 5 2 3 2 2 2" xfId="25568"/>
    <cellStyle name="Vérification 2 2 6 5 2 3 2 2 2 2" xfId="37575"/>
    <cellStyle name="Vérification 2 2 6 5 2 3 2 2 3" xfId="15351"/>
    <cellStyle name="Vérification 2 2 6 5 2 3 2 2 4" xfId="31572"/>
    <cellStyle name="Vérification 2 2 6 5 2 3 2 3" xfId="23367"/>
    <cellStyle name="Vérification 2 2 6 5 2 3 2 3 2" xfId="35374"/>
    <cellStyle name="Vérification 2 2 6 5 2 3 2 4" xfId="13048"/>
    <cellStyle name="Vérification 2 2 6 5 2 3 2 5" xfId="29269"/>
    <cellStyle name="Vérification 2 2 6 5 2 3 3" xfId="7180"/>
    <cellStyle name="Vérification 2 2 6 5 2 3 3 2" xfId="23404"/>
    <cellStyle name="Vérification 2 2 6 5 2 3 3 2 2" xfId="35411"/>
    <cellStyle name="Vérification 2 2 6 5 2 3 3 3" xfId="13564"/>
    <cellStyle name="Vérification 2 2 6 5 2 3 3 4" xfId="29785"/>
    <cellStyle name="Vérification 2 2 6 5 2 3 4" xfId="21342"/>
    <cellStyle name="Vérification 2 2 6 5 2 3 4 2" xfId="34483"/>
    <cellStyle name="Vérification 2 2 6 5 2 3 5" xfId="11030"/>
    <cellStyle name="Vérification 2 2 6 5 2 3 6" xfId="27253"/>
    <cellStyle name="Vérification 2 2 6 5 2 4" xfId="3507"/>
    <cellStyle name="Vérification 2 2 6 5 2 4 2" xfId="8474"/>
    <cellStyle name="Vérification 2 2 6 5 2 4 2 2" xfId="24698"/>
    <cellStyle name="Vérification 2 2 6 5 2 4 2 2 2" xfId="36705"/>
    <cellStyle name="Vérification 2 2 6 5 2 4 2 3" xfId="14481"/>
    <cellStyle name="Vérification 2 2 6 5 2 4 2 4" xfId="30702"/>
    <cellStyle name="Vérification 2 2 6 5 2 4 3" xfId="10011"/>
    <cellStyle name="Vérification 2 2 6 5 2 4 3 2" xfId="26235"/>
    <cellStyle name="Vérification 2 2 6 5 2 4 3 2 2" xfId="38242"/>
    <cellStyle name="Vérification 2 2 6 5 2 4 3 3" xfId="16018"/>
    <cellStyle name="Vérification 2 2 6 5 2 4 3 4" xfId="32239"/>
    <cellStyle name="Vérification 2 2 6 5 2 4 4" xfId="19735"/>
    <cellStyle name="Vérification 2 2 6 5 2 4 4 2" xfId="33849"/>
    <cellStyle name="Vérification 2 2 6 5 2 4 5" xfId="12029"/>
    <cellStyle name="Vérification 2 2 6 5 2 4 6" xfId="28250"/>
    <cellStyle name="Vérification 2 2 6 5 2 5" xfId="3068"/>
    <cellStyle name="Vérification 2 2 6 5 2 5 2" xfId="8133"/>
    <cellStyle name="Vérification 2 2 6 5 2 5 2 2" xfId="24357"/>
    <cellStyle name="Vérification 2 2 6 5 2 5 2 2 2" xfId="36364"/>
    <cellStyle name="Vérification 2 2 6 5 2 5 2 3" xfId="14140"/>
    <cellStyle name="Vérification 2 2 6 5 2 5 2 4" xfId="30361"/>
    <cellStyle name="Vérification 2 2 6 5 2 5 3" xfId="19296"/>
    <cellStyle name="Vérification 2 2 6 5 2 5 3 2" xfId="33410"/>
    <cellStyle name="Vérification 2 2 6 5 2 5 4" xfId="11688"/>
    <cellStyle name="Vérification 2 2 6 5 2 5 5" xfId="27909"/>
    <cellStyle name="Vérification 2 2 6 5 2 6" xfId="3555"/>
    <cellStyle name="Vérification 2 2 6 5 2 6 2" xfId="19783"/>
    <cellStyle name="Vérification 2 2 6 5 2 6 2 2" xfId="33897"/>
    <cellStyle name="Vérification 2 2 6 5 2 6 3" xfId="12365"/>
    <cellStyle name="Vérification 2 2 6 5 2 6 4" xfId="28586"/>
    <cellStyle name="Vérification 2 2 6 5 2 7" xfId="17658"/>
    <cellStyle name="Vérification 2 2 6 5 2 7 2" xfId="32906"/>
    <cellStyle name="Vérification 2 2 6 5 2 8" xfId="10678"/>
    <cellStyle name="Vérification 2 2 6 5 2 9" xfId="26903"/>
    <cellStyle name="Vérification 2 2 6 5 3" xfId="2719"/>
    <cellStyle name="Vérification 2 2 6 5 3 2" xfId="6407"/>
    <cellStyle name="Vérification 2 2 6 5 3 2 2" xfId="8788"/>
    <cellStyle name="Vérification 2 2 6 5 3 2 2 2" xfId="25012"/>
    <cellStyle name="Vérification 2 2 6 5 3 2 2 2 2" xfId="37019"/>
    <cellStyle name="Vérification 2 2 6 5 3 2 2 3" xfId="14795"/>
    <cellStyle name="Vérification 2 2 6 5 3 2 2 4" xfId="31016"/>
    <cellStyle name="Vérification 2 2 6 5 3 2 3" xfId="10166"/>
    <cellStyle name="Vérification 2 2 6 5 3 2 3 2" xfId="26390"/>
    <cellStyle name="Vérification 2 2 6 5 3 2 3 2 2" xfId="38397"/>
    <cellStyle name="Vérification 2 2 6 5 3 2 3 3" xfId="16173"/>
    <cellStyle name="Vérification 2 2 6 5 3 2 3 4" xfId="32394"/>
    <cellStyle name="Vérification 2 2 6 5 3 2 4" xfId="22631"/>
    <cellStyle name="Vérification 2 2 6 5 3 2 4 2" xfId="34638"/>
    <cellStyle name="Vérification 2 2 6 5 3 2 5" xfId="12492"/>
    <cellStyle name="Vérification 2 2 6 5 3 2 6" xfId="28713"/>
    <cellStyle name="Vérification 2 2 6 5 3 3" xfId="7455"/>
    <cellStyle name="Vérification 2 2 6 5 3 3 2" xfId="9499"/>
    <cellStyle name="Vérification 2 2 6 5 3 3 2 2" xfId="25723"/>
    <cellStyle name="Vérification 2 2 6 5 3 3 2 2 2" xfId="37730"/>
    <cellStyle name="Vérification 2 2 6 5 3 3 2 3" xfId="15506"/>
    <cellStyle name="Vérification 2 2 6 5 3 3 2 4" xfId="31727"/>
    <cellStyle name="Vérification 2 2 6 5 3 3 3" xfId="23679"/>
    <cellStyle name="Vérification 2 2 6 5 3 3 3 2" xfId="35686"/>
    <cellStyle name="Vérification 2 2 6 5 3 3 4" xfId="13203"/>
    <cellStyle name="Vérification 2 2 6 5 3 3 5" xfId="29424"/>
    <cellStyle name="Vérification 2 2 6 5 3 4" xfId="7832"/>
    <cellStyle name="Vérification 2 2 6 5 3 4 2" xfId="24056"/>
    <cellStyle name="Vérification 2 2 6 5 3 4 2 2" xfId="36063"/>
    <cellStyle name="Vérification 2 2 6 5 3 4 3" xfId="13839"/>
    <cellStyle name="Vérification 2 2 6 5 3 4 4" xfId="30060"/>
    <cellStyle name="Vérification 2 2 6 5 3 5" xfId="18947"/>
    <cellStyle name="Vérification 2 2 6 5 3 5 2" xfId="33061"/>
    <cellStyle name="Vérification 2 2 6 5 3 6" xfId="11188"/>
    <cellStyle name="Vérification 2 2 6 5 3 7" xfId="27409"/>
    <cellStyle name="Vérification 2 2 6 5 4" xfId="4452"/>
    <cellStyle name="Vérification 2 2 6 5 4 2" xfId="6897"/>
    <cellStyle name="Vérification 2 2 6 5 4 2 2" xfId="9166"/>
    <cellStyle name="Vérification 2 2 6 5 4 2 2 2" xfId="25390"/>
    <cellStyle name="Vérification 2 2 6 5 4 2 2 2 2" xfId="37397"/>
    <cellStyle name="Vérification 2 2 6 5 4 2 2 3" xfId="15173"/>
    <cellStyle name="Vérification 2 2 6 5 4 2 2 4" xfId="31394"/>
    <cellStyle name="Vérification 2 2 6 5 4 2 3" xfId="23121"/>
    <cellStyle name="Vérification 2 2 6 5 4 2 3 2" xfId="35128"/>
    <cellStyle name="Vérification 2 2 6 5 4 2 4" xfId="12870"/>
    <cellStyle name="Vérification 2 2 6 5 4 2 5" xfId="29091"/>
    <cellStyle name="Vérification 2 2 6 5 4 3" xfId="7242"/>
    <cellStyle name="Vérification 2 2 6 5 4 3 2" xfId="23466"/>
    <cellStyle name="Vérification 2 2 6 5 4 3 2 2" xfId="35473"/>
    <cellStyle name="Vérification 2 2 6 5 4 3 3" xfId="13626"/>
    <cellStyle name="Vérification 2 2 6 5 4 3 4" xfId="29847"/>
    <cellStyle name="Vérification 2 2 6 5 4 4" xfId="20678"/>
    <cellStyle name="Vérification 2 2 6 5 4 4 2" xfId="34305"/>
    <cellStyle name="Vérification 2 2 6 5 4 5" xfId="10851"/>
    <cellStyle name="Vérification 2 2 6 5 4 6" xfId="27074"/>
    <cellStyle name="Vérification 2 2 6 5 5" xfId="3208"/>
    <cellStyle name="Vérification 2 2 6 5 5 2" xfId="8229"/>
    <cellStyle name="Vérification 2 2 6 5 5 2 2" xfId="24453"/>
    <cellStyle name="Vérification 2 2 6 5 5 2 2 2" xfId="36460"/>
    <cellStyle name="Vérification 2 2 6 5 5 2 3" xfId="14236"/>
    <cellStyle name="Vérification 2 2 6 5 5 2 4" xfId="30457"/>
    <cellStyle name="Vérification 2 2 6 5 5 3" xfId="9833"/>
    <cellStyle name="Vérification 2 2 6 5 5 3 2" xfId="26057"/>
    <cellStyle name="Vérification 2 2 6 5 5 3 2 2" xfId="38064"/>
    <cellStyle name="Vérification 2 2 6 5 5 3 3" xfId="15840"/>
    <cellStyle name="Vérification 2 2 6 5 5 3 4" xfId="32061"/>
    <cellStyle name="Vérification 2 2 6 5 5 4" xfId="19436"/>
    <cellStyle name="Vérification 2 2 6 5 5 4 2" xfId="33550"/>
    <cellStyle name="Vérification 2 2 6 5 5 5" xfId="11784"/>
    <cellStyle name="Vérification 2 2 6 5 5 6" xfId="28005"/>
    <cellStyle name="Vérification 2 2 6 5 6" xfId="3521"/>
    <cellStyle name="Vérification 2 2 6 5 6 2" xfId="8487"/>
    <cellStyle name="Vérification 2 2 6 5 6 2 2" xfId="24711"/>
    <cellStyle name="Vérification 2 2 6 5 6 2 2 2" xfId="36718"/>
    <cellStyle name="Vérification 2 2 6 5 6 2 3" xfId="14494"/>
    <cellStyle name="Vérification 2 2 6 5 6 2 4" xfId="30715"/>
    <cellStyle name="Vérification 2 2 6 5 6 3" xfId="19749"/>
    <cellStyle name="Vérification 2 2 6 5 6 3 2" xfId="33863"/>
    <cellStyle name="Vérification 2 2 6 5 6 4" xfId="12042"/>
    <cellStyle name="Vérification 2 2 6 5 6 5" xfId="28263"/>
    <cellStyle name="Vérification 2 2 6 5 7" xfId="2972"/>
    <cellStyle name="Vérification 2 2 6 5 7 2" xfId="19200"/>
    <cellStyle name="Vérification 2 2 6 5 7 2 2" xfId="33314"/>
    <cellStyle name="Vérification 2 2 6 5 7 3" xfId="11458"/>
    <cellStyle name="Vérification 2 2 6 5 7 4" xfId="27679"/>
    <cellStyle name="Vérification 2 2 6 5 8" xfId="16994"/>
    <cellStyle name="Vérification 2 2 6 5 8 2" xfId="32728"/>
    <cellStyle name="Vérification 2 2 6 5 9" xfId="10500"/>
    <cellStyle name="Vérification 2 2 6 6" xfId="1330"/>
    <cellStyle name="Vérification 2 2 6 6 2" xfId="2808"/>
    <cellStyle name="Vérification 2 2 6 6 2 2" xfId="6496"/>
    <cellStyle name="Vérification 2 2 6 6 2 2 2" xfId="8877"/>
    <cellStyle name="Vérification 2 2 6 6 2 2 2 2" xfId="25101"/>
    <cellStyle name="Vérification 2 2 6 6 2 2 2 2 2" xfId="37108"/>
    <cellStyle name="Vérification 2 2 6 6 2 2 2 3" xfId="14884"/>
    <cellStyle name="Vérification 2 2 6 6 2 2 2 4" xfId="31105"/>
    <cellStyle name="Vérification 2 2 6 6 2 2 3" xfId="10255"/>
    <cellStyle name="Vérification 2 2 6 6 2 2 3 2" xfId="26479"/>
    <cellStyle name="Vérification 2 2 6 6 2 2 3 2 2" xfId="38486"/>
    <cellStyle name="Vérification 2 2 6 6 2 2 3 3" xfId="16262"/>
    <cellStyle name="Vérification 2 2 6 6 2 2 3 4" xfId="32483"/>
    <cellStyle name="Vérification 2 2 6 6 2 2 4" xfId="22720"/>
    <cellStyle name="Vérification 2 2 6 6 2 2 4 2" xfId="34727"/>
    <cellStyle name="Vérification 2 2 6 6 2 2 5" xfId="12581"/>
    <cellStyle name="Vérification 2 2 6 6 2 2 6" xfId="28802"/>
    <cellStyle name="Vérification 2 2 6 6 2 3" xfId="7544"/>
    <cellStyle name="Vérification 2 2 6 6 2 3 2" xfId="9588"/>
    <cellStyle name="Vérification 2 2 6 6 2 3 2 2" xfId="25812"/>
    <cellStyle name="Vérification 2 2 6 6 2 3 2 2 2" xfId="37819"/>
    <cellStyle name="Vérification 2 2 6 6 2 3 2 3" xfId="15595"/>
    <cellStyle name="Vérification 2 2 6 6 2 3 2 4" xfId="31816"/>
    <cellStyle name="Vérification 2 2 6 6 2 3 3" xfId="23768"/>
    <cellStyle name="Vérification 2 2 6 6 2 3 3 2" xfId="35775"/>
    <cellStyle name="Vérification 2 2 6 6 2 3 4" xfId="13292"/>
    <cellStyle name="Vérification 2 2 6 6 2 3 5" xfId="29513"/>
    <cellStyle name="Vérification 2 2 6 6 2 4" xfId="7921"/>
    <cellStyle name="Vérification 2 2 6 6 2 4 2" xfId="24145"/>
    <cellStyle name="Vérification 2 2 6 6 2 4 2 2" xfId="36152"/>
    <cellStyle name="Vérification 2 2 6 6 2 4 3" xfId="13928"/>
    <cellStyle name="Vérification 2 2 6 6 2 4 4" xfId="30149"/>
    <cellStyle name="Vérification 2 2 6 6 2 5" xfId="19036"/>
    <cellStyle name="Vérification 2 2 6 6 2 5 2" xfId="33150"/>
    <cellStyle name="Vérification 2 2 6 6 2 6" xfId="11277"/>
    <cellStyle name="Vérification 2 2 6 6 2 7" xfId="27498"/>
    <cellStyle name="Vérification 2 2 6 6 3" xfId="5027"/>
    <cellStyle name="Vérification 2 2 6 6 3 2" xfId="7054"/>
    <cellStyle name="Vérification 2 2 6 6 3 2 2" xfId="9255"/>
    <cellStyle name="Vérification 2 2 6 6 3 2 2 2" xfId="25479"/>
    <cellStyle name="Vérification 2 2 6 6 3 2 2 2 2" xfId="37486"/>
    <cellStyle name="Vérification 2 2 6 6 3 2 2 3" xfId="15262"/>
    <cellStyle name="Vérification 2 2 6 6 3 2 2 4" xfId="31483"/>
    <cellStyle name="Vérification 2 2 6 6 3 2 3" xfId="23278"/>
    <cellStyle name="Vérification 2 2 6 6 3 2 3 2" xfId="35285"/>
    <cellStyle name="Vérification 2 2 6 6 3 2 4" xfId="12959"/>
    <cellStyle name="Vérification 2 2 6 6 3 2 5" xfId="29180"/>
    <cellStyle name="Vérification 2 2 6 6 3 3" xfId="3649"/>
    <cellStyle name="Vérification 2 2 6 6 3 3 2" xfId="19877"/>
    <cellStyle name="Vérification 2 2 6 6 3 3 2 2" xfId="33991"/>
    <cellStyle name="Vérification 2 2 6 6 3 3 3" xfId="12258"/>
    <cellStyle name="Vérification 2 2 6 6 3 3 4" xfId="28479"/>
    <cellStyle name="Vérification 2 2 6 6 3 4" xfId="21253"/>
    <cellStyle name="Vérification 2 2 6 6 3 4 2" xfId="34394"/>
    <cellStyle name="Vérification 2 2 6 6 3 5" xfId="10941"/>
    <cellStyle name="Vérification 2 2 6 6 3 6" xfId="27164"/>
    <cellStyle name="Vérification 2 2 6 6 4" xfId="3418"/>
    <cellStyle name="Vérification 2 2 6 6 4 2" xfId="8385"/>
    <cellStyle name="Vérification 2 2 6 6 4 2 2" xfId="24609"/>
    <cellStyle name="Vérification 2 2 6 6 4 2 2 2" xfId="36616"/>
    <cellStyle name="Vérification 2 2 6 6 4 2 3" xfId="14392"/>
    <cellStyle name="Vérification 2 2 6 6 4 2 4" xfId="30613"/>
    <cellStyle name="Vérification 2 2 6 6 4 3" xfId="9922"/>
    <cellStyle name="Vérification 2 2 6 6 4 3 2" xfId="26146"/>
    <cellStyle name="Vérification 2 2 6 6 4 3 2 2" xfId="38153"/>
    <cellStyle name="Vérification 2 2 6 6 4 3 3" xfId="15929"/>
    <cellStyle name="Vérification 2 2 6 6 4 3 4" xfId="32150"/>
    <cellStyle name="Vérification 2 2 6 6 4 4" xfId="19646"/>
    <cellStyle name="Vérification 2 2 6 6 4 4 2" xfId="33760"/>
    <cellStyle name="Vérification 2 2 6 6 4 5" xfId="11940"/>
    <cellStyle name="Vérification 2 2 6 6 4 6" xfId="28161"/>
    <cellStyle name="Vérification 2 2 6 6 5" xfId="3800"/>
    <cellStyle name="Vérification 2 2 6 6 5 2" xfId="8640"/>
    <cellStyle name="Vérification 2 2 6 6 5 2 2" xfId="24864"/>
    <cellStyle name="Vérification 2 2 6 6 5 2 2 2" xfId="36871"/>
    <cellStyle name="Vérification 2 2 6 6 5 2 3" xfId="14647"/>
    <cellStyle name="Vérification 2 2 6 6 5 2 4" xfId="30868"/>
    <cellStyle name="Vérification 2 2 6 6 5 3" xfId="20028"/>
    <cellStyle name="Vérification 2 2 6 6 5 3 2" xfId="34142"/>
    <cellStyle name="Vérification 2 2 6 6 5 4" xfId="12195"/>
    <cellStyle name="Vérification 2 2 6 6 5 5" xfId="28416"/>
    <cellStyle name="Vérification 2 2 6 6 6" xfId="3178"/>
    <cellStyle name="Vérification 2 2 6 6 6 2" xfId="19406"/>
    <cellStyle name="Vérification 2 2 6 6 6 2 2" xfId="33520"/>
    <cellStyle name="Vérification 2 2 6 6 6 3" xfId="12280"/>
    <cellStyle name="Vérification 2 2 6 6 6 4" xfId="28501"/>
    <cellStyle name="Vérification 2 2 6 6 7" xfId="17569"/>
    <cellStyle name="Vérification 2 2 6 6 7 2" xfId="32817"/>
    <cellStyle name="Vérification 2 2 6 6 8" xfId="10589"/>
    <cellStyle name="Vérification 2 2 6 6 9" xfId="26814"/>
    <cellStyle name="Vérification 2 2 6 7" xfId="2501"/>
    <cellStyle name="Vérification 2 2 6 7 2" xfId="2920"/>
    <cellStyle name="Vérification 2 2 6 7 2 2" xfId="6608"/>
    <cellStyle name="Vérification 2 2 6 7 2 2 2" xfId="8989"/>
    <cellStyle name="Vérification 2 2 6 7 2 2 2 2" xfId="25213"/>
    <cellStyle name="Vérification 2 2 6 7 2 2 2 2 2" xfId="37220"/>
    <cellStyle name="Vérification 2 2 6 7 2 2 2 3" xfId="14996"/>
    <cellStyle name="Vérification 2 2 6 7 2 2 2 4" xfId="31217"/>
    <cellStyle name="Vérification 2 2 6 7 2 2 3" xfId="10367"/>
    <cellStyle name="Vérification 2 2 6 7 2 2 3 2" xfId="26591"/>
    <cellStyle name="Vérification 2 2 6 7 2 2 3 2 2" xfId="38598"/>
    <cellStyle name="Vérification 2 2 6 7 2 2 3 3" xfId="16374"/>
    <cellStyle name="Vérification 2 2 6 7 2 2 3 4" xfId="32595"/>
    <cellStyle name="Vérification 2 2 6 7 2 2 4" xfId="22832"/>
    <cellStyle name="Vérification 2 2 6 7 2 2 4 2" xfId="34839"/>
    <cellStyle name="Vérification 2 2 6 7 2 2 5" xfId="12693"/>
    <cellStyle name="Vérification 2 2 6 7 2 2 6" xfId="28914"/>
    <cellStyle name="Vérification 2 2 6 7 2 3" xfId="7656"/>
    <cellStyle name="Vérification 2 2 6 7 2 3 2" xfId="9700"/>
    <cellStyle name="Vérification 2 2 6 7 2 3 2 2" xfId="25924"/>
    <cellStyle name="Vérification 2 2 6 7 2 3 2 2 2" xfId="37931"/>
    <cellStyle name="Vérification 2 2 6 7 2 3 2 3" xfId="15707"/>
    <cellStyle name="Vérification 2 2 6 7 2 3 2 4" xfId="31928"/>
    <cellStyle name="Vérification 2 2 6 7 2 3 3" xfId="23880"/>
    <cellStyle name="Vérification 2 2 6 7 2 3 3 2" xfId="35887"/>
    <cellStyle name="Vérification 2 2 6 7 2 3 4" xfId="13404"/>
    <cellStyle name="Vérification 2 2 6 7 2 3 5" xfId="29625"/>
    <cellStyle name="Vérification 2 2 6 7 2 4" xfId="8033"/>
    <cellStyle name="Vérification 2 2 6 7 2 4 2" xfId="24257"/>
    <cellStyle name="Vérification 2 2 6 7 2 4 2 2" xfId="36264"/>
    <cellStyle name="Vérification 2 2 6 7 2 4 3" xfId="14040"/>
    <cellStyle name="Vérification 2 2 6 7 2 4 4" xfId="30261"/>
    <cellStyle name="Vérification 2 2 6 7 2 5" xfId="19148"/>
    <cellStyle name="Vérification 2 2 6 7 2 5 2" xfId="33262"/>
    <cellStyle name="Vérification 2 2 6 7 2 6" xfId="11389"/>
    <cellStyle name="Vérification 2 2 6 7 2 7" xfId="27610"/>
    <cellStyle name="Vérification 2 2 6 7 3" xfId="6191"/>
    <cellStyle name="Vérification 2 2 6 7 3 2" xfId="7315"/>
    <cellStyle name="Vérification 2 2 6 7 3 2 2" xfId="9367"/>
    <cellStyle name="Vérification 2 2 6 7 3 2 2 2" xfId="25591"/>
    <cellStyle name="Vérification 2 2 6 7 3 2 2 2 2" xfId="37598"/>
    <cellStyle name="Vérification 2 2 6 7 3 2 2 3" xfId="15374"/>
    <cellStyle name="Vérification 2 2 6 7 3 2 2 4" xfId="31595"/>
    <cellStyle name="Vérification 2 2 6 7 3 2 3" xfId="23539"/>
    <cellStyle name="Vérification 2 2 6 7 3 2 3 2" xfId="35546"/>
    <cellStyle name="Vérification 2 2 6 7 3 2 4" xfId="13071"/>
    <cellStyle name="Vérification 2 2 6 7 3 2 5" xfId="29292"/>
    <cellStyle name="Vérification 2 2 6 7 3 3" xfId="7700"/>
    <cellStyle name="Vérification 2 2 6 7 3 3 2" xfId="23924"/>
    <cellStyle name="Vérification 2 2 6 7 3 3 2 2" xfId="35931"/>
    <cellStyle name="Vérification 2 2 6 7 3 3 3" xfId="13707"/>
    <cellStyle name="Vérification 2 2 6 7 3 3 4" xfId="29928"/>
    <cellStyle name="Vérification 2 2 6 7 3 4" xfId="22415"/>
    <cellStyle name="Vérification 2 2 6 7 3 4 2" xfId="34506"/>
    <cellStyle name="Vérification 2 2 6 7 3 5" xfId="11055"/>
    <cellStyle name="Vérification 2 2 6 7 3 6" xfId="27276"/>
    <cellStyle name="Vérification 2 2 6 7 4" xfId="3807"/>
    <cellStyle name="Vérification 2 2 6 7 4 2" xfId="8645"/>
    <cellStyle name="Vérification 2 2 6 7 4 2 2" xfId="24869"/>
    <cellStyle name="Vérification 2 2 6 7 4 2 2 2" xfId="36876"/>
    <cellStyle name="Vérification 2 2 6 7 4 2 3" xfId="14652"/>
    <cellStyle name="Vérification 2 2 6 7 4 2 4" xfId="30873"/>
    <cellStyle name="Vérification 2 2 6 7 4 3" xfId="10034"/>
    <cellStyle name="Vérification 2 2 6 7 4 3 2" xfId="26258"/>
    <cellStyle name="Vérification 2 2 6 7 4 3 2 2" xfId="38265"/>
    <cellStyle name="Vérification 2 2 6 7 4 3 3" xfId="16041"/>
    <cellStyle name="Vérification 2 2 6 7 4 3 4" xfId="32262"/>
    <cellStyle name="Vérification 2 2 6 7 4 4" xfId="20035"/>
    <cellStyle name="Vérification 2 2 6 7 4 4 2" xfId="34149"/>
    <cellStyle name="Vérification 2 2 6 7 4 5" xfId="12200"/>
    <cellStyle name="Vérification 2 2 6 7 4 6" xfId="28421"/>
    <cellStyle name="Vérification 2 2 6 7 5" xfId="6678"/>
    <cellStyle name="Vérification 2 2 6 7 5 2" xfId="9033"/>
    <cellStyle name="Vérification 2 2 6 7 5 2 2" xfId="25257"/>
    <cellStyle name="Vérification 2 2 6 7 5 2 2 2" xfId="37264"/>
    <cellStyle name="Vérification 2 2 6 7 5 2 3" xfId="15040"/>
    <cellStyle name="Vérification 2 2 6 7 5 2 4" xfId="31261"/>
    <cellStyle name="Vérification 2 2 6 7 5 3" xfId="22902"/>
    <cellStyle name="Vérification 2 2 6 7 5 3 2" xfId="34909"/>
    <cellStyle name="Vérification 2 2 6 7 5 4" xfId="12737"/>
    <cellStyle name="Vérification 2 2 6 7 5 5" xfId="28958"/>
    <cellStyle name="Vérification 2 2 6 7 6" xfId="3032"/>
    <cellStyle name="Vérification 2 2 6 7 6 2" xfId="19260"/>
    <cellStyle name="Vérification 2 2 6 7 6 2 2" xfId="33374"/>
    <cellStyle name="Vérification 2 2 6 7 6 3" xfId="11599"/>
    <cellStyle name="Vérification 2 2 6 7 6 4" xfId="27820"/>
    <cellStyle name="Vérification 2 2 6 7 7" xfId="18731"/>
    <cellStyle name="Vérification 2 2 6 7 7 2" xfId="32929"/>
    <cellStyle name="Vérification 2 2 6 7 8" xfId="10703"/>
    <cellStyle name="Vérification 2 2 6 7 9" xfId="26926"/>
    <cellStyle name="Vérification 2 2 6 8" xfId="2608"/>
    <cellStyle name="Vérification 2 2 6 8 2" xfId="2941"/>
    <cellStyle name="Vérification 2 2 6 8 2 2" xfId="6629"/>
    <cellStyle name="Vérification 2 2 6 8 2 2 2" xfId="9010"/>
    <cellStyle name="Vérification 2 2 6 8 2 2 2 2" xfId="25234"/>
    <cellStyle name="Vérification 2 2 6 8 2 2 2 2 2" xfId="37241"/>
    <cellStyle name="Vérification 2 2 6 8 2 2 2 3" xfId="15017"/>
    <cellStyle name="Vérification 2 2 6 8 2 2 2 4" xfId="31238"/>
    <cellStyle name="Vérification 2 2 6 8 2 2 3" xfId="10388"/>
    <cellStyle name="Vérification 2 2 6 8 2 2 3 2" xfId="26612"/>
    <cellStyle name="Vérification 2 2 6 8 2 2 3 2 2" xfId="38619"/>
    <cellStyle name="Vérification 2 2 6 8 2 2 3 3" xfId="16395"/>
    <cellStyle name="Vérification 2 2 6 8 2 2 3 4" xfId="32616"/>
    <cellStyle name="Vérification 2 2 6 8 2 2 4" xfId="22853"/>
    <cellStyle name="Vérification 2 2 6 8 2 2 4 2" xfId="34860"/>
    <cellStyle name="Vérification 2 2 6 8 2 2 5" xfId="12714"/>
    <cellStyle name="Vérification 2 2 6 8 2 2 6" xfId="28935"/>
    <cellStyle name="Vérification 2 2 6 8 2 3" xfId="7677"/>
    <cellStyle name="Vérification 2 2 6 8 2 3 2" xfId="9721"/>
    <cellStyle name="Vérification 2 2 6 8 2 3 2 2" xfId="25945"/>
    <cellStyle name="Vérification 2 2 6 8 2 3 2 2 2" xfId="37952"/>
    <cellStyle name="Vérification 2 2 6 8 2 3 2 3" xfId="15728"/>
    <cellStyle name="Vérification 2 2 6 8 2 3 2 4" xfId="31949"/>
    <cellStyle name="Vérification 2 2 6 8 2 3 3" xfId="23901"/>
    <cellStyle name="Vérification 2 2 6 8 2 3 3 2" xfId="35908"/>
    <cellStyle name="Vérification 2 2 6 8 2 3 4" xfId="13425"/>
    <cellStyle name="Vérification 2 2 6 8 2 3 5" xfId="29646"/>
    <cellStyle name="Vérification 2 2 6 8 2 4" xfId="8054"/>
    <cellStyle name="Vérification 2 2 6 8 2 4 2" xfId="24278"/>
    <cellStyle name="Vérification 2 2 6 8 2 4 2 2" xfId="36285"/>
    <cellStyle name="Vérification 2 2 6 8 2 4 3" xfId="14061"/>
    <cellStyle name="Vérification 2 2 6 8 2 4 4" xfId="30282"/>
    <cellStyle name="Vérification 2 2 6 8 2 5" xfId="19169"/>
    <cellStyle name="Vérification 2 2 6 8 2 5 2" xfId="33283"/>
    <cellStyle name="Vérification 2 2 6 8 2 6" xfId="11410"/>
    <cellStyle name="Vérification 2 2 6 8 2 7" xfId="27631"/>
    <cellStyle name="Vérification 2 2 6 8 3" xfId="6296"/>
    <cellStyle name="Vérification 2 2 6 8 3 2" xfId="7344"/>
    <cellStyle name="Vérification 2 2 6 8 3 2 2" xfId="9388"/>
    <cellStyle name="Vérification 2 2 6 8 3 2 2 2" xfId="25612"/>
    <cellStyle name="Vérification 2 2 6 8 3 2 2 2 2" xfId="37619"/>
    <cellStyle name="Vérification 2 2 6 8 3 2 2 3" xfId="15395"/>
    <cellStyle name="Vérification 2 2 6 8 3 2 2 4" xfId="31616"/>
    <cellStyle name="Vérification 2 2 6 8 3 2 3" xfId="23568"/>
    <cellStyle name="Vérification 2 2 6 8 3 2 3 2" xfId="35575"/>
    <cellStyle name="Vérification 2 2 6 8 3 2 4" xfId="13092"/>
    <cellStyle name="Vérification 2 2 6 8 3 2 5" xfId="29313"/>
    <cellStyle name="Vérification 2 2 6 8 3 3" xfId="7721"/>
    <cellStyle name="Vérification 2 2 6 8 3 3 2" xfId="23945"/>
    <cellStyle name="Vérification 2 2 6 8 3 3 2 2" xfId="35952"/>
    <cellStyle name="Vérification 2 2 6 8 3 3 3" xfId="13728"/>
    <cellStyle name="Vérification 2 2 6 8 3 3 4" xfId="29949"/>
    <cellStyle name="Vérification 2 2 6 8 3 4" xfId="22520"/>
    <cellStyle name="Vérification 2 2 6 8 3 4 2" xfId="34527"/>
    <cellStyle name="Vérification 2 2 6 8 3 5" xfId="11077"/>
    <cellStyle name="Vérification 2 2 6 8 3 6" xfId="27298"/>
    <cellStyle name="Vérification 2 2 6 8 4" xfId="3851"/>
    <cellStyle name="Vérification 2 2 6 8 4 2" xfId="8677"/>
    <cellStyle name="Vérification 2 2 6 8 4 2 2" xfId="24901"/>
    <cellStyle name="Vérification 2 2 6 8 4 2 2 2" xfId="36908"/>
    <cellStyle name="Vérification 2 2 6 8 4 2 3" xfId="14684"/>
    <cellStyle name="Vérification 2 2 6 8 4 2 4" xfId="30905"/>
    <cellStyle name="Vérification 2 2 6 8 4 3" xfId="10055"/>
    <cellStyle name="Vérification 2 2 6 8 4 3 2" xfId="26279"/>
    <cellStyle name="Vérification 2 2 6 8 4 3 2 2" xfId="38286"/>
    <cellStyle name="Vérification 2 2 6 8 4 3 3" xfId="16062"/>
    <cellStyle name="Vérification 2 2 6 8 4 3 4" xfId="32283"/>
    <cellStyle name="Vérification 2 2 6 8 4 4" xfId="20079"/>
    <cellStyle name="Vérification 2 2 6 8 4 4 2" xfId="34193"/>
    <cellStyle name="Vérification 2 2 6 8 4 5" xfId="12232"/>
    <cellStyle name="Vérification 2 2 6 8 4 6" xfId="28453"/>
    <cellStyle name="Vérification 2 2 6 8 5" xfId="6708"/>
    <cellStyle name="Vérification 2 2 6 8 5 2" xfId="9054"/>
    <cellStyle name="Vérification 2 2 6 8 5 2 2" xfId="25278"/>
    <cellStyle name="Vérification 2 2 6 8 5 2 2 2" xfId="37285"/>
    <cellStyle name="Vérification 2 2 6 8 5 2 3" xfId="15061"/>
    <cellStyle name="Vérification 2 2 6 8 5 2 4" xfId="31282"/>
    <cellStyle name="Vérification 2 2 6 8 5 3" xfId="22932"/>
    <cellStyle name="Vérification 2 2 6 8 5 3 2" xfId="34939"/>
    <cellStyle name="Vérification 2 2 6 8 5 4" xfId="12758"/>
    <cellStyle name="Vérification 2 2 6 8 5 5" xfId="28979"/>
    <cellStyle name="Vérification 2 2 6 8 6" xfId="6666"/>
    <cellStyle name="Vérification 2 2 6 8 6 2" xfId="22890"/>
    <cellStyle name="Vérification 2 2 6 8 6 2 2" xfId="34897"/>
    <cellStyle name="Vérification 2 2 6 8 6 3" xfId="11575"/>
    <cellStyle name="Vérification 2 2 6 8 6 4" xfId="27796"/>
    <cellStyle name="Vérification 2 2 6 8 7" xfId="18836"/>
    <cellStyle name="Vérification 2 2 6 8 7 2" xfId="32950"/>
    <cellStyle name="Vérification 2 2 6 8 8" xfId="10724"/>
    <cellStyle name="Vérification 2 2 6 8 9" xfId="26947"/>
    <cellStyle name="Vérification 2 2 6 9" xfId="2630"/>
    <cellStyle name="Vérification 2 2 6 9 2" xfId="6318"/>
    <cellStyle name="Vérification 2 2 6 9 2 2" xfId="8699"/>
    <cellStyle name="Vérification 2 2 6 9 2 2 2" xfId="24923"/>
    <cellStyle name="Vérification 2 2 6 9 2 2 2 2" xfId="36930"/>
    <cellStyle name="Vérification 2 2 6 9 2 2 3" xfId="14706"/>
    <cellStyle name="Vérification 2 2 6 9 2 2 4" xfId="30927"/>
    <cellStyle name="Vérification 2 2 6 9 2 3" xfId="10077"/>
    <cellStyle name="Vérification 2 2 6 9 2 3 2" xfId="26301"/>
    <cellStyle name="Vérification 2 2 6 9 2 3 2 2" xfId="38308"/>
    <cellStyle name="Vérification 2 2 6 9 2 3 3" xfId="16084"/>
    <cellStyle name="Vérification 2 2 6 9 2 3 4" xfId="32305"/>
    <cellStyle name="Vérification 2 2 6 9 2 4" xfId="22542"/>
    <cellStyle name="Vérification 2 2 6 9 2 4 2" xfId="34549"/>
    <cellStyle name="Vérification 2 2 6 9 2 5" xfId="12403"/>
    <cellStyle name="Vérification 2 2 6 9 2 6" xfId="28624"/>
    <cellStyle name="Vérification 2 2 6 9 3" xfId="7366"/>
    <cellStyle name="Vérification 2 2 6 9 3 2" xfId="9410"/>
    <cellStyle name="Vérification 2 2 6 9 3 2 2" xfId="25634"/>
    <cellStyle name="Vérification 2 2 6 9 3 2 2 2" xfId="37641"/>
    <cellStyle name="Vérification 2 2 6 9 3 2 3" xfId="15417"/>
    <cellStyle name="Vérification 2 2 6 9 3 2 4" xfId="31638"/>
    <cellStyle name="Vérification 2 2 6 9 3 3" xfId="23590"/>
    <cellStyle name="Vérification 2 2 6 9 3 3 2" xfId="35597"/>
    <cellStyle name="Vérification 2 2 6 9 3 4" xfId="13114"/>
    <cellStyle name="Vérification 2 2 6 9 3 5" xfId="29335"/>
    <cellStyle name="Vérification 2 2 6 9 4" xfId="7743"/>
    <cellStyle name="Vérification 2 2 6 9 4 2" xfId="23967"/>
    <cellStyle name="Vérification 2 2 6 9 4 2 2" xfId="35974"/>
    <cellStyle name="Vérification 2 2 6 9 4 3" xfId="13750"/>
    <cellStyle name="Vérification 2 2 6 9 4 4" xfId="29971"/>
    <cellStyle name="Vérification 2 2 6 9 5" xfId="18858"/>
    <cellStyle name="Vérification 2 2 6 9 5 2" xfId="32972"/>
    <cellStyle name="Vérification 2 2 6 9 6" xfId="11099"/>
    <cellStyle name="Vérification 2 2 6 9 7" xfId="27320"/>
    <cellStyle name="Vérification 2 2 7" xfId="211"/>
    <cellStyle name="Vérification 2 2 7 10" xfId="3968"/>
    <cellStyle name="Vérification 2 2 7 10 2" xfId="6751"/>
    <cellStyle name="Vérification 2 2 7 10 2 2" xfId="9079"/>
    <cellStyle name="Vérification 2 2 7 10 2 2 2" xfId="25303"/>
    <cellStyle name="Vérification 2 2 7 10 2 2 2 2" xfId="37310"/>
    <cellStyle name="Vérification 2 2 7 10 2 2 3" xfId="15086"/>
    <cellStyle name="Vérification 2 2 7 10 2 2 4" xfId="31307"/>
    <cellStyle name="Vérification 2 2 7 10 2 3" xfId="22975"/>
    <cellStyle name="Vérification 2 2 7 10 2 3 2" xfId="34982"/>
    <cellStyle name="Vérification 2 2 7 10 2 4" xfId="12783"/>
    <cellStyle name="Vérification 2 2 7 10 2 5" xfId="29004"/>
    <cellStyle name="Vérification 2 2 7 10 3" xfId="6802"/>
    <cellStyle name="Vérification 2 2 7 10 3 2" xfId="23026"/>
    <cellStyle name="Vérification 2 2 7 10 3 2 2" xfId="35033"/>
    <cellStyle name="Vérification 2 2 7 10 3 3" xfId="11587"/>
    <cellStyle name="Vérification 2 2 7 10 3 4" xfId="27808"/>
    <cellStyle name="Vérification 2 2 7 10 4" xfId="20195"/>
    <cellStyle name="Vérification 2 2 7 10 4 2" xfId="34218"/>
    <cellStyle name="Vérification 2 2 7 10 5" xfId="10756"/>
    <cellStyle name="Vérification 2 2 7 10 6" xfId="26979"/>
    <cellStyle name="Vérification 2 2 7 11" xfId="3011"/>
    <cellStyle name="Vérification 2 2 7 11 2" xfId="8096"/>
    <cellStyle name="Vérification 2 2 7 11 2 2" xfId="24320"/>
    <cellStyle name="Vérification 2 2 7 11 2 2 2" xfId="36327"/>
    <cellStyle name="Vérification 2 2 7 11 2 3" xfId="14103"/>
    <cellStyle name="Vérification 2 2 7 11 2 4" xfId="30324"/>
    <cellStyle name="Vérification 2 2 7 11 3" xfId="9746"/>
    <cellStyle name="Vérification 2 2 7 11 3 2" xfId="25970"/>
    <cellStyle name="Vérification 2 2 7 11 3 2 2" xfId="37977"/>
    <cellStyle name="Vérification 2 2 7 11 3 3" xfId="15753"/>
    <cellStyle name="Vérification 2 2 7 11 3 4" xfId="31974"/>
    <cellStyle name="Vérification 2 2 7 11 4" xfId="19239"/>
    <cellStyle name="Vérification 2 2 7 11 4 2" xfId="33353"/>
    <cellStyle name="Vérification 2 2 7 11 5" xfId="11651"/>
    <cellStyle name="Vérification 2 2 7 11 6" xfId="27872"/>
    <cellStyle name="Vérification 2 2 7 12" xfId="3102"/>
    <cellStyle name="Vérification 2 2 7 12 2" xfId="8154"/>
    <cellStyle name="Vérification 2 2 7 12 2 2" xfId="24378"/>
    <cellStyle name="Vérification 2 2 7 12 2 2 2" xfId="36385"/>
    <cellStyle name="Vérification 2 2 7 12 2 3" xfId="14161"/>
    <cellStyle name="Vérification 2 2 7 12 2 4" xfId="30382"/>
    <cellStyle name="Vérification 2 2 7 12 3" xfId="19330"/>
    <cellStyle name="Vérification 2 2 7 12 3 2" xfId="33444"/>
    <cellStyle name="Vérification 2 2 7 12 4" xfId="11709"/>
    <cellStyle name="Vérification 2 2 7 12 5" xfId="27930"/>
    <cellStyle name="Vérification 2 2 7 13" xfId="2967"/>
    <cellStyle name="Vérification 2 2 7 13 2" xfId="19195"/>
    <cellStyle name="Vérification 2 2 7 13 2 2" xfId="33309"/>
    <cellStyle name="Vérification 2 2 7 13 3" xfId="13495"/>
    <cellStyle name="Vérification 2 2 7 13 4" xfId="29716"/>
    <cellStyle name="Vérification 2 2 7 14" xfId="16511"/>
    <cellStyle name="Vérification 2 2 7 14 2" xfId="32641"/>
    <cellStyle name="Vérification 2 2 7 15" xfId="10413"/>
    <cellStyle name="Vérification 2 2 7 16" xfId="26638"/>
    <cellStyle name="Vérification 2 2 7 2" xfId="417"/>
    <cellStyle name="Vérification 2 2 7 2 10" xfId="10436"/>
    <cellStyle name="Vérification 2 2 7 2 11" xfId="26661"/>
    <cellStyle name="Vérification 2 2 7 2 2" xfId="1355"/>
    <cellStyle name="Vérification 2 2 7 2 2 2" xfId="2833"/>
    <cellStyle name="Vérification 2 2 7 2 2 2 2" xfId="6521"/>
    <cellStyle name="Vérification 2 2 7 2 2 2 2 2" xfId="8902"/>
    <cellStyle name="Vérification 2 2 7 2 2 2 2 2 2" xfId="25126"/>
    <cellStyle name="Vérification 2 2 7 2 2 2 2 2 2 2" xfId="37133"/>
    <cellStyle name="Vérification 2 2 7 2 2 2 2 2 3" xfId="14909"/>
    <cellStyle name="Vérification 2 2 7 2 2 2 2 2 4" xfId="31130"/>
    <cellStyle name="Vérification 2 2 7 2 2 2 2 3" xfId="10280"/>
    <cellStyle name="Vérification 2 2 7 2 2 2 2 3 2" xfId="26504"/>
    <cellStyle name="Vérification 2 2 7 2 2 2 2 3 2 2" xfId="38511"/>
    <cellStyle name="Vérification 2 2 7 2 2 2 2 3 3" xfId="16287"/>
    <cellStyle name="Vérification 2 2 7 2 2 2 2 3 4" xfId="32508"/>
    <cellStyle name="Vérification 2 2 7 2 2 2 2 4" xfId="22745"/>
    <cellStyle name="Vérification 2 2 7 2 2 2 2 4 2" xfId="34752"/>
    <cellStyle name="Vérification 2 2 7 2 2 2 2 5" xfId="12606"/>
    <cellStyle name="Vérification 2 2 7 2 2 2 2 6" xfId="28827"/>
    <cellStyle name="Vérification 2 2 7 2 2 2 3" xfId="7569"/>
    <cellStyle name="Vérification 2 2 7 2 2 2 3 2" xfId="9613"/>
    <cellStyle name="Vérification 2 2 7 2 2 2 3 2 2" xfId="25837"/>
    <cellStyle name="Vérification 2 2 7 2 2 2 3 2 2 2" xfId="37844"/>
    <cellStyle name="Vérification 2 2 7 2 2 2 3 2 3" xfId="15620"/>
    <cellStyle name="Vérification 2 2 7 2 2 2 3 2 4" xfId="31841"/>
    <cellStyle name="Vérification 2 2 7 2 2 2 3 3" xfId="23793"/>
    <cellStyle name="Vérification 2 2 7 2 2 2 3 3 2" xfId="35800"/>
    <cellStyle name="Vérification 2 2 7 2 2 2 3 4" xfId="13317"/>
    <cellStyle name="Vérification 2 2 7 2 2 2 3 5" xfId="29538"/>
    <cellStyle name="Vérification 2 2 7 2 2 2 4" xfId="7946"/>
    <cellStyle name="Vérification 2 2 7 2 2 2 4 2" xfId="24170"/>
    <cellStyle name="Vérification 2 2 7 2 2 2 4 2 2" xfId="36177"/>
    <cellStyle name="Vérification 2 2 7 2 2 2 4 3" xfId="13953"/>
    <cellStyle name="Vérification 2 2 7 2 2 2 4 4" xfId="30174"/>
    <cellStyle name="Vérification 2 2 7 2 2 2 5" xfId="19061"/>
    <cellStyle name="Vérification 2 2 7 2 2 2 5 2" xfId="33175"/>
    <cellStyle name="Vérification 2 2 7 2 2 2 6" xfId="11302"/>
    <cellStyle name="Vérification 2 2 7 2 2 2 7" xfId="27523"/>
    <cellStyle name="Vérification 2 2 7 2 2 3" xfId="5052"/>
    <cellStyle name="Vérification 2 2 7 2 2 3 2" xfId="7079"/>
    <cellStyle name="Vérification 2 2 7 2 2 3 2 2" xfId="9280"/>
    <cellStyle name="Vérification 2 2 7 2 2 3 2 2 2" xfId="25504"/>
    <cellStyle name="Vérification 2 2 7 2 2 3 2 2 2 2" xfId="37511"/>
    <cellStyle name="Vérification 2 2 7 2 2 3 2 2 3" xfId="15287"/>
    <cellStyle name="Vérification 2 2 7 2 2 3 2 2 4" xfId="31508"/>
    <cellStyle name="Vérification 2 2 7 2 2 3 2 3" xfId="23303"/>
    <cellStyle name="Vérification 2 2 7 2 2 3 2 3 2" xfId="35310"/>
    <cellStyle name="Vérification 2 2 7 2 2 3 2 4" xfId="12984"/>
    <cellStyle name="Vérification 2 2 7 2 2 3 2 5" xfId="29205"/>
    <cellStyle name="Vérification 2 2 7 2 2 3 3" xfId="7169"/>
    <cellStyle name="Vérification 2 2 7 2 2 3 3 2" xfId="23393"/>
    <cellStyle name="Vérification 2 2 7 2 2 3 3 2 2" xfId="35400"/>
    <cellStyle name="Vérification 2 2 7 2 2 3 3 3" xfId="13553"/>
    <cellStyle name="Vérification 2 2 7 2 2 3 3 4" xfId="29774"/>
    <cellStyle name="Vérification 2 2 7 2 2 3 4" xfId="21278"/>
    <cellStyle name="Vérification 2 2 7 2 2 3 4 2" xfId="34419"/>
    <cellStyle name="Vérification 2 2 7 2 2 3 5" xfId="10966"/>
    <cellStyle name="Vérification 2 2 7 2 2 3 6" xfId="27189"/>
    <cellStyle name="Vérification 2 2 7 2 2 4" xfId="3443"/>
    <cellStyle name="Vérification 2 2 7 2 2 4 2" xfId="8410"/>
    <cellStyle name="Vérification 2 2 7 2 2 4 2 2" xfId="24634"/>
    <cellStyle name="Vérification 2 2 7 2 2 4 2 2 2" xfId="36641"/>
    <cellStyle name="Vérification 2 2 7 2 2 4 2 3" xfId="14417"/>
    <cellStyle name="Vérification 2 2 7 2 2 4 2 4" xfId="30638"/>
    <cellStyle name="Vérification 2 2 7 2 2 4 3" xfId="9947"/>
    <cellStyle name="Vérification 2 2 7 2 2 4 3 2" xfId="26171"/>
    <cellStyle name="Vérification 2 2 7 2 2 4 3 2 2" xfId="38178"/>
    <cellStyle name="Vérification 2 2 7 2 2 4 3 3" xfId="15954"/>
    <cellStyle name="Vérification 2 2 7 2 2 4 3 4" xfId="32175"/>
    <cellStyle name="Vérification 2 2 7 2 2 4 4" xfId="19671"/>
    <cellStyle name="Vérification 2 2 7 2 2 4 4 2" xfId="33785"/>
    <cellStyle name="Vérification 2 2 7 2 2 4 5" xfId="11965"/>
    <cellStyle name="Vérification 2 2 7 2 2 4 6" xfId="28186"/>
    <cellStyle name="Vérification 2 2 7 2 2 5" xfId="2987"/>
    <cellStyle name="Vérification 2 2 7 2 2 5 2" xfId="8078"/>
    <cellStyle name="Vérification 2 2 7 2 2 5 2 2" xfId="24302"/>
    <cellStyle name="Vérification 2 2 7 2 2 5 2 2 2" xfId="36309"/>
    <cellStyle name="Vérification 2 2 7 2 2 5 2 3" xfId="14085"/>
    <cellStyle name="Vérification 2 2 7 2 2 5 2 4" xfId="30306"/>
    <cellStyle name="Vérification 2 2 7 2 2 5 3" xfId="19215"/>
    <cellStyle name="Vérification 2 2 7 2 2 5 3 2" xfId="33329"/>
    <cellStyle name="Vérification 2 2 7 2 2 5 4" xfId="11633"/>
    <cellStyle name="Vérification 2 2 7 2 2 5 5" xfId="27854"/>
    <cellStyle name="Vérification 2 2 7 2 2 6" xfId="3040"/>
    <cellStyle name="Vérification 2 2 7 2 2 6 2" xfId="19268"/>
    <cellStyle name="Vérification 2 2 7 2 2 6 2 2" xfId="33382"/>
    <cellStyle name="Vérification 2 2 7 2 2 6 3" xfId="13479"/>
    <cellStyle name="Vérification 2 2 7 2 2 6 4" xfId="29700"/>
    <cellStyle name="Vérification 2 2 7 2 2 7" xfId="17594"/>
    <cellStyle name="Vérification 2 2 7 2 2 7 2" xfId="32842"/>
    <cellStyle name="Vérification 2 2 7 2 2 8" xfId="10614"/>
    <cellStyle name="Vérification 2 2 7 2 2 9" xfId="26839"/>
    <cellStyle name="Vérification 2 2 7 2 3" xfId="1032"/>
    <cellStyle name="Vérification 2 2 7 2 3 2" xfId="2744"/>
    <cellStyle name="Vérification 2 2 7 2 3 2 2" xfId="6432"/>
    <cellStyle name="Vérification 2 2 7 2 3 2 2 2" xfId="8813"/>
    <cellStyle name="Vérification 2 2 7 2 3 2 2 2 2" xfId="25037"/>
    <cellStyle name="Vérification 2 2 7 2 3 2 2 2 2 2" xfId="37044"/>
    <cellStyle name="Vérification 2 2 7 2 3 2 2 2 3" xfId="14820"/>
    <cellStyle name="Vérification 2 2 7 2 3 2 2 2 4" xfId="31041"/>
    <cellStyle name="Vérification 2 2 7 2 3 2 2 3" xfId="10191"/>
    <cellStyle name="Vérification 2 2 7 2 3 2 2 3 2" xfId="26415"/>
    <cellStyle name="Vérification 2 2 7 2 3 2 2 3 2 2" xfId="38422"/>
    <cellStyle name="Vérification 2 2 7 2 3 2 2 3 3" xfId="16198"/>
    <cellStyle name="Vérification 2 2 7 2 3 2 2 3 4" xfId="32419"/>
    <cellStyle name="Vérification 2 2 7 2 3 2 2 4" xfId="22656"/>
    <cellStyle name="Vérification 2 2 7 2 3 2 2 4 2" xfId="34663"/>
    <cellStyle name="Vérification 2 2 7 2 3 2 2 5" xfId="12517"/>
    <cellStyle name="Vérification 2 2 7 2 3 2 2 6" xfId="28738"/>
    <cellStyle name="Vérification 2 2 7 2 3 2 3" xfId="7480"/>
    <cellStyle name="Vérification 2 2 7 2 3 2 3 2" xfId="9524"/>
    <cellStyle name="Vérification 2 2 7 2 3 2 3 2 2" xfId="25748"/>
    <cellStyle name="Vérification 2 2 7 2 3 2 3 2 2 2" xfId="37755"/>
    <cellStyle name="Vérification 2 2 7 2 3 2 3 2 3" xfId="15531"/>
    <cellStyle name="Vérification 2 2 7 2 3 2 3 2 4" xfId="31752"/>
    <cellStyle name="Vérification 2 2 7 2 3 2 3 3" xfId="23704"/>
    <cellStyle name="Vérification 2 2 7 2 3 2 3 3 2" xfId="35711"/>
    <cellStyle name="Vérification 2 2 7 2 3 2 3 4" xfId="13228"/>
    <cellStyle name="Vérification 2 2 7 2 3 2 3 5" xfId="29449"/>
    <cellStyle name="Vérification 2 2 7 2 3 2 4" xfId="7857"/>
    <cellStyle name="Vérification 2 2 7 2 3 2 4 2" xfId="24081"/>
    <cellStyle name="Vérification 2 2 7 2 3 2 4 2 2" xfId="36088"/>
    <cellStyle name="Vérification 2 2 7 2 3 2 4 3" xfId="13864"/>
    <cellStyle name="Vérification 2 2 7 2 3 2 4 4" xfId="30085"/>
    <cellStyle name="Vérification 2 2 7 2 3 2 5" xfId="18972"/>
    <cellStyle name="Vérification 2 2 7 2 3 2 5 2" xfId="33086"/>
    <cellStyle name="Vérification 2 2 7 2 3 2 6" xfId="11213"/>
    <cellStyle name="Vérification 2 2 7 2 3 2 7" xfId="27434"/>
    <cellStyle name="Vérification 2 2 7 2 3 3" xfId="4729"/>
    <cellStyle name="Vérification 2 2 7 2 3 3 2" xfId="6963"/>
    <cellStyle name="Vérification 2 2 7 2 3 3 2 2" xfId="9191"/>
    <cellStyle name="Vérification 2 2 7 2 3 3 2 2 2" xfId="25415"/>
    <cellStyle name="Vérification 2 2 7 2 3 3 2 2 2 2" xfId="37422"/>
    <cellStyle name="Vérification 2 2 7 2 3 3 2 2 3" xfId="15198"/>
    <cellStyle name="Vérification 2 2 7 2 3 3 2 2 4" xfId="31419"/>
    <cellStyle name="Vérification 2 2 7 2 3 3 2 3" xfId="23187"/>
    <cellStyle name="Vérification 2 2 7 2 3 3 2 3 2" xfId="35194"/>
    <cellStyle name="Vérification 2 2 7 2 3 3 2 4" xfId="12895"/>
    <cellStyle name="Vérification 2 2 7 2 3 3 2 5" xfId="29116"/>
    <cellStyle name="Vérification 2 2 7 2 3 3 3" xfId="3149"/>
    <cellStyle name="Vérification 2 2 7 2 3 3 3 2" xfId="19377"/>
    <cellStyle name="Vérification 2 2 7 2 3 3 3 2 2" xfId="33491"/>
    <cellStyle name="Vérification 2 2 7 2 3 3 3 3" xfId="12288"/>
    <cellStyle name="Vérification 2 2 7 2 3 3 3 4" xfId="28509"/>
    <cellStyle name="Vérification 2 2 7 2 3 3 4" xfId="20955"/>
    <cellStyle name="Vérification 2 2 7 2 3 3 4 2" xfId="34330"/>
    <cellStyle name="Vérification 2 2 7 2 3 3 5" xfId="10877"/>
    <cellStyle name="Vérification 2 2 7 2 3 3 6" xfId="27100"/>
    <cellStyle name="Vérification 2 2 7 2 3 4" xfId="3298"/>
    <cellStyle name="Vérification 2 2 7 2 3 4 2" xfId="8287"/>
    <cellStyle name="Vérification 2 2 7 2 3 4 2 2" xfId="24511"/>
    <cellStyle name="Vérification 2 2 7 2 3 4 2 2 2" xfId="36518"/>
    <cellStyle name="Vérification 2 2 7 2 3 4 2 3" xfId="14294"/>
    <cellStyle name="Vérification 2 2 7 2 3 4 2 4" xfId="30515"/>
    <cellStyle name="Vérification 2 2 7 2 3 4 3" xfId="9858"/>
    <cellStyle name="Vérification 2 2 7 2 3 4 3 2" xfId="26082"/>
    <cellStyle name="Vérification 2 2 7 2 3 4 3 2 2" xfId="38089"/>
    <cellStyle name="Vérification 2 2 7 2 3 4 3 3" xfId="15865"/>
    <cellStyle name="Vérification 2 2 7 2 3 4 3 4" xfId="32086"/>
    <cellStyle name="Vérification 2 2 7 2 3 4 4" xfId="19526"/>
    <cellStyle name="Vérification 2 2 7 2 3 4 4 2" xfId="33640"/>
    <cellStyle name="Vérification 2 2 7 2 3 4 5" xfId="11842"/>
    <cellStyle name="Vérification 2 2 7 2 3 4 6" xfId="28063"/>
    <cellStyle name="Vérification 2 2 7 2 3 5" xfId="3541"/>
    <cellStyle name="Vérification 2 2 7 2 3 5 2" xfId="8501"/>
    <cellStyle name="Vérification 2 2 7 2 3 5 2 2" xfId="24725"/>
    <cellStyle name="Vérification 2 2 7 2 3 5 2 2 2" xfId="36732"/>
    <cellStyle name="Vérification 2 2 7 2 3 5 2 3" xfId="14508"/>
    <cellStyle name="Vérification 2 2 7 2 3 5 2 4" xfId="30729"/>
    <cellStyle name="Vérification 2 2 7 2 3 5 3" xfId="19769"/>
    <cellStyle name="Vérification 2 2 7 2 3 5 3 2" xfId="33883"/>
    <cellStyle name="Vérification 2 2 7 2 3 5 4" xfId="12056"/>
    <cellStyle name="Vérification 2 2 7 2 3 5 5" xfId="28277"/>
    <cellStyle name="Vérification 2 2 7 2 3 6" xfId="3600"/>
    <cellStyle name="Vérification 2 2 7 2 3 6 2" xfId="19828"/>
    <cellStyle name="Vérification 2 2 7 2 3 6 2 2" xfId="33942"/>
    <cellStyle name="Vérification 2 2 7 2 3 6 3" xfId="11484"/>
    <cellStyle name="Vérification 2 2 7 2 3 6 4" xfId="27705"/>
    <cellStyle name="Vérification 2 2 7 2 3 7" xfId="17271"/>
    <cellStyle name="Vérification 2 2 7 2 3 7 2" xfId="32753"/>
    <cellStyle name="Vérification 2 2 7 2 3 8" xfId="10525"/>
    <cellStyle name="Vérification 2 2 7 2 3 9" xfId="26750"/>
    <cellStyle name="Vérification 2 2 7 2 4" xfId="2655"/>
    <cellStyle name="Vérification 2 2 7 2 4 2" xfId="6343"/>
    <cellStyle name="Vérification 2 2 7 2 4 2 2" xfId="8724"/>
    <cellStyle name="Vérification 2 2 7 2 4 2 2 2" xfId="24948"/>
    <cellStyle name="Vérification 2 2 7 2 4 2 2 2 2" xfId="36955"/>
    <cellStyle name="Vérification 2 2 7 2 4 2 2 3" xfId="14731"/>
    <cellStyle name="Vérification 2 2 7 2 4 2 2 4" xfId="30952"/>
    <cellStyle name="Vérification 2 2 7 2 4 2 3" xfId="10102"/>
    <cellStyle name="Vérification 2 2 7 2 4 2 3 2" xfId="26326"/>
    <cellStyle name="Vérification 2 2 7 2 4 2 3 2 2" xfId="38333"/>
    <cellStyle name="Vérification 2 2 7 2 4 2 3 3" xfId="16109"/>
    <cellStyle name="Vérification 2 2 7 2 4 2 3 4" xfId="32330"/>
    <cellStyle name="Vérification 2 2 7 2 4 2 4" xfId="22567"/>
    <cellStyle name="Vérification 2 2 7 2 4 2 4 2" xfId="34574"/>
    <cellStyle name="Vérification 2 2 7 2 4 2 5" xfId="12428"/>
    <cellStyle name="Vérification 2 2 7 2 4 2 6" xfId="28649"/>
    <cellStyle name="Vérification 2 2 7 2 4 3" xfId="7391"/>
    <cellStyle name="Vérification 2 2 7 2 4 3 2" xfId="9435"/>
    <cellStyle name="Vérification 2 2 7 2 4 3 2 2" xfId="25659"/>
    <cellStyle name="Vérification 2 2 7 2 4 3 2 2 2" xfId="37666"/>
    <cellStyle name="Vérification 2 2 7 2 4 3 2 3" xfId="15442"/>
    <cellStyle name="Vérification 2 2 7 2 4 3 2 4" xfId="31663"/>
    <cellStyle name="Vérification 2 2 7 2 4 3 3" xfId="23615"/>
    <cellStyle name="Vérification 2 2 7 2 4 3 3 2" xfId="35622"/>
    <cellStyle name="Vérification 2 2 7 2 4 3 4" xfId="13139"/>
    <cellStyle name="Vérification 2 2 7 2 4 3 5" xfId="29360"/>
    <cellStyle name="Vérification 2 2 7 2 4 4" xfId="7768"/>
    <cellStyle name="Vérification 2 2 7 2 4 4 2" xfId="23992"/>
    <cellStyle name="Vérification 2 2 7 2 4 4 2 2" xfId="35999"/>
    <cellStyle name="Vérification 2 2 7 2 4 4 3" xfId="13775"/>
    <cellStyle name="Vérification 2 2 7 2 4 4 4" xfId="29996"/>
    <cellStyle name="Vérification 2 2 7 2 4 5" xfId="18883"/>
    <cellStyle name="Vérification 2 2 7 2 4 5 2" xfId="32997"/>
    <cellStyle name="Vérification 2 2 7 2 4 6" xfId="11124"/>
    <cellStyle name="Vérification 2 2 7 2 4 7" xfId="27345"/>
    <cellStyle name="Vérification 2 2 7 2 5" xfId="4154"/>
    <cellStyle name="Vérification 2 2 7 2 5 2" xfId="6798"/>
    <cellStyle name="Vérification 2 2 7 2 5 2 2" xfId="9102"/>
    <cellStyle name="Vérification 2 2 7 2 5 2 2 2" xfId="25326"/>
    <cellStyle name="Vérification 2 2 7 2 5 2 2 2 2" xfId="37333"/>
    <cellStyle name="Vérification 2 2 7 2 5 2 2 3" xfId="15109"/>
    <cellStyle name="Vérification 2 2 7 2 5 2 2 4" xfId="31330"/>
    <cellStyle name="Vérification 2 2 7 2 5 2 3" xfId="23022"/>
    <cellStyle name="Vérification 2 2 7 2 5 2 3 2" xfId="35029"/>
    <cellStyle name="Vérification 2 2 7 2 5 2 4" xfId="12806"/>
    <cellStyle name="Vérification 2 2 7 2 5 2 5" xfId="29027"/>
    <cellStyle name="Vérification 2 2 7 2 5 3" xfId="7215"/>
    <cellStyle name="Vérification 2 2 7 2 5 3 2" xfId="23439"/>
    <cellStyle name="Vérification 2 2 7 2 5 3 2 2" xfId="35446"/>
    <cellStyle name="Vérification 2 2 7 2 5 3 3" xfId="13599"/>
    <cellStyle name="Vérification 2 2 7 2 5 3 4" xfId="29820"/>
    <cellStyle name="Vérification 2 2 7 2 5 4" xfId="20380"/>
    <cellStyle name="Vérification 2 2 7 2 5 4 2" xfId="34241"/>
    <cellStyle name="Vérification 2 2 7 2 5 5" xfId="10781"/>
    <cellStyle name="Vérification 2 2 7 2 5 6" xfId="27004"/>
    <cellStyle name="Vérification 2 2 7 2 6" xfId="3076"/>
    <cellStyle name="Vérification 2 2 7 2 6 2" xfId="8138"/>
    <cellStyle name="Vérification 2 2 7 2 6 2 2" xfId="24362"/>
    <cellStyle name="Vérification 2 2 7 2 6 2 2 2" xfId="36369"/>
    <cellStyle name="Vérification 2 2 7 2 6 2 3" xfId="14145"/>
    <cellStyle name="Vérification 2 2 7 2 6 2 4" xfId="30366"/>
    <cellStyle name="Vérification 2 2 7 2 6 3" xfId="9769"/>
    <cellStyle name="Vérification 2 2 7 2 6 3 2" xfId="25993"/>
    <cellStyle name="Vérification 2 2 7 2 6 3 2 2" xfId="38000"/>
    <cellStyle name="Vérification 2 2 7 2 6 3 3" xfId="15776"/>
    <cellStyle name="Vérification 2 2 7 2 6 3 4" xfId="31997"/>
    <cellStyle name="Vérification 2 2 7 2 6 4" xfId="19304"/>
    <cellStyle name="Vérification 2 2 7 2 6 4 2" xfId="33418"/>
    <cellStyle name="Vérification 2 2 7 2 6 5" xfId="11693"/>
    <cellStyle name="Vérification 2 2 7 2 6 6" xfId="27914"/>
    <cellStyle name="Vérification 2 2 7 2 7" xfId="2976"/>
    <cellStyle name="Vérification 2 2 7 2 7 2" xfId="8071"/>
    <cellStyle name="Vérification 2 2 7 2 7 2 2" xfId="24295"/>
    <cellStyle name="Vérification 2 2 7 2 7 2 2 2" xfId="36302"/>
    <cellStyle name="Vérification 2 2 7 2 7 2 3" xfId="14078"/>
    <cellStyle name="Vérification 2 2 7 2 7 2 4" xfId="30299"/>
    <cellStyle name="Vérification 2 2 7 2 7 3" xfId="19204"/>
    <cellStyle name="Vérification 2 2 7 2 7 3 2" xfId="33318"/>
    <cellStyle name="Vérification 2 2 7 2 7 4" xfId="11626"/>
    <cellStyle name="Vérification 2 2 7 2 7 5" xfId="27847"/>
    <cellStyle name="Vérification 2 2 7 2 8" xfId="3581"/>
    <cellStyle name="Vérification 2 2 7 2 8 2" xfId="19809"/>
    <cellStyle name="Vérification 2 2 7 2 8 2 2" xfId="33923"/>
    <cellStyle name="Vérification 2 2 7 2 8 3" xfId="11620"/>
    <cellStyle name="Vérification 2 2 7 2 8 4" xfId="27841"/>
    <cellStyle name="Vérification 2 2 7 2 9" xfId="16696"/>
    <cellStyle name="Vérification 2 2 7 2 9 2" xfId="32664"/>
    <cellStyle name="Vérification 2 2 7 3" xfId="510"/>
    <cellStyle name="Vérification 2 2 7 3 10" xfId="10457"/>
    <cellStyle name="Vérification 2 2 7 3 11" xfId="26682"/>
    <cellStyle name="Vérification 2 2 7 3 2" xfId="1376"/>
    <cellStyle name="Vérification 2 2 7 3 2 2" xfId="2854"/>
    <cellStyle name="Vérification 2 2 7 3 2 2 2" xfId="6542"/>
    <cellStyle name="Vérification 2 2 7 3 2 2 2 2" xfId="8923"/>
    <cellStyle name="Vérification 2 2 7 3 2 2 2 2 2" xfId="25147"/>
    <cellStyle name="Vérification 2 2 7 3 2 2 2 2 2 2" xfId="37154"/>
    <cellStyle name="Vérification 2 2 7 3 2 2 2 2 3" xfId="14930"/>
    <cellStyle name="Vérification 2 2 7 3 2 2 2 2 4" xfId="31151"/>
    <cellStyle name="Vérification 2 2 7 3 2 2 2 3" xfId="10301"/>
    <cellStyle name="Vérification 2 2 7 3 2 2 2 3 2" xfId="26525"/>
    <cellStyle name="Vérification 2 2 7 3 2 2 2 3 2 2" xfId="38532"/>
    <cellStyle name="Vérification 2 2 7 3 2 2 2 3 3" xfId="16308"/>
    <cellStyle name="Vérification 2 2 7 3 2 2 2 3 4" xfId="32529"/>
    <cellStyle name="Vérification 2 2 7 3 2 2 2 4" xfId="22766"/>
    <cellStyle name="Vérification 2 2 7 3 2 2 2 4 2" xfId="34773"/>
    <cellStyle name="Vérification 2 2 7 3 2 2 2 5" xfId="12627"/>
    <cellStyle name="Vérification 2 2 7 3 2 2 2 6" xfId="28848"/>
    <cellStyle name="Vérification 2 2 7 3 2 2 3" xfId="7590"/>
    <cellStyle name="Vérification 2 2 7 3 2 2 3 2" xfId="9634"/>
    <cellStyle name="Vérification 2 2 7 3 2 2 3 2 2" xfId="25858"/>
    <cellStyle name="Vérification 2 2 7 3 2 2 3 2 2 2" xfId="37865"/>
    <cellStyle name="Vérification 2 2 7 3 2 2 3 2 3" xfId="15641"/>
    <cellStyle name="Vérification 2 2 7 3 2 2 3 2 4" xfId="31862"/>
    <cellStyle name="Vérification 2 2 7 3 2 2 3 3" xfId="23814"/>
    <cellStyle name="Vérification 2 2 7 3 2 2 3 3 2" xfId="35821"/>
    <cellStyle name="Vérification 2 2 7 3 2 2 3 4" xfId="13338"/>
    <cellStyle name="Vérification 2 2 7 3 2 2 3 5" xfId="29559"/>
    <cellStyle name="Vérification 2 2 7 3 2 2 4" xfId="7967"/>
    <cellStyle name="Vérification 2 2 7 3 2 2 4 2" xfId="24191"/>
    <cellStyle name="Vérification 2 2 7 3 2 2 4 2 2" xfId="36198"/>
    <cellStyle name="Vérification 2 2 7 3 2 2 4 3" xfId="13974"/>
    <cellStyle name="Vérification 2 2 7 3 2 2 4 4" xfId="30195"/>
    <cellStyle name="Vérification 2 2 7 3 2 2 5" xfId="19082"/>
    <cellStyle name="Vérification 2 2 7 3 2 2 5 2" xfId="33196"/>
    <cellStyle name="Vérification 2 2 7 3 2 2 6" xfId="11323"/>
    <cellStyle name="Vérification 2 2 7 3 2 2 7" xfId="27544"/>
    <cellStyle name="Vérification 2 2 7 3 2 3" xfId="5073"/>
    <cellStyle name="Vérification 2 2 7 3 2 3 2" xfId="7100"/>
    <cellStyle name="Vérification 2 2 7 3 2 3 2 2" xfId="9301"/>
    <cellStyle name="Vérification 2 2 7 3 2 3 2 2 2" xfId="25525"/>
    <cellStyle name="Vérification 2 2 7 3 2 3 2 2 2 2" xfId="37532"/>
    <cellStyle name="Vérification 2 2 7 3 2 3 2 2 3" xfId="15308"/>
    <cellStyle name="Vérification 2 2 7 3 2 3 2 2 4" xfId="31529"/>
    <cellStyle name="Vérification 2 2 7 3 2 3 2 3" xfId="23324"/>
    <cellStyle name="Vérification 2 2 7 3 2 3 2 3 2" xfId="35331"/>
    <cellStyle name="Vérification 2 2 7 3 2 3 2 4" xfId="13005"/>
    <cellStyle name="Vérification 2 2 7 3 2 3 2 5" xfId="29226"/>
    <cellStyle name="Vérification 2 2 7 3 2 3 3" xfId="2974"/>
    <cellStyle name="Vérification 2 2 7 3 2 3 3 2" xfId="19202"/>
    <cellStyle name="Vérification 2 2 7 3 2 3 3 2 2" xfId="33316"/>
    <cellStyle name="Vérification 2 2 7 3 2 3 3 3" xfId="13501"/>
    <cellStyle name="Vérification 2 2 7 3 2 3 3 4" xfId="29722"/>
    <cellStyle name="Vérification 2 2 7 3 2 3 4" xfId="21299"/>
    <cellStyle name="Vérification 2 2 7 3 2 3 4 2" xfId="34440"/>
    <cellStyle name="Vérification 2 2 7 3 2 3 5" xfId="10987"/>
    <cellStyle name="Vérification 2 2 7 3 2 3 6" xfId="27210"/>
    <cellStyle name="Vérification 2 2 7 3 2 4" xfId="3464"/>
    <cellStyle name="Vérification 2 2 7 3 2 4 2" xfId="8431"/>
    <cellStyle name="Vérification 2 2 7 3 2 4 2 2" xfId="24655"/>
    <cellStyle name="Vérification 2 2 7 3 2 4 2 2 2" xfId="36662"/>
    <cellStyle name="Vérification 2 2 7 3 2 4 2 3" xfId="14438"/>
    <cellStyle name="Vérification 2 2 7 3 2 4 2 4" xfId="30659"/>
    <cellStyle name="Vérification 2 2 7 3 2 4 3" xfId="9968"/>
    <cellStyle name="Vérification 2 2 7 3 2 4 3 2" xfId="26192"/>
    <cellStyle name="Vérification 2 2 7 3 2 4 3 2 2" xfId="38199"/>
    <cellStyle name="Vérification 2 2 7 3 2 4 3 3" xfId="15975"/>
    <cellStyle name="Vérification 2 2 7 3 2 4 3 4" xfId="32196"/>
    <cellStyle name="Vérification 2 2 7 3 2 4 4" xfId="19692"/>
    <cellStyle name="Vérification 2 2 7 3 2 4 4 2" xfId="33806"/>
    <cellStyle name="Vérification 2 2 7 3 2 4 5" xfId="11986"/>
    <cellStyle name="Vérification 2 2 7 3 2 4 6" xfId="28207"/>
    <cellStyle name="Vérification 2 2 7 3 2 5" xfId="3195"/>
    <cellStyle name="Vérification 2 2 7 3 2 5 2" xfId="8216"/>
    <cellStyle name="Vérification 2 2 7 3 2 5 2 2" xfId="24440"/>
    <cellStyle name="Vérification 2 2 7 3 2 5 2 2 2" xfId="36447"/>
    <cellStyle name="Vérification 2 2 7 3 2 5 2 3" xfId="14223"/>
    <cellStyle name="Vérification 2 2 7 3 2 5 2 4" xfId="30444"/>
    <cellStyle name="Vérification 2 2 7 3 2 5 3" xfId="19423"/>
    <cellStyle name="Vérification 2 2 7 3 2 5 3 2" xfId="33537"/>
    <cellStyle name="Vérification 2 2 7 3 2 5 4" xfId="11771"/>
    <cellStyle name="Vérification 2 2 7 3 2 5 5" xfId="27992"/>
    <cellStyle name="Vérification 2 2 7 3 2 6" xfId="7186"/>
    <cellStyle name="Vérification 2 2 7 3 2 6 2" xfId="23410"/>
    <cellStyle name="Vérification 2 2 7 3 2 6 2 2" xfId="35417"/>
    <cellStyle name="Vérification 2 2 7 3 2 6 3" xfId="13570"/>
    <cellStyle name="Vérification 2 2 7 3 2 6 4" xfId="29791"/>
    <cellStyle name="Vérification 2 2 7 3 2 7" xfId="17615"/>
    <cellStyle name="Vérification 2 2 7 3 2 7 2" xfId="32863"/>
    <cellStyle name="Vérification 2 2 7 3 2 8" xfId="10635"/>
    <cellStyle name="Vérification 2 2 7 3 2 9" xfId="26860"/>
    <cellStyle name="Vérification 2 2 7 3 3" xfId="1125"/>
    <cellStyle name="Vérification 2 2 7 3 3 2" xfId="2765"/>
    <cellStyle name="Vérification 2 2 7 3 3 2 2" xfId="6453"/>
    <cellStyle name="Vérification 2 2 7 3 3 2 2 2" xfId="8834"/>
    <cellStyle name="Vérification 2 2 7 3 3 2 2 2 2" xfId="25058"/>
    <cellStyle name="Vérification 2 2 7 3 3 2 2 2 2 2" xfId="37065"/>
    <cellStyle name="Vérification 2 2 7 3 3 2 2 2 3" xfId="14841"/>
    <cellStyle name="Vérification 2 2 7 3 3 2 2 2 4" xfId="31062"/>
    <cellStyle name="Vérification 2 2 7 3 3 2 2 3" xfId="10212"/>
    <cellStyle name="Vérification 2 2 7 3 3 2 2 3 2" xfId="26436"/>
    <cellStyle name="Vérification 2 2 7 3 3 2 2 3 2 2" xfId="38443"/>
    <cellStyle name="Vérification 2 2 7 3 3 2 2 3 3" xfId="16219"/>
    <cellStyle name="Vérification 2 2 7 3 3 2 2 3 4" xfId="32440"/>
    <cellStyle name="Vérification 2 2 7 3 3 2 2 4" xfId="22677"/>
    <cellStyle name="Vérification 2 2 7 3 3 2 2 4 2" xfId="34684"/>
    <cellStyle name="Vérification 2 2 7 3 3 2 2 5" xfId="12538"/>
    <cellStyle name="Vérification 2 2 7 3 3 2 2 6" xfId="28759"/>
    <cellStyle name="Vérification 2 2 7 3 3 2 3" xfId="7501"/>
    <cellStyle name="Vérification 2 2 7 3 3 2 3 2" xfId="9545"/>
    <cellStyle name="Vérification 2 2 7 3 3 2 3 2 2" xfId="25769"/>
    <cellStyle name="Vérification 2 2 7 3 3 2 3 2 2 2" xfId="37776"/>
    <cellStyle name="Vérification 2 2 7 3 3 2 3 2 3" xfId="15552"/>
    <cellStyle name="Vérification 2 2 7 3 3 2 3 2 4" xfId="31773"/>
    <cellStyle name="Vérification 2 2 7 3 3 2 3 3" xfId="23725"/>
    <cellStyle name="Vérification 2 2 7 3 3 2 3 3 2" xfId="35732"/>
    <cellStyle name="Vérification 2 2 7 3 3 2 3 4" xfId="13249"/>
    <cellStyle name="Vérification 2 2 7 3 3 2 3 5" xfId="29470"/>
    <cellStyle name="Vérification 2 2 7 3 3 2 4" xfId="7878"/>
    <cellStyle name="Vérification 2 2 7 3 3 2 4 2" xfId="24102"/>
    <cellStyle name="Vérification 2 2 7 3 3 2 4 2 2" xfId="36109"/>
    <cellStyle name="Vérification 2 2 7 3 3 2 4 3" xfId="13885"/>
    <cellStyle name="Vérification 2 2 7 3 3 2 4 4" xfId="30106"/>
    <cellStyle name="Vérification 2 2 7 3 3 2 5" xfId="18993"/>
    <cellStyle name="Vérification 2 2 7 3 3 2 5 2" xfId="33107"/>
    <cellStyle name="Vérification 2 2 7 3 3 2 6" xfId="11234"/>
    <cellStyle name="Vérification 2 2 7 3 3 2 7" xfId="27455"/>
    <cellStyle name="Vérification 2 2 7 3 3 3" xfId="4822"/>
    <cellStyle name="Vérification 2 2 7 3 3 3 2" xfId="6992"/>
    <cellStyle name="Vérification 2 2 7 3 3 3 2 2" xfId="9212"/>
    <cellStyle name="Vérification 2 2 7 3 3 3 2 2 2" xfId="25436"/>
    <cellStyle name="Vérification 2 2 7 3 3 3 2 2 2 2" xfId="37443"/>
    <cellStyle name="Vérification 2 2 7 3 3 3 2 2 3" xfId="15219"/>
    <cellStyle name="Vérification 2 2 7 3 3 3 2 2 4" xfId="31440"/>
    <cellStyle name="Vérification 2 2 7 3 3 3 2 3" xfId="23216"/>
    <cellStyle name="Vérification 2 2 7 3 3 3 2 3 2" xfId="35223"/>
    <cellStyle name="Vérification 2 2 7 3 3 3 2 4" xfId="12916"/>
    <cellStyle name="Vérification 2 2 7 3 3 3 2 5" xfId="29137"/>
    <cellStyle name="Vérification 2 2 7 3 3 3 3" xfId="7326"/>
    <cellStyle name="Vérification 2 2 7 3 3 3 3 2" xfId="23550"/>
    <cellStyle name="Vérification 2 2 7 3 3 3 3 2 2" xfId="35557"/>
    <cellStyle name="Vérification 2 2 7 3 3 3 3 3" xfId="13691"/>
    <cellStyle name="Vérification 2 2 7 3 3 3 3 4" xfId="29912"/>
    <cellStyle name="Vérification 2 2 7 3 3 3 4" xfId="21048"/>
    <cellStyle name="Vérification 2 2 7 3 3 3 4 2" xfId="34351"/>
    <cellStyle name="Vérification 2 2 7 3 3 3 5" xfId="10898"/>
    <cellStyle name="Vérification 2 2 7 3 3 3 6" xfId="27121"/>
    <cellStyle name="Vérification 2 2 7 3 3 4" xfId="3336"/>
    <cellStyle name="Vérification 2 2 7 3 3 4 2" xfId="8319"/>
    <cellStyle name="Vérification 2 2 7 3 3 4 2 2" xfId="24543"/>
    <cellStyle name="Vérification 2 2 7 3 3 4 2 2 2" xfId="36550"/>
    <cellStyle name="Vérification 2 2 7 3 3 4 2 3" xfId="14326"/>
    <cellStyle name="Vérification 2 2 7 3 3 4 2 4" xfId="30547"/>
    <cellStyle name="Vérification 2 2 7 3 3 4 3" xfId="9879"/>
    <cellStyle name="Vérification 2 2 7 3 3 4 3 2" xfId="26103"/>
    <cellStyle name="Vérification 2 2 7 3 3 4 3 2 2" xfId="38110"/>
    <cellStyle name="Vérification 2 2 7 3 3 4 3 3" xfId="15886"/>
    <cellStyle name="Vérification 2 2 7 3 3 4 3 4" xfId="32107"/>
    <cellStyle name="Vérification 2 2 7 3 3 4 4" xfId="19564"/>
    <cellStyle name="Vérification 2 2 7 3 3 4 4 2" xfId="33678"/>
    <cellStyle name="Vérification 2 2 7 3 3 4 5" xfId="11874"/>
    <cellStyle name="Vérification 2 2 7 3 3 4 6" xfId="28095"/>
    <cellStyle name="Vérification 2 2 7 3 3 5" xfId="3030"/>
    <cellStyle name="Vérification 2 2 7 3 3 5 2" xfId="8110"/>
    <cellStyle name="Vérification 2 2 7 3 3 5 2 2" xfId="24334"/>
    <cellStyle name="Vérification 2 2 7 3 3 5 2 2 2" xfId="36341"/>
    <cellStyle name="Vérification 2 2 7 3 3 5 2 3" xfId="14117"/>
    <cellStyle name="Vérification 2 2 7 3 3 5 2 4" xfId="30338"/>
    <cellStyle name="Vérification 2 2 7 3 3 5 3" xfId="19258"/>
    <cellStyle name="Vérification 2 2 7 3 3 5 3 2" xfId="33372"/>
    <cellStyle name="Vérification 2 2 7 3 3 5 4" xfId="11665"/>
    <cellStyle name="Vérification 2 2 7 3 3 5 5" xfId="27886"/>
    <cellStyle name="Vérification 2 2 7 3 3 6" xfId="7322"/>
    <cellStyle name="Vérification 2 2 7 3 3 6 2" xfId="23546"/>
    <cellStyle name="Vérification 2 2 7 3 3 6 2 2" xfId="35553"/>
    <cellStyle name="Vérification 2 2 7 3 3 6 3" xfId="13689"/>
    <cellStyle name="Vérification 2 2 7 3 3 6 4" xfId="29910"/>
    <cellStyle name="Vérification 2 2 7 3 3 7" xfId="17364"/>
    <cellStyle name="Vérification 2 2 7 3 3 7 2" xfId="32774"/>
    <cellStyle name="Vérification 2 2 7 3 3 8" xfId="10546"/>
    <cellStyle name="Vérification 2 2 7 3 3 9" xfId="26771"/>
    <cellStyle name="Vérification 2 2 7 3 4" xfId="2676"/>
    <cellStyle name="Vérification 2 2 7 3 4 2" xfId="6364"/>
    <cellStyle name="Vérification 2 2 7 3 4 2 2" xfId="8745"/>
    <cellStyle name="Vérification 2 2 7 3 4 2 2 2" xfId="24969"/>
    <cellStyle name="Vérification 2 2 7 3 4 2 2 2 2" xfId="36976"/>
    <cellStyle name="Vérification 2 2 7 3 4 2 2 3" xfId="14752"/>
    <cellStyle name="Vérification 2 2 7 3 4 2 2 4" xfId="30973"/>
    <cellStyle name="Vérification 2 2 7 3 4 2 3" xfId="10123"/>
    <cellStyle name="Vérification 2 2 7 3 4 2 3 2" xfId="26347"/>
    <cellStyle name="Vérification 2 2 7 3 4 2 3 2 2" xfId="38354"/>
    <cellStyle name="Vérification 2 2 7 3 4 2 3 3" xfId="16130"/>
    <cellStyle name="Vérification 2 2 7 3 4 2 3 4" xfId="32351"/>
    <cellStyle name="Vérification 2 2 7 3 4 2 4" xfId="22588"/>
    <cellStyle name="Vérification 2 2 7 3 4 2 4 2" xfId="34595"/>
    <cellStyle name="Vérification 2 2 7 3 4 2 5" xfId="12449"/>
    <cellStyle name="Vérification 2 2 7 3 4 2 6" xfId="28670"/>
    <cellStyle name="Vérification 2 2 7 3 4 3" xfId="7412"/>
    <cellStyle name="Vérification 2 2 7 3 4 3 2" xfId="9456"/>
    <cellStyle name="Vérification 2 2 7 3 4 3 2 2" xfId="25680"/>
    <cellStyle name="Vérification 2 2 7 3 4 3 2 2 2" xfId="37687"/>
    <cellStyle name="Vérification 2 2 7 3 4 3 2 3" xfId="15463"/>
    <cellStyle name="Vérification 2 2 7 3 4 3 2 4" xfId="31684"/>
    <cellStyle name="Vérification 2 2 7 3 4 3 3" xfId="23636"/>
    <cellStyle name="Vérification 2 2 7 3 4 3 3 2" xfId="35643"/>
    <cellStyle name="Vérification 2 2 7 3 4 3 4" xfId="13160"/>
    <cellStyle name="Vérification 2 2 7 3 4 3 5" xfId="29381"/>
    <cellStyle name="Vérification 2 2 7 3 4 4" xfId="7789"/>
    <cellStyle name="Vérification 2 2 7 3 4 4 2" xfId="24013"/>
    <cellStyle name="Vérification 2 2 7 3 4 4 2 2" xfId="36020"/>
    <cellStyle name="Vérification 2 2 7 3 4 4 3" xfId="13796"/>
    <cellStyle name="Vérification 2 2 7 3 4 4 4" xfId="30017"/>
    <cellStyle name="Vérification 2 2 7 3 4 5" xfId="18904"/>
    <cellStyle name="Vérification 2 2 7 3 4 5 2" xfId="33018"/>
    <cellStyle name="Vérification 2 2 7 3 4 6" xfId="11145"/>
    <cellStyle name="Vérification 2 2 7 3 4 7" xfId="27366"/>
    <cellStyle name="Vérification 2 2 7 3 5" xfId="4247"/>
    <cellStyle name="Vérification 2 2 7 3 5 2" xfId="6827"/>
    <cellStyle name="Vérification 2 2 7 3 5 2 2" xfId="9123"/>
    <cellStyle name="Vérification 2 2 7 3 5 2 2 2" xfId="25347"/>
    <cellStyle name="Vérification 2 2 7 3 5 2 2 2 2" xfId="37354"/>
    <cellStyle name="Vérification 2 2 7 3 5 2 2 3" xfId="15130"/>
    <cellStyle name="Vérification 2 2 7 3 5 2 2 4" xfId="31351"/>
    <cellStyle name="Vérification 2 2 7 3 5 2 3" xfId="23051"/>
    <cellStyle name="Vérification 2 2 7 3 5 2 3 2" xfId="35058"/>
    <cellStyle name="Vérification 2 2 7 3 5 2 4" xfId="12827"/>
    <cellStyle name="Vérification 2 2 7 3 5 2 5" xfId="29048"/>
    <cellStyle name="Vérification 2 2 7 3 5 3" xfId="3636"/>
    <cellStyle name="Vérification 2 2 7 3 5 3 2" xfId="19864"/>
    <cellStyle name="Vérification 2 2 7 3 5 3 2 2" xfId="33978"/>
    <cellStyle name="Vérification 2 2 7 3 5 3 3" xfId="13440"/>
    <cellStyle name="Vérification 2 2 7 3 5 3 4" xfId="29661"/>
    <cellStyle name="Vérification 2 2 7 3 5 4" xfId="20473"/>
    <cellStyle name="Vérification 2 2 7 3 5 4 2" xfId="34262"/>
    <cellStyle name="Vérification 2 2 7 3 5 5" xfId="10802"/>
    <cellStyle name="Vérification 2 2 7 3 5 6" xfId="27025"/>
    <cellStyle name="Vérification 2 2 7 3 6" xfId="3115"/>
    <cellStyle name="Vérification 2 2 7 3 6 2" xfId="8167"/>
    <cellStyle name="Vérification 2 2 7 3 6 2 2" xfId="24391"/>
    <cellStyle name="Vérification 2 2 7 3 6 2 2 2" xfId="36398"/>
    <cellStyle name="Vérification 2 2 7 3 6 2 3" xfId="14174"/>
    <cellStyle name="Vérification 2 2 7 3 6 2 4" xfId="30395"/>
    <cellStyle name="Vérification 2 2 7 3 6 3" xfId="9790"/>
    <cellStyle name="Vérification 2 2 7 3 6 3 2" xfId="26014"/>
    <cellStyle name="Vérification 2 2 7 3 6 3 2 2" xfId="38021"/>
    <cellStyle name="Vérification 2 2 7 3 6 3 3" xfId="15797"/>
    <cellStyle name="Vérification 2 2 7 3 6 3 4" xfId="32018"/>
    <cellStyle name="Vérification 2 2 7 3 6 4" xfId="19343"/>
    <cellStyle name="Vérification 2 2 7 3 6 4 2" xfId="33457"/>
    <cellStyle name="Vérification 2 2 7 3 6 5" xfId="11722"/>
    <cellStyle name="Vérification 2 2 7 3 6 6" xfId="27943"/>
    <cellStyle name="Vérification 2 2 7 3 7" xfId="3324"/>
    <cellStyle name="Vérification 2 2 7 3 7 2" xfId="8307"/>
    <cellStyle name="Vérification 2 2 7 3 7 2 2" xfId="24531"/>
    <cellStyle name="Vérification 2 2 7 3 7 2 2 2" xfId="36538"/>
    <cellStyle name="Vérification 2 2 7 3 7 2 3" xfId="14314"/>
    <cellStyle name="Vérification 2 2 7 3 7 2 4" xfId="30535"/>
    <cellStyle name="Vérification 2 2 7 3 7 3" xfId="19552"/>
    <cellStyle name="Vérification 2 2 7 3 7 3 2" xfId="33666"/>
    <cellStyle name="Vérification 2 2 7 3 7 4" xfId="11862"/>
    <cellStyle name="Vérification 2 2 7 3 7 5" xfId="28083"/>
    <cellStyle name="Vérification 2 2 7 3 8" xfId="7003"/>
    <cellStyle name="Vérification 2 2 7 3 8 2" xfId="23227"/>
    <cellStyle name="Vérification 2 2 7 3 8 2 2" xfId="35234"/>
    <cellStyle name="Vérification 2 2 7 3 8 3" xfId="12308"/>
    <cellStyle name="Vérification 2 2 7 3 8 4" xfId="28529"/>
    <cellStyle name="Vérification 2 2 7 3 9" xfId="16789"/>
    <cellStyle name="Vérification 2 2 7 3 9 2" xfId="32685"/>
    <cellStyle name="Vérification 2 2 7 4" xfId="641"/>
    <cellStyle name="Vérification 2 2 7 4 10" xfId="10480"/>
    <cellStyle name="Vérification 2 2 7 4 11" xfId="26705"/>
    <cellStyle name="Vérification 2 2 7 4 2" xfId="1399"/>
    <cellStyle name="Vérification 2 2 7 4 2 2" xfId="2877"/>
    <cellStyle name="Vérification 2 2 7 4 2 2 2" xfId="6565"/>
    <cellStyle name="Vérification 2 2 7 4 2 2 2 2" xfId="8946"/>
    <cellStyle name="Vérification 2 2 7 4 2 2 2 2 2" xfId="25170"/>
    <cellStyle name="Vérification 2 2 7 4 2 2 2 2 2 2" xfId="37177"/>
    <cellStyle name="Vérification 2 2 7 4 2 2 2 2 3" xfId="14953"/>
    <cellStyle name="Vérification 2 2 7 4 2 2 2 2 4" xfId="31174"/>
    <cellStyle name="Vérification 2 2 7 4 2 2 2 3" xfId="10324"/>
    <cellStyle name="Vérification 2 2 7 4 2 2 2 3 2" xfId="26548"/>
    <cellStyle name="Vérification 2 2 7 4 2 2 2 3 2 2" xfId="38555"/>
    <cellStyle name="Vérification 2 2 7 4 2 2 2 3 3" xfId="16331"/>
    <cellStyle name="Vérification 2 2 7 4 2 2 2 3 4" xfId="32552"/>
    <cellStyle name="Vérification 2 2 7 4 2 2 2 4" xfId="22789"/>
    <cellStyle name="Vérification 2 2 7 4 2 2 2 4 2" xfId="34796"/>
    <cellStyle name="Vérification 2 2 7 4 2 2 2 5" xfId="12650"/>
    <cellStyle name="Vérification 2 2 7 4 2 2 2 6" xfId="28871"/>
    <cellStyle name="Vérification 2 2 7 4 2 2 3" xfId="7613"/>
    <cellStyle name="Vérification 2 2 7 4 2 2 3 2" xfId="9657"/>
    <cellStyle name="Vérification 2 2 7 4 2 2 3 2 2" xfId="25881"/>
    <cellStyle name="Vérification 2 2 7 4 2 2 3 2 2 2" xfId="37888"/>
    <cellStyle name="Vérification 2 2 7 4 2 2 3 2 3" xfId="15664"/>
    <cellStyle name="Vérification 2 2 7 4 2 2 3 2 4" xfId="31885"/>
    <cellStyle name="Vérification 2 2 7 4 2 2 3 3" xfId="23837"/>
    <cellStyle name="Vérification 2 2 7 4 2 2 3 3 2" xfId="35844"/>
    <cellStyle name="Vérification 2 2 7 4 2 2 3 4" xfId="13361"/>
    <cellStyle name="Vérification 2 2 7 4 2 2 3 5" xfId="29582"/>
    <cellStyle name="Vérification 2 2 7 4 2 2 4" xfId="7990"/>
    <cellStyle name="Vérification 2 2 7 4 2 2 4 2" xfId="24214"/>
    <cellStyle name="Vérification 2 2 7 4 2 2 4 2 2" xfId="36221"/>
    <cellStyle name="Vérification 2 2 7 4 2 2 4 3" xfId="13997"/>
    <cellStyle name="Vérification 2 2 7 4 2 2 4 4" xfId="30218"/>
    <cellStyle name="Vérification 2 2 7 4 2 2 5" xfId="19105"/>
    <cellStyle name="Vérification 2 2 7 4 2 2 5 2" xfId="33219"/>
    <cellStyle name="Vérification 2 2 7 4 2 2 6" xfId="11346"/>
    <cellStyle name="Vérification 2 2 7 4 2 2 7" xfId="27567"/>
    <cellStyle name="Vérification 2 2 7 4 2 3" xfId="5096"/>
    <cellStyle name="Vérification 2 2 7 4 2 3 2" xfId="7123"/>
    <cellStyle name="Vérification 2 2 7 4 2 3 2 2" xfId="9324"/>
    <cellStyle name="Vérification 2 2 7 4 2 3 2 2 2" xfId="25548"/>
    <cellStyle name="Vérification 2 2 7 4 2 3 2 2 2 2" xfId="37555"/>
    <cellStyle name="Vérification 2 2 7 4 2 3 2 2 3" xfId="15331"/>
    <cellStyle name="Vérification 2 2 7 4 2 3 2 2 4" xfId="31552"/>
    <cellStyle name="Vérification 2 2 7 4 2 3 2 3" xfId="23347"/>
    <cellStyle name="Vérification 2 2 7 4 2 3 2 3 2" xfId="35354"/>
    <cellStyle name="Vérification 2 2 7 4 2 3 2 4" xfId="13028"/>
    <cellStyle name="Vérification 2 2 7 4 2 3 2 5" xfId="29249"/>
    <cellStyle name="Vérification 2 2 7 4 2 3 3" xfId="7253"/>
    <cellStyle name="Vérification 2 2 7 4 2 3 3 2" xfId="23477"/>
    <cellStyle name="Vérification 2 2 7 4 2 3 3 2 2" xfId="35484"/>
    <cellStyle name="Vérification 2 2 7 4 2 3 3 3" xfId="13637"/>
    <cellStyle name="Vérification 2 2 7 4 2 3 3 4" xfId="29858"/>
    <cellStyle name="Vérification 2 2 7 4 2 3 4" xfId="21322"/>
    <cellStyle name="Vérification 2 2 7 4 2 3 4 2" xfId="34463"/>
    <cellStyle name="Vérification 2 2 7 4 2 3 5" xfId="11010"/>
    <cellStyle name="Vérification 2 2 7 4 2 3 6" xfId="27233"/>
    <cellStyle name="Vérification 2 2 7 4 2 4" xfId="3487"/>
    <cellStyle name="Vérification 2 2 7 4 2 4 2" xfId="8454"/>
    <cellStyle name="Vérification 2 2 7 4 2 4 2 2" xfId="24678"/>
    <cellStyle name="Vérification 2 2 7 4 2 4 2 2 2" xfId="36685"/>
    <cellStyle name="Vérification 2 2 7 4 2 4 2 3" xfId="14461"/>
    <cellStyle name="Vérification 2 2 7 4 2 4 2 4" xfId="30682"/>
    <cellStyle name="Vérification 2 2 7 4 2 4 3" xfId="9991"/>
    <cellStyle name="Vérification 2 2 7 4 2 4 3 2" xfId="26215"/>
    <cellStyle name="Vérification 2 2 7 4 2 4 3 2 2" xfId="38222"/>
    <cellStyle name="Vérification 2 2 7 4 2 4 3 3" xfId="15998"/>
    <cellStyle name="Vérification 2 2 7 4 2 4 3 4" xfId="32219"/>
    <cellStyle name="Vérification 2 2 7 4 2 4 4" xfId="19715"/>
    <cellStyle name="Vérification 2 2 7 4 2 4 4 2" xfId="33829"/>
    <cellStyle name="Vérification 2 2 7 4 2 4 5" xfId="12009"/>
    <cellStyle name="Vérification 2 2 7 4 2 4 6" xfId="28230"/>
    <cellStyle name="Vérification 2 2 7 4 2 5" xfId="3621"/>
    <cellStyle name="Vérification 2 2 7 4 2 5 2" xfId="8543"/>
    <cellStyle name="Vérification 2 2 7 4 2 5 2 2" xfId="24767"/>
    <cellStyle name="Vérification 2 2 7 4 2 5 2 2 2" xfId="36774"/>
    <cellStyle name="Vérification 2 2 7 4 2 5 2 3" xfId="14550"/>
    <cellStyle name="Vérification 2 2 7 4 2 5 2 4" xfId="30771"/>
    <cellStyle name="Vérification 2 2 7 4 2 5 3" xfId="19849"/>
    <cellStyle name="Vérification 2 2 7 4 2 5 3 2" xfId="33963"/>
    <cellStyle name="Vérification 2 2 7 4 2 5 4" xfId="12098"/>
    <cellStyle name="Vérification 2 2 7 4 2 5 5" xfId="28319"/>
    <cellStyle name="Vérification 2 2 7 4 2 6" xfId="3527"/>
    <cellStyle name="Vérification 2 2 7 4 2 6 2" xfId="19755"/>
    <cellStyle name="Vérification 2 2 7 4 2 6 2 2" xfId="33869"/>
    <cellStyle name="Vérification 2 2 7 4 2 6 3" xfId="12254"/>
    <cellStyle name="Vérification 2 2 7 4 2 6 4" xfId="28475"/>
    <cellStyle name="Vérification 2 2 7 4 2 7" xfId="17638"/>
    <cellStyle name="Vérification 2 2 7 4 2 7 2" xfId="32886"/>
    <cellStyle name="Vérification 2 2 7 4 2 8" xfId="10658"/>
    <cellStyle name="Vérification 2 2 7 4 2 9" xfId="26883"/>
    <cellStyle name="Vérification 2 2 7 4 3" xfId="1238"/>
    <cellStyle name="Vérification 2 2 7 4 3 2" xfId="2788"/>
    <cellStyle name="Vérification 2 2 7 4 3 2 2" xfId="6476"/>
    <cellStyle name="Vérification 2 2 7 4 3 2 2 2" xfId="8857"/>
    <cellStyle name="Vérification 2 2 7 4 3 2 2 2 2" xfId="25081"/>
    <cellStyle name="Vérification 2 2 7 4 3 2 2 2 2 2" xfId="37088"/>
    <cellStyle name="Vérification 2 2 7 4 3 2 2 2 3" xfId="14864"/>
    <cellStyle name="Vérification 2 2 7 4 3 2 2 2 4" xfId="31085"/>
    <cellStyle name="Vérification 2 2 7 4 3 2 2 3" xfId="10235"/>
    <cellStyle name="Vérification 2 2 7 4 3 2 2 3 2" xfId="26459"/>
    <cellStyle name="Vérification 2 2 7 4 3 2 2 3 2 2" xfId="38466"/>
    <cellStyle name="Vérification 2 2 7 4 3 2 2 3 3" xfId="16242"/>
    <cellStyle name="Vérification 2 2 7 4 3 2 2 3 4" xfId="32463"/>
    <cellStyle name="Vérification 2 2 7 4 3 2 2 4" xfId="22700"/>
    <cellStyle name="Vérification 2 2 7 4 3 2 2 4 2" xfId="34707"/>
    <cellStyle name="Vérification 2 2 7 4 3 2 2 5" xfId="12561"/>
    <cellStyle name="Vérification 2 2 7 4 3 2 2 6" xfId="28782"/>
    <cellStyle name="Vérification 2 2 7 4 3 2 3" xfId="7524"/>
    <cellStyle name="Vérification 2 2 7 4 3 2 3 2" xfId="9568"/>
    <cellStyle name="Vérification 2 2 7 4 3 2 3 2 2" xfId="25792"/>
    <cellStyle name="Vérification 2 2 7 4 3 2 3 2 2 2" xfId="37799"/>
    <cellStyle name="Vérification 2 2 7 4 3 2 3 2 3" xfId="15575"/>
    <cellStyle name="Vérification 2 2 7 4 3 2 3 2 4" xfId="31796"/>
    <cellStyle name="Vérification 2 2 7 4 3 2 3 3" xfId="23748"/>
    <cellStyle name="Vérification 2 2 7 4 3 2 3 3 2" xfId="35755"/>
    <cellStyle name="Vérification 2 2 7 4 3 2 3 4" xfId="13272"/>
    <cellStyle name="Vérification 2 2 7 4 3 2 3 5" xfId="29493"/>
    <cellStyle name="Vérification 2 2 7 4 3 2 4" xfId="7901"/>
    <cellStyle name="Vérification 2 2 7 4 3 2 4 2" xfId="24125"/>
    <cellStyle name="Vérification 2 2 7 4 3 2 4 2 2" xfId="36132"/>
    <cellStyle name="Vérification 2 2 7 4 3 2 4 3" xfId="13908"/>
    <cellStyle name="Vérification 2 2 7 4 3 2 4 4" xfId="30129"/>
    <cellStyle name="Vérification 2 2 7 4 3 2 5" xfId="19016"/>
    <cellStyle name="Vérification 2 2 7 4 3 2 5 2" xfId="33130"/>
    <cellStyle name="Vérification 2 2 7 4 3 2 6" xfId="11257"/>
    <cellStyle name="Vérification 2 2 7 4 3 2 7" xfId="27478"/>
    <cellStyle name="Vérification 2 2 7 4 3 3" xfId="4935"/>
    <cellStyle name="Vérification 2 2 7 4 3 3 2" xfId="7027"/>
    <cellStyle name="Vérification 2 2 7 4 3 3 2 2" xfId="9235"/>
    <cellStyle name="Vérification 2 2 7 4 3 3 2 2 2" xfId="25459"/>
    <cellStyle name="Vérification 2 2 7 4 3 3 2 2 2 2" xfId="37466"/>
    <cellStyle name="Vérification 2 2 7 4 3 3 2 2 3" xfId="15242"/>
    <cellStyle name="Vérification 2 2 7 4 3 3 2 2 4" xfId="31463"/>
    <cellStyle name="Vérification 2 2 7 4 3 3 2 3" xfId="23251"/>
    <cellStyle name="Vérification 2 2 7 4 3 3 2 3 2" xfId="35258"/>
    <cellStyle name="Vérification 2 2 7 4 3 3 2 4" xfId="12939"/>
    <cellStyle name="Vérification 2 2 7 4 3 3 2 5" xfId="29160"/>
    <cellStyle name="Vérification 2 2 7 4 3 3 3" xfId="7207"/>
    <cellStyle name="Vérification 2 2 7 4 3 3 3 2" xfId="23431"/>
    <cellStyle name="Vérification 2 2 7 4 3 3 3 2 2" xfId="35438"/>
    <cellStyle name="Vérification 2 2 7 4 3 3 3 3" xfId="13591"/>
    <cellStyle name="Vérification 2 2 7 4 3 3 3 4" xfId="29812"/>
    <cellStyle name="Vérification 2 2 7 4 3 3 4" xfId="21161"/>
    <cellStyle name="Vérification 2 2 7 4 3 3 4 2" xfId="34374"/>
    <cellStyle name="Vérification 2 2 7 4 3 3 5" xfId="10921"/>
    <cellStyle name="Vérification 2 2 7 4 3 3 6" xfId="27144"/>
    <cellStyle name="Vérification 2 2 7 4 3 4" xfId="3380"/>
    <cellStyle name="Vérification 2 2 7 4 3 4 2" xfId="8356"/>
    <cellStyle name="Vérification 2 2 7 4 3 4 2 2" xfId="24580"/>
    <cellStyle name="Vérification 2 2 7 4 3 4 2 2 2" xfId="36587"/>
    <cellStyle name="Vérification 2 2 7 4 3 4 2 3" xfId="14363"/>
    <cellStyle name="Vérification 2 2 7 4 3 4 2 4" xfId="30584"/>
    <cellStyle name="Vérification 2 2 7 4 3 4 3" xfId="9902"/>
    <cellStyle name="Vérification 2 2 7 4 3 4 3 2" xfId="26126"/>
    <cellStyle name="Vérification 2 2 7 4 3 4 3 2 2" xfId="38133"/>
    <cellStyle name="Vérification 2 2 7 4 3 4 3 3" xfId="15909"/>
    <cellStyle name="Vérification 2 2 7 4 3 4 3 4" xfId="32130"/>
    <cellStyle name="Vérification 2 2 7 4 3 4 4" xfId="19608"/>
    <cellStyle name="Vérification 2 2 7 4 3 4 4 2" xfId="33722"/>
    <cellStyle name="Vérification 2 2 7 4 3 4 5" xfId="11911"/>
    <cellStyle name="Vérification 2 2 7 4 3 4 6" xfId="28132"/>
    <cellStyle name="Vérification 2 2 7 4 3 5" xfId="3306"/>
    <cellStyle name="Vérification 2 2 7 4 3 5 2" xfId="8293"/>
    <cellStyle name="Vérification 2 2 7 4 3 5 2 2" xfId="24517"/>
    <cellStyle name="Vérification 2 2 7 4 3 5 2 2 2" xfId="36524"/>
    <cellStyle name="Vérification 2 2 7 4 3 5 2 3" xfId="14300"/>
    <cellStyle name="Vérification 2 2 7 4 3 5 2 4" xfId="30521"/>
    <cellStyle name="Vérification 2 2 7 4 3 5 3" xfId="19534"/>
    <cellStyle name="Vérification 2 2 7 4 3 5 3 2" xfId="33648"/>
    <cellStyle name="Vérification 2 2 7 4 3 5 4" xfId="11848"/>
    <cellStyle name="Vérification 2 2 7 4 3 5 5" xfId="28069"/>
    <cellStyle name="Vérification 2 2 7 4 3 6" xfId="6840"/>
    <cellStyle name="Vérification 2 2 7 4 3 6 2" xfId="23064"/>
    <cellStyle name="Vérification 2 2 7 4 3 6 2 2" xfId="35071"/>
    <cellStyle name="Vérification 2 2 7 4 3 6 3" xfId="13505"/>
    <cellStyle name="Vérification 2 2 7 4 3 6 4" xfId="29726"/>
    <cellStyle name="Vérification 2 2 7 4 3 7" xfId="17477"/>
    <cellStyle name="Vérification 2 2 7 4 3 7 2" xfId="32797"/>
    <cellStyle name="Vérification 2 2 7 4 3 8" xfId="10569"/>
    <cellStyle name="Vérification 2 2 7 4 3 9" xfId="26794"/>
    <cellStyle name="Vérification 2 2 7 4 4" xfId="2699"/>
    <cellStyle name="Vérification 2 2 7 4 4 2" xfId="6387"/>
    <cellStyle name="Vérification 2 2 7 4 4 2 2" xfId="8768"/>
    <cellStyle name="Vérification 2 2 7 4 4 2 2 2" xfId="24992"/>
    <cellStyle name="Vérification 2 2 7 4 4 2 2 2 2" xfId="36999"/>
    <cellStyle name="Vérification 2 2 7 4 4 2 2 3" xfId="14775"/>
    <cellStyle name="Vérification 2 2 7 4 4 2 2 4" xfId="30996"/>
    <cellStyle name="Vérification 2 2 7 4 4 2 3" xfId="10146"/>
    <cellStyle name="Vérification 2 2 7 4 4 2 3 2" xfId="26370"/>
    <cellStyle name="Vérification 2 2 7 4 4 2 3 2 2" xfId="38377"/>
    <cellStyle name="Vérification 2 2 7 4 4 2 3 3" xfId="16153"/>
    <cellStyle name="Vérification 2 2 7 4 4 2 3 4" xfId="32374"/>
    <cellStyle name="Vérification 2 2 7 4 4 2 4" xfId="22611"/>
    <cellStyle name="Vérification 2 2 7 4 4 2 4 2" xfId="34618"/>
    <cellStyle name="Vérification 2 2 7 4 4 2 5" xfId="12472"/>
    <cellStyle name="Vérification 2 2 7 4 4 2 6" xfId="28693"/>
    <cellStyle name="Vérification 2 2 7 4 4 3" xfId="7435"/>
    <cellStyle name="Vérification 2 2 7 4 4 3 2" xfId="9479"/>
    <cellStyle name="Vérification 2 2 7 4 4 3 2 2" xfId="25703"/>
    <cellStyle name="Vérification 2 2 7 4 4 3 2 2 2" xfId="37710"/>
    <cellStyle name="Vérification 2 2 7 4 4 3 2 3" xfId="15486"/>
    <cellStyle name="Vérification 2 2 7 4 4 3 2 4" xfId="31707"/>
    <cellStyle name="Vérification 2 2 7 4 4 3 3" xfId="23659"/>
    <cellStyle name="Vérification 2 2 7 4 4 3 3 2" xfId="35666"/>
    <cellStyle name="Vérification 2 2 7 4 4 3 4" xfId="13183"/>
    <cellStyle name="Vérification 2 2 7 4 4 3 5" xfId="29404"/>
    <cellStyle name="Vérification 2 2 7 4 4 4" xfId="7812"/>
    <cellStyle name="Vérification 2 2 7 4 4 4 2" xfId="24036"/>
    <cellStyle name="Vérification 2 2 7 4 4 4 2 2" xfId="36043"/>
    <cellStyle name="Vérification 2 2 7 4 4 4 3" xfId="13819"/>
    <cellStyle name="Vérification 2 2 7 4 4 4 4" xfId="30040"/>
    <cellStyle name="Vérification 2 2 7 4 4 5" xfId="18927"/>
    <cellStyle name="Vérification 2 2 7 4 4 5 2" xfId="33041"/>
    <cellStyle name="Vérification 2 2 7 4 4 6" xfId="11168"/>
    <cellStyle name="Vérification 2 2 7 4 4 7" xfId="27389"/>
    <cellStyle name="Vérification 2 2 7 4 5" xfId="4360"/>
    <cellStyle name="Vérification 2 2 7 4 5 2" xfId="6867"/>
    <cellStyle name="Vérification 2 2 7 4 5 2 2" xfId="9146"/>
    <cellStyle name="Vérification 2 2 7 4 5 2 2 2" xfId="25370"/>
    <cellStyle name="Vérification 2 2 7 4 5 2 2 2 2" xfId="37377"/>
    <cellStyle name="Vérification 2 2 7 4 5 2 2 3" xfId="15153"/>
    <cellStyle name="Vérification 2 2 7 4 5 2 2 4" xfId="31374"/>
    <cellStyle name="Vérification 2 2 7 4 5 2 3" xfId="23091"/>
    <cellStyle name="Vérification 2 2 7 4 5 2 3 2" xfId="35098"/>
    <cellStyle name="Vérification 2 2 7 4 5 2 4" xfId="12850"/>
    <cellStyle name="Vérification 2 2 7 4 5 2 5" xfId="29071"/>
    <cellStyle name="Vérification 2 2 7 4 5 3" xfId="6648"/>
    <cellStyle name="Vérification 2 2 7 4 5 3 2" xfId="22872"/>
    <cellStyle name="Vérification 2 2 7 4 5 3 2 2" xfId="34879"/>
    <cellStyle name="Vérification 2 2 7 4 5 3 3" xfId="12349"/>
    <cellStyle name="Vérification 2 2 7 4 5 3 4" xfId="28570"/>
    <cellStyle name="Vérification 2 2 7 4 5 4" xfId="20586"/>
    <cellStyle name="Vérification 2 2 7 4 5 4 2" xfId="34285"/>
    <cellStyle name="Vérification 2 2 7 4 5 5" xfId="10827"/>
    <cellStyle name="Vérification 2 2 7 4 5 6" xfId="27050"/>
    <cellStyle name="Vérification 2 2 7 4 6" xfId="3164"/>
    <cellStyle name="Vérification 2 2 7 4 6 2" xfId="8200"/>
    <cellStyle name="Vérification 2 2 7 4 6 2 2" xfId="24424"/>
    <cellStyle name="Vérification 2 2 7 4 6 2 2 2" xfId="36431"/>
    <cellStyle name="Vérification 2 2 7 4 6 2 3" xfId="14207"/>
    <cellStyle name="Vérification 2 2 7 4 6 2 4" xfId="30428"/>
    <cellStyle name="Vérification 2 2 7 4 6 3" xfId="9813"/>
    <cellStyle name="Vérification 2 2 7 4 6 3 2" xfId="26037"/>
    <cellStyle name="Vérification 2 2 7 4 6 3 2 2" xfId="38044"/>
    <cellStyle name="Vérification 2 2 7 4 6 3 3" xfId="15820"/>
    <cellStyle name="Vérification 2 2 7 4 6 3 4" xfId="32041"/>
    <cellStyle name="Vérification 2 2 7 4 6 4" xfId="19392"/>
    <cellStyle name="Vérification 2 2 7 4 6 4 2" xfId="33506"/>
    <cellStyle name="Vérification 2 2 7 4 6 5" xfId="11755"/>
    <cellStyle name="Vérification 2 2 7 4 6 6" xfId="27976"/>
    <cellStyle name="Vérification 2 2 7 4 7" xfId="3791"/>
    <cellStyle name="Vérification 2 2 7 4 7 2" xfId="8633"/>
    <cellStyle name="Vérification 2 2 7 4 7 2 2" xfId="24857"/>
    <cellStyle name="Vérification 2 2 7 4 7 2 2 2" xfId="36864"/>
    <cellStyle name="Vérification 2 2 7 4 7 2 3" xfId="14640"/>
    <cellStyle name="Vérification 2 2 7 4 7 2 4" xfId="30861"/>
    <cellStyle name="Vérification 2 2 7 4 7 3" xfId="20019"/>
    <cellStyle name="Vérification 2 2 7 4 7 3 2" xfId="34133"/>
    <cellStyle name="Vérification 2 2 7 4 7 4" xfId="12188"/>
    <cellStyle name="Vérification 2 2 7 4 7 5" xfId="28409"/>
    <cellStyle name="Vérification 2 2 7 4 8" xfId="6642"/>
    <cellStyle name="Vérification 2 2 7 4 8 2" xfId="22866"/>
    <cellStyle name="Vérification 2 2 7 4 8 2 2" xfId="34873"/>
    <cellStyle name="Vérification 2 2 7 4 8 3" xfId="11441"/>
    <cellStyle name="Vérification 2 2 7 4 8 4" xfId="27662"/>
    <cellStyle name="Vérification 2 2 7 4 9" xfId="16902"/>
    <cellStyle name="Vérification 2 2 7 4 9 2" xfId="32708"/>
    <cellStyle name="Vérification 2 2 7 5" xfId="753"/>
    <cellStyle name="Vérification 2 2 7 5 10" xfId="26727"/>
    <cellStyle name="Vérification 2 2 7 5 2" xfId="1421"/>
    <cellStyle name="Vérification 2 2 7 5 2 2" xfId="2899"/>
    <cellStyle name="Vérification 2 2 7 5 2 2 2" xfId="6587"/>
    <cellStyle name="Vérification 2 2 7 5 2 2 2 2" xfId="8968"/>
    <cellStyle name="Vérification 2 2 7 5 2 2 2 2 2" xfId="25192"/>
    <cellStyle name="Vérification 2 2 7 5 2 2 2 2 2 2" xfId="37199"/>
    <cellStyle name="Vérification 2 2 7 5 2 2 2 2 3" xfId="14975"/>
    <cellStyle name="Vérification 2 2 7 5 2 2 2 2 4" xfId="31196"/>
    <cellStyle name="Vérification 2 2 7 5 2 2 2 3" xfId="10346"/>
    <cellStyle name="Vérification 2 2 7 5 2 2 2 3 2" xfId="26570"/>
    <cellStyle name="Vérification 2 2 7 5 2 2 2 3 2 2" xfId="38577"/>
    <cellStyle name="Vérification 2 2 7 5 2 2 2 3 3" xfId="16353"/>
    <cellStyle name="Vérification 2 2 7 5 2 2 2 3 4" xfId="32574"/>
    <cellStyle name="Vérification 2 2 7 5 2 2 2 4" xfId="22811"/>
    <cellStyle name="Vérification 2 2 7 5 2 2 2 4 2" xfId="34818"/>
    <cellStyle name="Vérification 2 2 7 5 2 2 2 5" xfId="12672"/>
    <cellStyle name="Vérification 2 2 7 5 2 2 2 6" xfId="28893"/>
    <cellStyle name="Vérification 2 2 7 5 2 2 3" xfId="7635"/>
    <cellStyle name="Vérification 2 2 7 5 2 2 3 2" xfId="9679"/>
    <cellStyle name="Vérification 2 2 7 5 2 2 3 2 2" xfId="25903"/>
    <cellStyle name="Vérification 2 2 7 5 2 2 3 2 2 2" xfId="37910"/>
    <cellStyle name="Vérification 2 2 7 5 2 2 3 2 3" xfId="15686"/>
    <cellStyle name="Vérification 2 2 7 5 2 2 3 2 4" xfId="31907"/>
    <cellStyle name="Vérification 2 2 7 5 2 2 3 3" xfId="23859"/>
    <cellStyle name="Vérification 2 2 7 5 2 2 3 3 2" xfId="35866"/>
    <cellStyle name="Vérification 2 2 7 5 2 2 3 4" xfId="13383"/>
    <cellStyle name="Vérification 2 2 7 5 2 2 3 5" xfId="29604"/>
    <cellStyle name="Vérification 2 2 7 5 2 2 4" xfId="8012"/>
    <cellStyle name="Vérification 2 2 7 5 2 2 4 2" xfId="24236"/>
    <cellStyle name="Vérification 2 2 7 5 2 2 4 2 2" xfId="36243"/>
    <cellStyle name="Vérification 2 2 7 5 2 2 4 3" xfId="14019"/>
    <cellStyle name="Vérification 2 2 7 5 2 2 4 4" xfId="30240"/>
    <cellStyle name="Vérification 2 2 7 5 2 2 5" xfId="19127"/>
    <cellStyle name="Vérification 2 2 7 5 2 2 5 2" xfId="33241"/>
    <cellStyle name="Vérification 2 2 7 5 2 2 6" xfId="11368"/>
    <cellStyle name="Vérification 2 2 7 5 2 2 7" xfId="27589"/>
    <cellStyle name="Vérification 2 2 7 5 2 3" xfId="5118"/>
    <cellStyle name="Vérification 2 2 7 5 2 3 2" xfId="7145"/>
    <cellStyle name="Vérification 2 2 7 5 2 3 2 2" xfId="9346"/>
    <cellStyle name="Vérification 2 2 7 5 2 3 2 2 2" xfId="25570"/>
    <cellStyle name="Vérification 2 2 7 5 2 3 2 2 2 2" xfId="37577"/>
    <cellStyle name="Vérification 2 2 7 5 2 3 2 2 3" xfId="15353"/>
    <cellStyle name="Vérification 2 2 7 5 2 3 2 2 4" xfId="31574"/>
    <cellStyle name="Vérification 2 2 7 5 2 3 2 3" xfId="23369"/>
    <cellStyle name="Vérification 2 2 7 5 2 3 2 3 2" xfId="35376"/>
    <cellStyle name="Vérification 2 2 7 5 2 3 2 4" xfId="13050"/>
    <cellStyle name="Vérification 2 2 7 5 2 3 2 5" xfId="29271"/>
    <cellStyle name="Vérification 2 2 7 5 2 3 3" xfId="6935"/>
    <cellStyle name="Vérification 2 2 7 5 2 3 3 2" xfId="23159"/>
    <cellStyle name="Vérification 2 2 7 5 2 3 3 2 2" xfId="35166"/>
    <cellStyle name="Vérification 2 2 7 5 2 3 3 3" xfId="12360"/>
    <cellStyle name="Vérification 2 2 7 5 2 3 3 4" xfId="28581"/>
    <cellStyle name="Vérification 2 2 7 5 2 3 4" xfId="21344"/>
    <cellStyle name="Vérification 2 2 7 5 2 3 4 2" xfId="34485"/>
    <cellStyle name="Vérification 2 2 7 5 2 3 5" xfId="11032"/>
    <cellStyle name="Vérification 2 2 7 5 2 3 6" xfId="27255"/>
    <cellStyle name="Vérification 2 2 7 5 2 4" xfId="3509"/>
    <cellStyle name="Vérification 2 2 7 5 2 4 2" xfId="8476"/>
    <cellStyle name="Vérification 2 2 7 5 2 4 2 2" xfId="24700"/>
    <cellStyle name="Vérification 2 2 7 5 2 4 2 2 2" xfId="36707"/>
    <cellStyle name="Vérification 2 2 7 5 2 4 2 3" xfId="14483"/>
    <cellStyle name="Vérification 2 2 7 5 2 4 2 4" xfId="30704"/>
    <cellStyle name="Vérification 2 2 7 5 2 4 3" xfId="10013"/>
    <cellStyle name="Vérification 2 2 7 5 2 4 3 2" xfId="26237"/>
    <cellStyle name="Vérification 2 2 7 5 2 4 3 2 2" xfId="38244"/>
    <cellStyle name="Vérification 2 2 7 5 2 4 3 3" xfId="16020"/>
    <cellStyle name="Vérification 2 2 7 5 2 4 3 4" xfId="32241"/>
    <cellStyle name="Vérification 2 2 7 5 2 4 4" xfId="19737"/>
    <cellStyle name="Vérification 2 2 7 5 2 4 4 2" xfId="33851"/>
    <cellStyle name="Vérification 2 2 7 5 2 4 5" xfId="12031"/>
    <cellStyle name="Vérification 2 2 7 5 2 4 6" xfId="28252"/>
    <cellStyle name="Vérification 2 2 7 5 2 5" xfId="3797"/>
    <cellStyle name="Vérification 2 2 7 5 2 5 2" xfId="8638"/>
    <cellStyle name="Vérification 2 2 7 5 2 5 2 2" xfId="24862"/>
    <cellStyle name="Vérification 2 2 7 5 2 5 2 2 2" xfId="36869"/>
    <cellStyle name="Vérification 2 2 7 5 2 5 2 3" xfId="14645"/>
    <cellStyle name="Vérification 2 2 7 5 2 5 2 4" xfId="30866"/>
    <cellStyle name="Vérification 2 2 7 5 2 5 3" xfId="20025"/>
    <cellStyle name="Vérification 2 2 7 5 2 5 3 2" xfId="34139"/>
    <cellStyle name="Vérification 2 2 7 5 2 5 4" xfId="12193"/>
    <cellStyle name="Vérification 2 2 7 5 2 5 5" xfId="28414"/>
    <cellStyle name="Vérification 2 2 7 5 2 6" xfId="7293"/>
    <cellStyle name="Vérification 2 2 7 5 2 6 2" xfId="23517"/>
    <cellStyle name="Vérification 2 2 7 5 2 6 2 2" xfId="35524"/>
    <cellStyle name="Vérification 2 2 7 5 2 6 3" xfId="13677"/>
    <cellStyle name="Vérification 2 2 7 5 2 6 4" xfId="29898"/>
    <cellStyle name="Vérification 2 2 7 5 2 7" xfId="17660"/>
    <cellStyle name="Vérification 2 2 7 5 2 7 2" xfId="32908"/>
    <cellStyle name="Vérification 2 2 7 5 2 8" xfId="10680"/>
    <cellStyle name="Vérification 2 2 7 5 2 9" xfId="26905"/>
    <cellStyle name="Vérification 2 2 7 5 3" xfId="2721"/>
    <cellStyle name="Vérification 2 2 7 5 3 2" xfId="6409"/>
    <cellStyle name="Vérification 2 2 7 5 3 2 2" xfId="8790"/>
    <cellStyle name="Vérification 2 2 7 5 3 2 2 2" xfId="25014"/>
    <cellStyle name="Vérification 2 2 7 5 3 2 2 2 2" xfId="37021"/>
    <cellStyle name="Vérification 2 2 7 5 3 2 2 3" xfId="14797"/>
    <cellStyle name="Vérification 2 2 7 5 3 2 2 4" xfId="31018"/>
    <cellStyle name="Vérification 2 2 7 5 3 2 3" xfId="10168"/>
    <cellStyle name="Vérification 2 2 7 5 3 2 3 2" xfId="26392"/>
    <cellStyle name="Vérification 2 2 7 5 3 2 3 2 2" xfId="38399"/>
    <cellStyle name="Vérification 2 2 7 5 3 2 3 3" xfId="16175"/>
    <cellStyle name="Vérification 2 2 7 5 3 2 3 4" xfId="32396"/>
    <cellStyle name="Vérification 2 2 7 5 3 2 4" xfId="22633"/>
    <cellStyle name="Vérification 2 2 7 5 3 2 4 2" xfId="34640"/>
    <cellStyle name="Vérification 2 2 7 5 3 2 5" xfId="12494"/>
    <cellStyle name="Vérification 2 2 7 5 3 2 6" xfId="28715"/>
    <cellStyle name="Vérification 2 2 7 5 3 3" xfId="7457"/>
    <cellStyle name="Vérification 2 2 7 5 3 3 2" xfId="9501"/>
    <cellStyle name="Vérification 2 2 7 5 3 3 2 2" xfId="25725"/>
    <cellStyle name="Vérification 2 2 7 5 3 3 2 2 2" xfId="37732"/>
    <cellStyle name="Vérification 2 2 7 5 3 3 2 3" xfId="15508"/>
    <cellStyle name="Vérification 2 2 7 5 3 3 2 4" xfId="31729"/>
    <cellStyle name="Vérification 2 2 7 5 3 3 3" xfId="23681"/>
    <cellStyle name="Vérification 2 2 7 5 3 3 3 2" xfId="35688"/>
    <cellStyle name="Vérification 2 2 7 5 3 3 4" xfId="13205"/>
    <cellStyle name="Vérification 2 2 7 5 3 3 5" xfId="29426"/>
    <cellStyle name="Vérification 2 2 7 5 3 4" xfId="7834"/>
    <cellStyle name="Vérification 2 2 7 5 3 4 2" xfId="24058"/>
    <cellStyle name="Vérification 2 2 7 5 3 4 2 2" xfId="36065"/>
    <cellStyle name="Vérification 2 2 7 5 3 4 3" xfId="13841"/>
    <cellStyle name="Vérification 2 2 7 5 3 4 4" xfId="30062"/>
    <cellStyle name="Vérification 2 2 7 5 3 5" xfId="18949"/>
    <cellStyle name="Vérification 2 2 7 5 3 5 2" xfId="33063"/>
    <cellStyle name="Vérification 2 2 7 5 3 6" xfId="11190"/>
    <cellStyle name="Vérification 2 2 7 5 3 7" xfId="27411"/>
    <cellStyle name="Vérification 2 2 7 5 4" xfId="4454"/>
    <cellStyle name="Vérification 2 2 7 5 4 2" xfId="6899"/>
    <cellStyle name="Vérification 2 2 7 5 4 2 2" xfId="9168"/>
    <cellStyle name="Vérification 2 2 7 5 4 2 2 2" xfId="25392"/>
    <cellStyle name="Vérification 2 2 7 5 4 2 2 2 2" xfId="37399"/>
    <cellStyle name="Vérification 2 2 7 5 4 2 2 3" xfId="15175"/>
    <cellStyle name="Vérification 2 2 7 5 4 2 2 4" xfId="31396"/>
    <cellStyle name="Vérification 2 2 7 5 4 2 3" xfId="23123"/>
    <cellStyle name="Vérification 2 2 7 5 4 2 3 2" xfId="35130"/>
    <cellStyle name="Vérification 2 2 7 5 4 2 4" xfId="12872"/>
    <cellStyle name="Vérification 2 2 7 5 4 2 5" xfId="29093"/>
    <cellStyle name="Vérification 2 2 7 5 4 3" xfId="3754"/>
    <cellStyle name="Vérification 2 2 7 5 4 3 2" xfId="19982"/>
    <cellStyle name="Vérification 2 2 7 5 4 3 2 2" xfId="34096"/>
    <cellStyle name="Vérification 2 2 7 5 4 3 3" xfId="11452"/>
    <cellStyle name="Vérification 2 2 7 5 4 3 4" xfId="27673"/>
    <cellStyle name="Vérification 2 2 7 5 4 4" xfId="20680"/>
    <cellStyle name="Vérification 2 2 7 5 4 4 2" xfId="34307"/>
    <cellStyle name="Vérification 2 2 7 5 4 5" xfId="10853"/>
    <cellStyle name="Vérification 2 2 7 5 4 6" xfId="27076"/>
    <cellStyle name="Vérification 2 2 7 5 5" xfId="3210"/>
    <cellStyle name="Vérification 2 2 7 5 5 2" xfId="8231"/>
    <cellStyle name="Vérification 2 2 7 5 5 2 2" xfId="24455"/>
    <cellStyle name="Vérification 2 2 7 5 5 2 2 2" xfId="36462"/>
    <cellStyle name="Vérification 2 2 7 5 5 2 3" xfId="14238"/>
    <cellStyle name="Vérification 2 2 7 5 5 2 4" xfId="30459"/>
    <cellStyle name="Vérification 2 2 7 5 5 3" xfId="9835"/>
    <cellStyle name="Vérification 2 2 7 5 5 3 2" xfId="26059"/>
    <cellStyle name="Vérification 2 2 7 5 5 3 2 2" xfId="38066"/>
    <cellStyle name="Vérification 2 2 7 5 5 3 3" xfId="15842"/>
    <cellStyle name="Vérification 2 2 7 5 5 3 4" xfId="32063"/>
    <cellStyle name="Vérification 2 2 7 5 5 4" xfId="19438"/>
    <cellStyle name="Vérification 2 2 7 5 5 4 2" xfId="33552"/>
    <cellStyle name="Vérification 2 2 7 5 5 5" xfId="11786"/>
    <cellStyle name="Vérification 2 2 7 5 5 6" xfId="28007"/>
    <cellStyle name="Vérification 2 2 7 5 6" xfId="3222"/>
    <cellStyle name="Vérification 2 2 7 5 6 2" xfId="8241"/>
    <cellStyle name="Vérification 2 2 7 5 6 2 2" xfId="24465"/>
    <cellStyle name="Vérification 2 2 7 5 6 2 2 2" xfId="36472"/>
    <cellStyle name="Vérification 2 2 7 5 6 2 3" xfId="14248"/>
    <cellStyle name="Vérification 2 2 7 5 6 2 4" xfId="30469"/>
    <cellStyle name="Vérification 2 2 7 5 6 3" xfId="19450"/>
    <cellStyle name="Vérification 2 2 7 5 6 3 2" xfId="33564"/>
    <cellStyle name="Vérification 2 2 7 5 6 4" xfId="11796"/>
    <cellStyle name="Vérification 2 2 7 5 6 5" xfId="28017"/>
    <cellStyle name="Vérification 2 2 7 5 7" xfId="3189"/>
    <cellStyle name="Vérification 2 2 7 5 7 2" xfId="19417"/>
    <cellStyle name="Vérification 2 2 7 5 7 2 2" xfId="33531"/>
    <cellStyle name="Vérification 2 2 7 5 7 3" xfId="11501"/>
    <cellStyle name="Vérification 2 2 7 5 7 4" xfId="27722"/>
    <cellStyle name="Vérification 2 2 7 5 8" xfId="16996"/>
    <cellStyle name="Vérification 2 2 7 5 8 2" xfId="32730"/>
    <cellStyle name="Vérification 2 2 7 5 9" xfId="10502"/>
    <cellStyle name="Vérification 2 2 7 6" xfId="1332"/>
    <cellStyle name="Vérification 2 2 7 6 2" xfId="2810"/>
    <cellStyle name="Vérification 2 2 7 6 2 2" xfId="6498"/>
    <cellStyle name="Vérification 2 2 7 6 2 2 2" xfId="8879"/>
    <cellStyle name="Vérification 2 2 7 6 2 2 2 2" xfId="25103"/>
    <cellStyle name="Vérification 2 2 7 6 2 2 2 2 2" xfId="37110"/>
    <cellStyle name="Vérification 2 2 7 6 2 2 2 3" xfId="14886"/>
    <cellStyle name="Vérification 2 2 7 6 2 2 2 4" xfId="31107"/>
    <cellStyle name="Vérification 2 2 7 6 2 2 3" xfId="10257"/>
    <cellStyle name="Vérification 2 2 7 6 2 2 3 2" xfId="26481"/>
    <cellStyle name="Vérification 2 2 7 6 2 2 3 2 2" xfId="38488"/>
    <cellStyle name="Vérification 2 2 7 6 2 2 3 3" xfId="16264"/>
    <cellStyle name="Vérification 2 2 7 6 2 2 3 4" xfId="32485"/>
    <cellStyle name="Vérification 2 2 7 6 2 2 4" xfId="22722"/>
    <cellStyle name="Vérification 2 2 7 6 2 2 4 2" xfId="34729"/>
    <cellStyle name="Vérification 2 2 7 6 2 2 5" xfId="12583"/>
    <cellStyle name="Vérification 2 2 7 6 2 2 6" xfId="28804"/>
    <cellStyle name="Vérification 2 2 7 6 2 3" xfId="7546"/>
    <cellStyle name="Vérification 2 2 7 6 2 3 2" xfId="9590"/>
    <cellStyle name="Vérification 2 2 7 6 2 3 2 2" xfId="25814"/>
    <cellStyle name="Vérification 2 2 7 6 2 3 2 2 2" xfId="37821"/>
    <cellStyle name="Vérification 2 2 7 6 2 3 2 3" xfId="15597"/>
    <cellStyle name="Vérification 2 2 7 6 2 3 2 4" xfId="31818"/>
    <cellStyle name="Vérification 2 2 7 6 2 3 3" xfId="23770"/>
    <cellStyle name="Vérification 2 2 7 6 2 3 3 2" xfId="35777"/>
    <cellStyle name="Vérification 2 2 7 6 2 3 4" xfId="13294"/>
    <cellStyle name="Vérification 2 2 7 6 2 3 5" xfId="29515"/>
    <cellStyle name="Vérification 2 2 7 6 2 4" xfId="7923"/>
    <cellStyle name="Vérification 2 2 7 6 2 4 2" xfId="24147"/>
    <cellStyle name="Vérification 2 2 7 6 2 4 2 2" xfId="36154"/>
    <cellStyle name="Vérification 2 2 7 6 2 4 3" xfId="13930"/>
    <cellStyle name="Vérification 2 2 7 6 2 4 4" xfId="30151"/>
    <cellStyle name="Vérification 2 2 7 6 2 5" xfId="19038"/>
    <cellStyle name="Vérification 2 2 7 6 2 5 2" xfId="33152"/>
    <cellStyle name="Vérification 2 2 7 6 2 6" xfId="11279"/>
    <cellStyle name="Vérification 2 2 7 6 2 7" xfId="27500"/>
    <cellStyle name="Vérification 2 2 7 6 3" xfId="5029"/>
    <cellStyle name="Vérification 2 2 7 6 3 2" xfId="7056"/>
    <cellStyle name="Vérification 2 2 7 6 3 2 2" xfId="9257"/>
    <cellStyle name="Vérification 2 2 7 6 3 2 2 2" xfId="25481"/>
    <cellStyle name="Vérification 2 2 7 6 3 2 2 2 2" xfId="37488"/>
    <cellStyle name="Vérification 2 2 7 6 3 2 2 3" xfId="15264"/>
    <cellStyle name="Vérification 2 2 7 6 3 2 2 4" xfId="31485"/>
    <cellStyle name="Vérification 2 2 7 6 3 2 3" xfId="23280"/>
    <cellStyle name="Vérification 2 2 7 6 3 2 3 2" xfId="35287"/>
    <cellStyle name="Vérification 2 2 7 6 3 2 4" xfId="12961"/>
    <cellStyle name="Vérification 2 2 7 6 3 2 5" xfId="29182"/>
    <cellStyle name="Vérification 2 2 7 6 3 3" xfId="7240"/>
    <cellStyle name="Vérification 2 2 7 6 3 3 2" xfId="23464"/>
    <cellStyle name="Vérification 2 2 7 6 3 3 2 2" xfId="35471"/>
    <cellStyle name="Vérification 2 2 7 6 3 3 3" xfId="13624"/>
    <cellStyle name="Vérification 2 2 7 6 3 3 4" xfId="29845"/>
    <cellStyle name="Vérification 2 2 7 6 3 4" xfId="21255"/>
    <cellStyle name="Vérification 2 2 7 6 3 4 2" xfId="34396"/>
    <cellStyle name="Vérification 2 2 7 6 3 5" xfId="10943"/>
    <cellStyle name="Vérification 2 2 7 6 3 6" xfId="27166"/>
    <cellStyle name="Vérification 2 2 7 6 4" xfId="3420"/>
    <cellStyle name="Vérification 2 2 7 6 4 2" xfId="8387"/>
    <cellStyle name="Vérification 2 2 7 6 4 2 2" xfId="24611"/>
    <cellStyle name="Vérification 2 2 7 6 4 2 2 2" xfId="36618"/>
    <cellStyle name="Vérification 2 2 7 6 4 2 3" xfId="14394"/>
    <cellStyle name="Vérification 2 2 7 6 4 2 4" xfId="30615"/>
    <cellStyle name="Vérification 2 2 7 6 4 3" xfId="9924"/>
    <cellStyle name="Vérification 2 2 7 6 4 3 2" xfId="26148"/>
    <cellStyle name="Vérification 2 2 7 6 4 3 2 2" xfId="38155"/>
    <cellStyle name="Vérification 2 2 7 6 4 3 3" xfId="15931"/>
    <cellStyle name="Vérification 2 2 7 6 4 3 4" xfId="32152"/>
    <cellStyle name="Vérification 2 2 7 6 4 4" xfId="19648"/>
    <cellStyle name="Vérification 2 2 7 6 4 4 2" xfId="33762"/>
    <cellStyle name="Vérification 2 2 7 6 4 5" xfId="11942"/>
    <cellStyle name="Vérification 2 2 7 6 4 6" xfId="28163"/>
    <cellStyle name="Vérification 2 2 7 6 5" xfId="3654"/>
    <cellStyle name="Vérification 2 2 7 6 5 2" xfId="8560"/>
    <cellStyle name="Vérification 2 2 7 6 5 2 2" xfId="24784"/>
    <cellStyle name="Vérification 2 2 7 6 5 2 2 2" xfId="36791"/>
    <cellStyle name="Vérification 2 2 7 6 5 2 3" xfId="14567"/>
    <cellStyle name="Vérification 2 2 7 6 5 2 4" xfId="30788"/>
    <cellStyle name="Vérification 2 2 7 6 5 3" xfId="19882"/>
    <cellStyle name="Vérification 2 2 7 6 5 3 2" xfId="33996"/>
    <cellStyle name="Vérification 2 2 7 6 5 4" xfId="12115"/>
    <cellStyle name="Vérification 2 2 7 6 5 5" xfId="28336"/>
    <cellStyle name="Vérification 2 2 7 6 6" xfId="6746"/>
    <cellStyle name="Vérification 2 2 7 6 6 2" xfId="22970"/>
    <cellStyle name="Vérification 2 2 7 6 6 2 2" xfId="34977"/>
    <cellStyle name="Vérification 2 2 7 6 6 3" xfId="12291"/>
    <cellStyle name="Vérification 2 2 7 6 6 4" xfId="28512"/>
    <cellStyle name="Vérification 2 2 7 6 7" xfId="17571"/>
    <cellStyle name="Vérification 2 2 7 6 7 2" xfId="32819"/>
    <cellStyle name="Vérification 2 2 7 6 8" xfId="10591"/>
    <cellStyle name="Vérification 2 2 7 6 9" xfId="26816"/>
    <cellStyle name="Vérification 2 2 7 7" xfId="2515"/>
    <cellStyle name="Vérification 2 2 7 7 2" xfId="2922"/>
    <cellStyle name="Vérification 2 2 7 7 2 2" xfId="6610"/>
    <cellStyle name="Vérification 2 2 7 7 2 2 2" xfId="8991"/>
    <cellStyle name="Vérification 2 2 7 7 2 2 2 2" xfId="25215"/>
    <cellStyle name="Vérification 2 2 7 7 2 2 2 2 2" xfId="37222"/>
    <cellStyle name="Vérification 2 2 7 7 2 2 2 3" xfId="14998"/>
    <cellStyle name="Vérification 2 2 7 7 2 2 2 4" xfId="31219"/>
    <cellStyle name="Vérification 2 2 7 7 2 2 3" xfId="10369"/>
    <cellStyle name="Vérification 2 2 7 7 2 2 3 2" xfId="26593"/>
    <cellStyle name="Vérification 2 2 7 7 2 2 3 2 2" xfId="38600"/>
    <cellStyle name="Vérification 2 2 7 7 2 2 3 3" xfId="16376"/>
    <cellStyle name="Vérification 2 2 7 7 2 2 3 4" xfId="32597"/>
    <cellStyle name="Vérification 2 2 7 7 2 2 4" xfId="22834"/>
    <cellStyle name="Vérification 2 2 7 7 2 2 4 2" xfId="34841"/>
    <cellStyle name="Vérification 2 2 7 7 2 2 5" xfId="12695"/>
    <cellStyle name="Vérification 2 2 7 7 2 2 6" xfId="28916"/>
    <cellStyle name="Vérification 2 2 7 7 2 3" xfId="7658"/>
    <cellStyle name="Vérification 2 2 7 7 2 3 2" xfId="9702"/>
    <cellStyle name="Vérification 2 2 7 7 2 3 2 2" xfId="25926"/>
    <cellStyle name="Vérification 2 2 7 7 2 3 2 2 2" xfId="37933"/>
    <cellStyle name="Vérification 2 2 7 7 2 3 2 3" xfId="15709"/>
    <cellStyle name="Vérification 2 2 7 7 2 3 2 4" xfId="31930"/>
    <cellStyle name="Vérification 2 2 7 7 2 3 3" xfId="23882"/>
    <cellStyle name="Vérification 2 2 7 7 2 3 3 2" xfId="35889"/>
    <cellStyle name="Vérification 2 2 7 7 2 3 4" xfId="13406"/>
    <cellStyle name="Vérification 2 2 7 7 2 3 5" xfId="29627"/>
    <cellStyle name="Vérification 2 2 7 7 2 4" xfId="8035"/>
    <cellStyle name="Vérification 2 2 7 7 2 4 2" xfId="24259"/>
    <cellStyle name="Vérification 2 2 7 7 2 4 2 2" xfId="36266"/>
    <cellStyle name="Vérification 2 2 7 7 2 4 3" xfId="14042"/>
    <cellStyle name="Vérification 2 2 7 7 2 4 4" xfId="30263"/>
    <cellStyle name="Vérification 2 2 7 7 2 5" xfId="19150"/>
    <cellStyle name="Vérification 2 2 7 7 2 5 2" xfId="33264"/>
    <cellStyle name="Vérification 2 2 7 7 2 6" xfId="11391"/>
    <cellStyle name="Vérification 2 2 7 7 2 7" xfId="27612"/>
    <cellStyle name="Vérification 2 2 7 7 3" xfId="6205"/>
    <cellStyle name="Vérification 2 2 7 7 3 2" xfId="7318"/>
    <cellStyle name="Vérification 2 2 7 7 3 2 2" xfId="9369"/>
    <cellStyle name="Vérification 2 2 7 7 3 2 2 2" xfId="25593"/>
    <cellStyle name="Vérification 2 2 7 7 3 2 2 2 2" xfId="37600"/>
    <cellStyle name="Vérification 2 2 7 7 3 2 2 3" xfId="15376"/>
    <cellStyle name="Vérification 2 2 7 7 3 2 2 4" xfId="31597"/>
    <cellStyle name="Vérification 2 2 7 7 3 2 3" xfId="23542"/>
    <cellStyle name="Vérification 2 2 7 7 3 2 3 2" xfId="35549"/>
    <cellStyle name="Vérification 2 2 7 7 3 2 4" xfId="13073"/>
    <cellStyle name="Vérification 2 2 7 7 3 2 5" xfId="29294"/>
    <cellStyle name="Vérification 2 2 7 7 3 3" xfId="7702"/>
    <cellStyle name="Vérification 2 2 7 7 3 3 2" xfId="23926"/>
    <cellStyle name="Vérification 2 2 7 7 3 3 2 2" xfId="35933"/>
    <cellStyle name="Vérification 2 2 7 7 3 3 3" xfId="13709"/>
    <cellStyle name="Vérification 2 2 7 7 3 3 4" xfId="29930"/>
    <cellStyle name="Vérification 2 2 7 7 3 4" xfId="22429"/>
    <cellStyle name="Vérification 2 2 7 7 3 4 2" xfId="34508"/>
    <cellStyle name="Vérification 2 2 7 7 3 5" xfId="11057"/>
    <cellStyle name="Vérification 2 2 7 7 3 6" xfId="27278"/>
    <cellStyle name="Vérification 2 2 7 7 4" xfId="3810"/>
    <cellStyle name="Vérification 2 2 7 7 4 2" xfId="8648"/>
    <cellStyle name="Vérification 2 2 7 7 4 2 2" xfId="24872"/>
    <cellStyle name="Vérification 2 2 7 7 4 2 2 2" xfId="36879"/>
    <cellStyle name="Vérification 2 2 7 7 4 2 3" xfId="14655"/>
    <cellStyle name="Vérification 2 2 7 7 4 2 4" xfId="30876"/>
    <cellStyle name="Vérification 2 2 7 7 4 3" xfId="10036"/>
    <cellStyle name="Vérification 2 2 7 7 4 3 2" xfId="26260"/>
    <cellStyle name="Vérification 2 2 7 7 4 3 2 2" xfId="38267"/>
    <cellStyle name="Vérification 2 2 7 7 4 3 3" xfId="16043"/>
    <cellStyle name="Vérification 2 2 7 7 4 3 4" xfId="32264"/>
    <cellStyle name="Vérification 2 2 7 7 4 4" xfId="20038"/>
    <cellStyle name="Vérification 2 2 7 7 4 4 2" xfId="34152"/>
    <cellStyle name="Vérification 2 2 7 7 4 5" xfId="12203"/>
    <cellStyle name="Vérification 2 2 7 7 4 6" xfId="28424"/>
    <cellStyle name="Vérification 2 2 7 7 5" xfId="6681"/>
    <cellStyle name="Vérification 2 2 7 7 5 2" xfId="9035"/>
    <cellStyle name="Vérification 2 2 7 7 5 2 2" xfId="25259"/>
    <cellStyle name="Vérification 2 2 7 7 5 2 2 2" xfId="37266"/>
    <cellStyle name="Vérification 2 2 7 7 5 2 3" xfId="15042"/>
    <cellStyle name="Vérification 2 2 7 7 5 2 4" xfId="31263"/>
    <cellStyle name="Vérification 2 2 7 7 5 3" xfId="22905"/>
    <cellStyle name="Vérification 2 2 7 7 5 3 2" xfId="34912"/>
    <cellStyle name="Vérification 2 2 7 7 5 4" xfId="12739"/>
    <cellStyle name="Vérification 2 2 7 7 5 5" xfId="28960"/>
    <cellStyle name="Vérification 2 2 7 7 6" xfId="7290"/>
    <cellStyle name="Vérification 2 2 7 7 6 2" xfId="23514"/>
    <cellStyle name="Vérification 2 2 7 7 6 2 2" xfId="35521"/>
    <cellStyle name="Vérification 2 2 7 7 6 3" xfId="13674"/>
    <cellStyle name="Vérification 2 2 7 7 6 4" xfId="29895"/>
    <cellStyle name="Vérification 2 2 7 7 7" xfId="18745"/>
    <cellStyle name="Vérification 2 2 7 7 7 2" xfId="32931"/>
    <cellStyle name="Vérification 2 2 7 7 8" xfId="10705"/>
    <cellStyle name="Vérification 2 2 7 7 9" xfId="26928"/>
    <cellStyle name="Vérification 2 2 7 8" xfId="2610"/>
    <cellStyle name="Vérification 2 2 7 8 2" xfId="2943"/>
    <cellStyle name="Vérification 2 2 7 8 2 2" xfId="6631"/>
    <cellStyle name="Vérification 2 2 7 8 2 2 2" xfId="9012"/>
    <cellStyle name="Vérification 2 2 7 8 2 2 2 2" xfId="25236"/>
    <cellStyle name="Vérification 2 2 7 8 2 2 2 2 2" xfId="37243"/>
    <cellStyle name="Vérification 2 2 7 8 2 2 2 3" xfId="15019"/>
    <cellStyle name="Vérification 2 2 7 8 2 2 2 4" xfId="31240"/>
    <cellStyle name="Vérification 2 2 7 8 2 2 3" xfId="10390"/>
    <cellStyle name="Vérification 2 2 7 8 2 2 3 2" xfId="26614"/>
    <cellStyle name="Vérification 2 2 7 8 2 2 3 2 2" xfId="38621"/>
    <cellStyle name="Vérification 2 2 7 8 2 2 3 3" xfId="16397"/>
    <cellStyle name="Vérification 2 2 7 8 2 2 3 4" xfId="32618"/>
    <cellStyle name="Vérification 2 2 7 8 2 2 4" xfId="22855"/>
    <cellStyle name="Vérification 2 2 7 8 2 2 4 2" xfId="34862"/>
    <cellStyle name="Vérification 2 2 7 8 2 2 5" xfId="12716"/>
    <cellStyle name="Vérification 2 2 7 8 2 2 6" xfId="28937"/>
    <cellStyle name="Vérification 2 2 7 8 2 3" xfId="7679"/>
    <cellStyle name="Vérification 2 2 7 8 2 3 2" xfId="9723"/>
    <cellStyle name="Vérification 2 2 7 8 2 3 2 2" xfId="25947"/>
    <cellStyle name="Vérification 2 2 7 8 2 3 2 2 2" xfId="37954"/>
    <cellStyle name="Vérification 2 2 7 8 2 3 2 3" xfId="15730"/>
    <cellStyle name="Vérification 2 2 7 8 2 3 2 4" xfId="31951"/>
    <cellStyle name="Vérification 2 2 7 8 2 3 3" xfId="23903"/>
    <cellStyle name="Vérification 2 2 7 8 2 3 3 2" xfId="35910"/>
    <cellStyle name="Vérification 2 2 7 8 2 3 4" xfId="13427"/>
    <cellStyle name="Vérification 2 2 7 8 2 3 5" xfId="29648"/>
    <cellStyle name="Vérification 2 2 7 8 2 4" xfId="8056"/>
    <cellStyle name="Vérification 2 2 7 8 2 4 2" xfId="24280"/>
    <cellStyle name="Vérification 2 2 7 8 2 4 2 2" xfId="36287"/>
    <cellStyle name="Vérification 2 2 7 8 2 4 3" xfId="14063"/>
    <cellStyle name="Vérification 2 2 7 8 2 4 4" xfId="30284"/>
    <cellStyle name="Vérification 2 2 7 8 2 5" xfId="19171"/>
    <cellStyle name="Vérification 2 2 7 8 2 5 2" xfId="33285"/>
    <cellStyle name="Vérification 2 2 7 8 2 6" xfId="11412"/>
    <cellStyle name="Vérification 2 2 7 8 2 7" xfId="27633"/>
    <cellStyle name="Vérification 2 2 7 8 3" xfId="6298"/>
    <cellStyle name="Vérification 2 2 7 8 3 2" xfId="7346"/>
    <cellStyle name="Vérification 2 2 7 8 3 2 2" xfId="9390"/>
    <cellStyle name="Vérification 2 2 7 8 3 2 2 2" xfId="25614"/>
    <cellStyle name="Vérification 2 2 7 8 3 2 2 2 2" xfId="37621"/>
    <cellStyle name="Vérification 2 2 7 8 3 2 2 3" xfId="15397"/>
    <cellStyle name="Vérification 2 2 7 8 3 2 2 4" xfId="31618"/>
    <cellStyle name="Vérification 2 2 7 8 3 2 3" xfId="23570"/>
    <cellStyle name="Vérification 2 2 7 8 3 2 3 2" xfId="35577"/>
    <cellStyle name="Vérification 2 2 7 8 3 2 4" xfId="13094"/>
    <cellStyle name="Vérification 2 2 7 8 3 2 5" xfId="29315"/>
    <cellStyle name="Vérification 2 2 7 8 3 3" xfId="7723"/>
    <cellStyle name="Vérification 2 2 7 8 3 3 2" xfId="23947"/>
    <cellStyle name="Vérification 2 2 7 8 3 3 2 2" xfId="35954"/>
    <cellStyle name="Vérification 2 2 7 8 3 3 3" xfId="13730"/>
    <cellStyle name="Vérification 2 2 7 8 3 3 4" xfId="29951"/>
    <cellStyle name="Vérification 2 2 7 8 3 4" xfId="22522"/>
    <cellStyle name="Vérification 2 2 7 8 3 4 2" xfId="34529"/>
    <cellStyle name="Vérification 2 2 7 8 3 5" xfId="11079"/>
    <cellStyle name="Vérification 2 2 7 8 3 6" xfId="27300"/>
    <cellStyle name="Vérification 2 2 7 8 4" xfId="3853"/>
    <cellStyle name="Vérification 2 2 7 8 4 2" xfId="8679"/>
    <cellStyle name="Vérification 2 2 7 8 4 2 2" xfId="24903"/>
    <cellStyle name="Vérification 2 2 7 8 4 2 2 2" xfId="36910"/>
    <cellStyle name="Vérification 2 2 7 8 4 2 3" xfId="14686"/>
    <cellStyle name="Vérification 2 2 7 8 4 2 4" xfId="30907"/>
    <cellStyle name="Vérification 2 2 7 8 4 3" xfId="10057"/>
    <cellStyle name="Vérification 2 2 7 8 4 3 2" xfId="26281"/>
    <cellStyle name="Vérification 2 2 7 8 4 3 2 2" xfId="38288"/>
    <cellStyle name="Vérification 2 2 7 8 4 3 3" xfId="16064"/>
    <cellStyle name="Vérification 2 2 7 8 4 3 4" xfId="32285"/>
    <cellStyle name="Vérification 2 2 7 8 4 4" xfId="20081"/>
    <cellStyle name="Vérification 2 2 7 8 4 4 2" xfId="34195"/>
    <cellStyle name="Vérification 2 2 7 8 4 5" xfId="12234"/>
    <cellStyle name="Vérification 2 2 7 8 4 6" xfId="28455"/>
    <cellStyle name="Vérification 2 2 7 8 5" xfId="6710"/>
    <cellStyle name="Vérification 2 2 7 8 5 2" xfId="9056"/>
    <cellStyle name="Vérification 2 2 7 8 5 2 2" xfId="25280"/>
    <cellStyle name="Vérification 2 2 7 8 5 2 2 2" xfId="37287"/>
    <cellStyle name="Vérification 2 2 7 8 5 2 3" xfId="15063"/>
    <cellStyle name="Vérification 2 2 7 8 5 2 4" xfId="31284"/>
    <cellStyle name="Vérification 2 2 7 8 5 3" xfId="22934"/>
    <cellStyle name="Vérification 2 2 7 8 5 3 2" xfId="34941"/>
    <cellStyle name="Vérification 2 2 7 8 5 4" xfId="12760"/>
    <cellStyle name="Vérification 2 2 7 8 5 5" xfId="28981"/>
    <cellStyle name="Vérification 2 2 7 8 6" xfId="3633"/>
    <cellStyle name="Vérification 2 2 7 8 6 2" xfId="19861"/>
    <cellStyle name="Vérification 2 2 7 8 6 2 2" xfId="33975"/>
    <cellStyle name="Vérification 2 2 7 8 6 3" xfId="12306"/>
    <cellStyle name="Vérification 2 2 7 8 6 4" xfId="28527"/>
    <cellStyle name="Vérification 2 2 7 8 7" xfId="18838"/>
    <cellStyle name="Vérification 2 2 7 8 7 2" xfId="32952"/>
    <cellStyle name="Vérification 2 2 7 8 8" xfId="10726"/>
    <cellStyle name="Vérification 2 2 7 8 9" xfId="26949"/>
    <cellStyle name="Vérification 2 2 7 9" xfId="2632"/>
    <cellStyle name="Vérification 2 2 7 9 2" xfId="6320"/>
    <cellStyle name="Vérification 2 2 7 9 2 2" xfId="8701"/>
    <cellStyle name="Vérification 2 2 7 9 2 2 2" xfId="24925"/>
    <cellStyle name="Vérification 2 2 7 9 2 2 2 2" xfId="36932"/>
    <cellStyle name="Vérification 2 2 7 9 2 2 3" xfId="14708"/>
    <cellStyle name="Vérification 2 2 7 9 2 2 4" xfId="30929"/>
    <cellStyle name="Vérification 2 2 7 9 2 3" xfId="10079"/>
    <cellStyle name="Vérification 2 2 7 9 2 3 2" xfId="26303"/>
    <cellStyle name="Vérification 2 2 7 9 2 3 2 2" xfId="38310"/>
    <cellStyle name="Vérification 2 2 7 9 2 3 3" xfId="16086"/>
    <cellStyle name="Vérification 2 2 7 9 2 3 4" xfId="32307"/>
    <cellStyle name="Vérification 2 2 7 9 2 4" xfId="22544"/>
    <cellStyle name="Vérification 2 2 7 9 2 4 2" xfId="34551"/>
    <cellStyle name="Vérification 2 2 7 9 2 5" xfId="12405"/>
    <cellStyle name="Vérification 2 2 7 9 2 6" xfId="28626"/>
    <cellStyle name="Vérification 2 2 7 9 3" xfId="7368"/>
    <cellStyle name="Vérification 2 2 7 9 3 2" xfId="9412"/>
    <cellStyle name="Vérification 2 2 7 9 3 2 2" xfId="25636"/>
    <cellStyle name="Vérification 2 2 7 9 3 2 2 2" xfId="37643"/>
    <cellStyle name="Vérification 2 2 7 9 3 2 3" xfId="15419"/>
    <cellStyle name="Vérification 2 2 7 9 3 2 4" xfId="31640"/>
    <cellStyle name="Vérification 2 2 7 9 3 3" xfId="23592"/>
    <cellStyle name="Vérification 2 2 7 9 3 3 2" xfId="35599"/>
    <cellStyle name="Vérification 2 2 7 9 3 4" xfId="13116"/>
    <cellStyle name="Vérification 2 2 7 9 3 5" xfId="29337"/>
    <cellStyle name="Vérification 2 2 7 9 4" xfId="7745"/>
    <cellStyle name="Vérification 2 2 7 9 4 2" xfId="23969"/>
    <cellStyle name="Vérification 2 2 7 9 4 2 2" xfId="35976"/>
    <cellStyle name="Vérification 2 2 7 9 4 3" xfId="13752"/>
    <cellStyle name="Vérification 2 2 7 9 4 4" xfId="29973"/>
    <cellStyle name="Vérification 2 2 7 9 5" xfId="18860"/>
    <cellStyle name="Vérification 2 2 7 9 5 2" xfId="32974"/>
    <cellStyle name="Vérification 2 2 7 9 6" xfId="11101"/>
    <cellStyle name="Vérification 2 2 7 9 7" xfId="27322"/>
    <cellStyle name="Vérification 2 2 8" xfId="239"/>
    <cellStyle name="Vérification 2 2 8 10" xfId="3996"/>
    <cellStyle name="Vérification 2 2 8 10 2" xfId="6757"/>
    <cellStyle name="Vérification 2 2 8 10 2 2" xfId="9083"/>
    <cellStyle name="Vérification 2 2 8 10 2 2 2" xfId="25307"/>
    <cellStyle name="Vérification 2 2 8 10 2 2 2 2" xfId="37314"/>
    <cellStyle name="Vérification 2 2 8 10 2 2 3" xfId="15090"/>
    <cellStyle name="Vérification 2 2 8 10 2 2 4" xfId="31311"/>
    <cellStyle name="Vérification 2 2 8 10 2 3" xfId="22981"/>
    <cellStyle name="Vérification 2 2 8 10 2 3 2" xfId="34988"/>
    <cellStyle name="Vérification 2 2 8 10 2 4" xfId="12787"/>
    <cellStyle name="Vérification 2 2 8 10 2 5" xfId="29008"/>
    <cellStyle name="Vérification 2 2 8 10 3" xfId="3240"/>
    <cellStyle name="Vérification 2 2 8 10 3 2" xfId="19468"/>
    <cellStyle name="Vérification 2 2 8 10 3 2 2" xfId="33582"/>
    <cellStyle name="Vérification 2 2 8 10 3 3" xfId="13525"/>
    <cellStyle name="Vérification 2 2 8 10 3 4" xfId="29746"/>
    <cellStyle name="Vérification 2 2 8 10 4" xfId="20223"/>
    <cellStyle name="Vérification 2 2 8 10 4 2" xfId="34222"/>
    <cellStyle name="Vérification 2 2 8 10 5" xfId="10760"/>
    <cellStyle name="Vérification 2 2 8 10 6" xfId="26983"/>
    <cellStyle name="Vérification 2 2 8 11" xfId="3018"/>
    <cellStyle name="Vérification 2 2 8 11 2" xfId="8102"/>
    <cellStyle name="Vérification 2 2 8 11 2 2" xfId="24326"/>
    <cellStyle name="Vérification 2 2 8 11 2 2 2" xfId="36333"/>
    <cellStyle name="Vérification 2 2 8 11 2 3" xfId="14109"/>
    <cellStyle name="Vérification 2 2 8 11 2 4" xfId="30330"/>
    <cellStyle name="Vérification 2 2 8 11 3" xfId="9750"/>
    <cellStyle name="Vérification 2 2 8 11 3 2" xfId="25974"/>
    <cellStyle name="Vérification 2 2 8 11 3 2 2" xfId="37981"/>
    <cellStyle name="Vérification 2 2 8 11 3 3" xfId="15757"/>
    <cellStyle name="Vérification 2 2 8 11 3 4" xfId="31978"/>
    <cellStyle name="Vérification 2 2 8 11 4" xfId="19246"/>
    <cellStyle name="Vérification 2 2 8 11 4 2" xfId="33360"/>
    <cellStyle name="Vérification 2 2 8 11 5" xfId="11657"/>
    <cellStyle name="Vérification 2 2 8 11 6" xfId="27878"/>
    <cellStyle name="Vérification 2 2 8 12" xfId="3808"/>
    <cellStyle name="Vérification 2 2 8 12 2" xfId="8646"/>
    <cellStyle name="Vérification 2 2 8 12 2 2" xfId="24870"/>
    <cellStyle name="Vérification 2 2 8 12 2 2 2" xfId="36877"/>
    <cellStyle name="Vérification 2 2 8 12 2 3" xfId="14653"/>
    <cellStyle name="Vérification 2 2 8 12 2 4" xfId="30874"/>
    <cellStyle name="Vérification 2 2 8 12 3" xfId="20036"/>
    <cellStyle name="Vérification 2 2 8 12 3 2" xfId="34150"/>
    <cellStyle name="Vérification 2 2 8 12 4" xfId="12201"/>
    <cellStyle name="Vérification 2 2 8 12 5" xfId="28422"/>
    <cellStyle name="Vérification 2 2 8 13" xfId="3652"/>
    <cellStyle name="Vérification 2 2 8 13 2" xfId="19880"/>
    <cellStyle name="Vérification 2 2 8 13 2 2" xfId="33994"/>
    <cellStyle name="Vérification 2 2 8 13 3" xfId="12290"/>
    <cellStyle name="Vérification 2 2 8 13 4" xfId="28511"/>
    <cellStyle name="Vérification 2 2 8 14" xfId="16539"/>
    <cellStyle name="Vérification 2 2 8 14 2" xfId="32645"/>
    <cellStyle name="Vérification 2 2 8 15" xfId="10417"/>
    <cellStyle name="Vérification 2 2 8 16" xfId="26642"/>
    <cellStyle name="Vérification 2 2 8 2" xfId="445"/>
    <cellStyle name="Vérification 2 2 8 2 10" xfId="10440"/>
    <cellStyle name="Vérification 2 2 8 2 11" xfId="26665"/>
    <cellStyle name="Vérification 2 2 8 2 2" xfId="1359"/>
    <cellStyle name="Vérification 2 2 8 2 2 2" xfId="2837"/>
    <cellStyle name="Vérification 2 2 8 2 2 2 2" xfId="6525"/>
    <cellStyle name="Vérification 2 2 8 2 2 2 2 2" xfId="8906"/>
    <cellStyle name="Vérification 2 2 8 2 2 2 2 2 2" xfId="25130"/>
    <cellStyle name="Vérification 2 2 8 2 2 2 2 2 2 2" xfId="37137"/>
    <cellStyle name="Vérification 2 2 8 2 2 2 2 2 3" xfId="14913"/>
    <cellStyle name="Vérification 2 2 8 2 2 2 2 2 4" xfId="31134"/>
    <cellStyle name="Vérification 2 2 8 2 2 2 2 3" xfId="10284"/>
    <cellStyle name="Vérification 2 2 8 2 2 2 2 3 2" xfId="26508"/>
    <cellStyle name="Vérification 2 2 8 2 2 2 2 3 2 2" xfId="38515"/>
    <cellStyle name="Vérification 2 2 8 2 2 2 2 3 3" xfId="16291"/>
    <cellStyle name="Vérification 2 2 8 2 2 2 2 3 4" xfId="32512"/>
    <cellStyle name="Vérification 2 2 8 2 2 2 2 4" xfId="22749"/>
    <cellStyle name="Vérification 2 2 8 2 2 2 2 4 2" xfId="34756"/>
    <cellStyle name="Vérification 2 2 8 2 2 2 2 5" xfId="12610"/>
    <cellStyle name="Vérification 2 2 8 2 2 2 2 6" xfId="28831"/>
    <cellStyle name="Vérification 2 2 8 2 2 2 3" xfId="7573"/>
    <cellStyle name="Vérification 2 2 8 2 2 2 3 2" xfId="9617"/>
    <cellStyle name="Vérification 2 2 8 2 2 2 3 2 2" xfId="25841"/>
    <cellStyle name="Vérification 2 2 8 2 2 2 3 2 2 2" xfId="37848"/>
    <cellStyle name="Vérification 2 2 8 2 2 2 3 2 3" xfId="15624"/>
    <cellStyle name="Vérification 2 2 8 2 2 2 3 2 4" xfId="31845"/>
    <cellStyle name="Vérification 2 2 8 2 2 2 3 3" xfId="23797"/>
    <cellStyle name="Vérification 2 2 8 2 2 2 3 3 2" xfId="35804"/>
    <cellStyle name="Vérification 2 2 8 2 2 2 3 4" xfId="13321"/>
    <cellStyle name="Vérification 2 2 8 2 2 2 3 5" xfId="29542"/>
    <cellStyle name="Vérification 2 2 8 2 2 2 4" xfId="7950"/>
    <cellStyle name="Vérification 2 2 8 2 2 2 4 2" xfId="24174"/>
    <cellStyle name="Vérification 2 2 8 2 2 2 4 2 2" xfId="36181"/>
    <cellStyle name="Vérification 2 2 8 2 2 2 4 3" xfId="13957"/>
    <cellStyle name="Vérification 2 2 8 2 2 2 4 4" xfId="30178"/>
    <cellStyle name="Vérification 2 2 8 2 2 2 5" xfId="19065"/>
    <cellStyle name="Vérification 2 2 8 2 2 2 5 2" xfId="33179"/>
    <cellStyle name="Vérification 2 2 8 2 2 2 6" xfId="11306"/>
    <cellStyle name="Vérification 2 2 8 2 2 2 7" xfId="27527"/>
    <cellStyle name="Vérification 2 2 8 2 2 3" xfId="5056"/>
    <cellStyle name="Vérification 2 2 8 2 2 3 2" xfId="7083"/>
    <cellStyle name="Vérification 2 2 8 2 2 3 2 2" xfId="9284"/>
    <cellStyle name="Vérification 2 2 8 2 2 3 2 2 2" xfId="25508"/>
    <cellStyle name="Vérification 2 2 8 2 2 3 2 2 2 2" xfId="37515"/>
    <cellStyle name="Vérification 2 2 8 2 2 3 2 2 3" xfId="15291"/>
    <cellStyle name="Vérification 2 2 8 2 2 3 2 2 4" xfId="31512"/>
    <cellStyle name="Vérification 2 2 8 2 2 3 2 3" xfId="23307"/>
    <cellStyle name="Vérification 2 2 8 2 2 3 2 3 2" xfId="35314"/>
    <cellStyle name="Vérification 2 2 8 2 2 3 2 4" xfId="12988"/>
    <cellStyle name="Vérification 2 2 8 2 2 3 2 5" xfId="29209"/>
    <cellStyle name="Vérification 2 2 8 2 2 3 3" xfId="3820"/>
    <cellStyle name="Vérification 2 2 8 2 2 3 3 2" xfId="20048"/>
    <cellStyle name="Vérification 2 2 8 2 2 3 3 2 2" xfId="34162"/>
    <cellStyle name="Vérification 2 2 8 2 2 3 3 3" xfId="13493"/>
    <cellStyle name="Vérification 2 2 8 2 2 3 3 4" xfId="29714"/>
    <cellStyle name="Vérification 2 2 8 2 2 3 4" xfId="21282"/>
    <cellStyle name="Vérification 2 2 8 2 2 3 4 2" xfId="34423"/>
    <cellStyle name="Vérification 2 2 8 2 2 3 5" xfId="10970"/>
    <cellStyle name="Vérification 2 2 8 2 2 3 6" xfId="27193"/>
    <cellStyle name="Vérification 2 2 8 2 2 4" xfId="3447"/>
    <cellStyle name="Vérification 2 2 8 2 2 4 2" xfId="8414"/>
    <cellStyle name="Vérification 2 2 8 2 2 4 2 2" xfId="24638"/>
    <cellStyle name="Vérification 2 2 8 2 2 4 2 2 2" xfId="36645"/>
    <cellStyle name="Vérification 2 2 8 2 2 4 2 3" xfId="14421"/>
    <cellStyle name="Vérification 2 2 8 2 2 4 2 4" xfId="30642"/>
    <cellStyle name="Vérification 2 2 8 2 2 4 3" xfId="9951"/>
    <cellStyle name="Vérification 2 2 8 2 2 4 3 2" xfId="26175"/>
    <cellStyle name="Vérification 2 2 8 2 2 4 3 2 2" xfId="38182"/>
    <cellStyle name="Vérification 2 2 8 2 2 4 3 3" xfId="15958"/>
    <cellStyle name="Vérification 2 2 8 2 2 4 3 4" xfId="32179"/>
    <cellStyle name="Vérification 2 2 8 2 2 4 4" xfId="19675"/>
    <cellStyle name="Vérification 2 2 8 2 2 4 4 2" xfId="33789"/>
    <cellStyle name="Vérification 2 2 8 2 2 4 5" xfId="11969"/>
    <cellStyle name="Vérification 2 2 8 2 2 4 6" xfId="28190"/>
    <cellStyle name="Vérification 2 2 8 2 2 5" xfId="3224"/>
    <cellStyle name="Vérification 2 2 8 2 2 5 2" xfId="8243"/>
    <cellStyle name="Vérification 2 2 8 2 2 5 2 2" xfId="24467"/>
    <cellStyle name="Vérification 2 2 8 2 2 5 2 2 2" xfId="36474"/>
    <cellStyle name="Vérification 2 2 8 2 2 5 2 3" xfId="14250"/>
    <cellStyle name="Vérification 2 2 8 2 2 5 2 4" xfId="30471"/>
    <cellStyle name="Vérification 2 2 8 2 2 5 3" xfId="19452"/>
    <cellStyle name="Vérification 2 2 8 2 2 5 3 2" xfId="33566"/>
    <cellStyle name="Vérification 2 2 8 2 2 5 4" xfId="11798"/>
    <cellStyle name="Vérification 2 2 8 2 2 5 5" xfId="28019"/>
    <cellStyle name="Vérification 2 2 8 2 2 6" xfId="7307"/>
    <cellStyle name="Vérification 2 2 8 2 2 6 2" xfId="23531"/>
    <cellStyle name="Vérification 2 2 8 2 2 6 2 2" xfId="35538"/>
    <cellStyle name="Vérification 2 2 8 2 2 6 3" xfId="13684"/>
    <cellStyle name="Vérification 2 2 8 2 2 6 4" xfId="29905"/>
    <cellStyle name="Vérification 2 2 8 2 2 7" xfId="17598"/>
    <cellStyle name="Vérification 2 2 8 2 2 7 2" xfId="32846"/>
    <cellStyle name="Vérification 2 2 8 2 2 8" xfId="10618"/>
    <cellStyle name="Vérification 2 2 8 2 2 9" xfId="26843"/>
    <cellStyle name="Vérification 2 2 8 2 3" xfId="1060"/>
    <cellStyle name="Vérification 2 2 8 2 3 2" xfId="2748"/>
    <cellStyle name="Vérification 2 2 8 2 3 2 2" xfId="6436"/>
    <cellStyle name="Vérification 2 2 8 2 3 2 2 2" xfId="8817"/>
    <cellStyle name="Vérification 2 2 8 2 3 2 2 2 2" xfId="25041"/>
    <cellStyle name="Vérification 2 2 8 2 3 2 2 2 2 2" xfId="37048"/>
    <cellStyle name="Vérification 2 2 8 2 3 2 2 2 3" xfId="14824"/>
    <cellStyle name="Vérification 2 2 8 2 3 2 2 2 4" xfId="31045"/>
    <cellStyle name="Vérification 2 2 8 2 3 2 2 3" xfId="10195"/>
    <cellStyle name="Vérification 2 2 8 2 3 2 2 3 2" xfId="26419"/>
    <cellStyle name="Vérification 2 2 8 2 3 2 2 3 2 2" xfId="38426"/>
    <cellStyle name="Vérification 2 2 8 2 3 2 2 3 3" xfId="16202"/>
    <cellStyle name="Vérification 2 2 8 2 3 2 2 3 4" xfId="32423"/>
    <cellStyle name="Vérification 2 2 8 2 3 2 2 4" xfId="22660"/>
    <cellStyle name="Vérification 2 2 8 2 3 2 2 4 2" xfId="34667"/>
    <cellStyle name="Vérification 2 2 8 2 3 2 2 5" xfId="12521"/>
    <cellStyle name="Vérification 2 2 8 2 3 2 2 6" xfId="28742"/>
    <cellStyle name="Vérification 2 2 8 2 3 2 3" xfId="7484"/>
    <cellStyle name="Vérification 2 2 8 2 3 2 3 2" xfId="9528"/>
    <cellStyle name="Vérification 2 2 8 2 3 2 3 2 2" xfId="25752"/>
    <cellStyle name="Vérification 2 2 8 2 3 2 3 2 2 2" xfId="37759"/>
    <cellStyle name="Vérification 2 2 8 2 3 2 3 2 3" xfId="15535"/>
    <cellStyle name="Vérification 2 2 8 2 3 2 3 2 4" xfId="31756"/>
    <cellStyle name="Vérification 2 2 8 2 3 2 3 3" xfId="23708"/>
    <cellStyle name="Vérification 2 2 8 2 3 2 3 3 2" xfId="35715"/>
    <cellStyle name="Vérification 2 2 8 2 3 2 3 4" xfId="13232"/>
    <cellStyle name="Vérification 2 2 8 2 3 2 3 5" xfId="29453"/>
    <cellStyle name="Vérification 2 2 8 2 3 2 4" xfId="7861"/>
    <cellStyle name="Vérification 2 2 8 2 3 2 4 2" xfId="24085"/>
    <cellStyle name="Vérification 2 2 8 2 3 2 4 2 2" xfId="36092"/>
    <cellStyle name="Vérification 2 2 8 2 3 2 4 3" xfId="13868"/>
    <cellStyle name="Vérification 2 2 8 2 3 2 4 4" xfId="30089"/>
    <cellStyle name="Vérification 2 2 8 2 3 2 5" xfId="18976"/>
    <cellStyle name="Vérification 2 2 8 2 3 2 5 2" xfId="33090"/>
    <cellStyle name="Vérification 2 2 8 2 3 2 6" xfId="11217"/>
    <cellStyle name="Vérification 2 2 8 2 3 2 7" xfId="27438"/>
    <cellStyle name="Vérification 2 2 8 2 3 3" xfId="4757"/>
    <cellStyle name="Vérification 2 2 8 2 3 3 2" xfId="6970"/>
    <cellStyle name="Vérification 2 2 8 2 3 3 2 2" xfId="9195"/>
    <cellStyle name="Vérification 2 2 8 2 3 3 2 2 2" xfId="25419"/>
    <cellStyle name="Vérification 2 2 8 2 3 3 2 2 2 2" xfId="37426"/>
    <cellStyle name="Vérification 2 2 8 2 3 3 2 2 3" xfId="15202"/>
    <cellStyle name="Vérification 2 2 8 2 3 3 2 2 4" xfId="31423"/>
    <cellStyle name="Vérification 2 2 8 2 3 3 2 3" xfId="23194"/>
    <cellStyle name="Vérification 2 2 8 2 3 3 2 3 2" xfId="35201"/>
    <cellStyle name="Vérification 2 2 8 2 3 3 2 4" xfId="12899"/>
    <cellStyle name="Vérification 2 2 8 2 3 3 2 5" xfId="29120"/>
    <cellStyle name="Vérification 2 2 8 2 3 3 3" xfId="3035"/>
    <cellStyle name="Vérification 2 2 8 2 3 3 3 2" xfId="19263"/>
    <cellStyle name="Vérification 2 2 8 2 3 3 3 2 2" xfId="33377"/>
    <cellStyle name="Vérification 2 2 8 2 3 3 3 3" xfId="11504"/>
    <cellStyle name="Vérification 2 2 8 2 3 3 3 4" xfId="27725"/>
    <cellStyle name="Vérification 2 2 8 2 3 3 4" xfId="20983"/>
    <cellStyle name="Vérification 2 2 8 2 3 3 4 2" xfId="34334"/>
    <cellStyle name="Vérification 2 2 8 2 3 3 5" xfId="10881"/>
    <cellStyle name="Vérification 2 2 8 2 3 3 6" xfId="27104"/>
    <cellStyle name="Vérification 2 2 8 2 3 4" xfId="3308"/>
    <cellStyle name="Vérification 2 2 8 2 3 4 2" xfId="8294"/>
    <cellStyle name="Vérification 2 2 8 2 3 4 2 2" xfId="24518"/>
    <cellStyle name="Vérification 2 2 8 2 3 4 2 2 2" xfId="36525"/>
    <cellStyle name="Vérification 2 2 8 2 3 4 2 3" xfId="14301"/>
    <cellStyle name="Vérification 2 2 8 2 3 4 2 4" xfId="30522"/>
    <cellStyle name="Vérification 2 2 8 2 3 4 3" xfId="9862"/>
    <cellStyle name="Vérification 2 2 8 2 3 4 3 2" xfId="26086"/>
    <cellStyle name="Vérification 2 2 8 2 3 4 3 2 2" xfId="38093"/>
    <cellStyle name="Vérification 2 2 8 2 3 4 3 3" xfId="15869"/>
    <cellStyle name="Vérification 2 2 8 2 3 4 3 4" xfId="32090"/>
    <cellStyle name="Vérification 2 2 8 2 3 4 4" xfId="19536"/>
    <cellStyle name="Vérification 2 2 8 2 3 4 4 2" xfId="33650"/>
    <cellStyle name="Vérification 2 2 8 2 3 4 5" xfId="11849"/>
    <cellStyle name="Vérification 2 2 8 2 3 4 6" xfId="28070"/>
    <cellStyle name="Vérification 2 2 8 2 3 5" xfId="3239"/>
    <cellStyle name="Vérification 2 2 8 2 3 5 2" xfId="8249"/>
    <cellStyle name="Vérification 2 2 8 2 3 5 2 2" xfId="24473"/>
    <cellStyle name="Vérification 2 2 8 2 3 5 2 2 2" xfId="36480"/>
    <cellStyle name="Vérification 2 2 8 2 3 5 2 3" xfId="14256"/>
    <cellStyle name="Vérification 2 2 8 2 3 5 2 4" xfId="30477"/>
    <cellStyle name="Vérification 2 2 8 2 3 5 3" xfId="19467"/>
    <cellStyle name="Vérification 2 2 8 2 3 5 3 2" xfId="33581"/>
    <cellStyle name="Vérification 2 2 8 2 3 5 4" xfId="11804"/>
    <cellStyle name="Vérification 2 2 8 2 3 5 5" xfId="28025"/>
    <cellStyle name="Vérification 2 2 8 2 3 6" xfId="7271"/>
    <cellStyle name="Vérification 2 2 8 2 3 6 2" xfId="23495"/>
    <cellStyle name="Vérification 2 2 8 2 3 6 2 2" xfId="35502"/>
    <cellStyle name="Vérification 2 2 8 2 3 6 3" xfId="13655"/>
    <cellStyle name="Vérification 2 2 8 2 3 6 4" xfId="29876"/>
    <cellStyle name="Vérification 2 2 8 2 3 7" xfId="17299"/>
    <cellStyle name="Vérification 2 2 8 2 3 7 2" xfId="32757"/>
    <cellStyle name="Vérification 2 2 8 2 3 8" xfId="10529"/>
    <cellStyle name="Vérification 2 2 8 2 3 9" xfId="26754"/>
    <cellStyle name="Vérification 2 2 8 2 4" xfId="2659"/>
    <cellStyle name="Vérification 2 2 8 2 4 2" xfId="6347"/>
    <cellStyle name="Vérification 2 2 8 2 4 2 2" xfId="8728"/>
    <cellStyle name="Vérification 2 2 8 2 4 2 2 2" xfId="24952"/>
    <cellStyle name="Vérification 2 2 8 2 4 2 2 2 2" xfId="36959"/>
    <cellStyle name="Vérification 2 2 8 2 4 2 2 3" xfId="14735"/>
    <cellStyle name="Vérification 2 2 8 2 4 2 2 4" xfId="30956"/>
    <cellStyle name="Vérification 2 2 8 2 4 2 3" xfId="10106"/>
    <cellStyle name="Vérification 2 2 8 2 4 2 3 2" xfId="26330"/>
    <cellStyle name="Vérification 2 2 8 2 4 2 3 2 2" xfId="38337"/>
    <cellStyle name="Vérification 2 2 8 2 4 2 3 3" xfId="16113"/>
    <cellStyle name="Vérification 2 2 8 2 4 2 3 4" xfId="32334"/>
    <cellStyle name="Vérification 2 2 8 2 4 2 4" xfId="22571"/>
    <cellStyle name="Vérification 2 2 8 2 4 2 4 2" xfId="34578"/>
    <cellStyle name="Vérification 2 2 8 2 4 2 5" xfId="12432"/>
    <cellStyle name="Vérification 2 2 8 2 4 2 6" xfId="28653"/>
    <cellStyle name="Vérification 2 2 8 2 4 3" xfId="7395"/>
    <cellStyle name="Vérification 2 2 8 2 4 3 2" xfId="9439"/>
    <cellStyle name="Vérification 2 2 8 2 4 3 2 2" xfId="25663"/>
    <cellStyle name="Vérification 2 2 8 2 4 3 2 2 2" xfId="37670"/>
    <cellStyle name="Vérification 2 2 8 2 4 3 2 3" xfId="15446"/>
    <cellStyle name="Vérification 2 2 8 2 4 3 2 4" xfId="31667"/>
    <cellStyle name="Vérification 2 2 8 2 4 3 3" xfId="23619"/>
    <cellStyle name="Vérification 2 2 8 2 4 3 3 2" xfId="35626"/>
    <cellStyle name="Vérification 2 2 8 2 4 3 4" xfId="13143"/>
    <cellStyle name="Vérification 2 2 8 2 4 3 5" xfId="29364"/>
    <cellStyle name="Vérification 2 2 8 2 4 4" xfId="7772"/>
    <cellStyle name="Vérification 2 2 8 2 4 4 2" xfId="23996"/>
    <cellStyle name="Vérification 2 2 8 2 4 4 2 2" xfId="36003"/>
    <cellStyle name="Vérification 2 2 8 2 4 4 3" xfId="13779"/>
    <cellStyle name="Vérification 2 2 8 2 4 4 4" xfId="30000"/>
    <cellStyle name="Vérification 2 2 8 2 4 5" xfId="18887"/>
    <cellStyle name="Vérification 2 2 8 2 4 5 2" xfId="33001"/>
    <cellStyle name="Vérification 2 2 8 2 4 6" xfId="11128"/>
    <cellStyle name="Vérification 2 2 8 2 4 7" xfId="27349"/>
    <cellStyle name="Vérification 2 2 8 2 5" xfId="4182"/>
    <cellStyle name="Vérification 2 2 8 2 5 2" xfId="6806"/>
    <cellStyle name="Vérification 2 2 8 2 5 2 2" xfId="9106"/>
    <cellStyle name="Vérification 2 2 8 2 5 2 2 2" xfId="25330"/>
    <cellStyle name="Vérification 2 2 8 2 5 2 2 2 2" xfId="37337"/>
    <cellStyle name="Vérification 2 2 8 2 5 2 2 3" xfId="15113"/>
    <cellStyle name="Vérification 2 2 8 2 5 2 2 4" xfId="31334"/>
    <cellStyle name="Vérification 2 2 8 2 5 2 3" xfId="23030"/>
    <cellStyle name="Vérification 2 2 8 2 5 2 3 2" xfId="35037"/>
    <cellStyle name="Vérification 2 2 8 2 5 2 4" xfId="12810"/>
    <cellStyle name="Vérification 2 2 8 2 5 2 5" xfId="29031"/>
    <cellStyle name="Vérification 2 2 8 2 5 3" xfId="7021"/>
    <cellStyle name="Vérification 2 2 8 2 5 3 2" xfId="23245"/>
    <cellStyle name="Vérification 2 2 8 2 5 3 2 2" xfId="35252"/>
    <cellStyle name="Vérification 2 2 8 2 5 3 3" xfId="11432"/>
    <cellStyle name="Vérification 2 2 8 2 5 3 4" xfId="27653"/>
    <cellStyle name="Vérification 2 2 8 2 5 4" xfId="20408"/>
    <cellStyle name="Vérification 2 2 8 2 5 4 2" xfId="34245"/>
    <cellStyle name="Vérification 2 2 8 2 5 5" xfId="10785"/>
    <cellStyle name="Vérification 2 2 8 2 5 6" xfId="27008"/>
    <cellStyle name="Vérification 2 2 8 2 6" xfId="3087"/>
    <cellStyle name="Vérification 2 2 8 2 6 2" xfId="8145"/>
    <cellStyle name="Vérification 2 2 8 2 6 2 2" xfId="24369"/>
    <cellStyle name="Vérification 2 2 8 2 6 2 2 2" xfId="36376"/>
    <cellStyle name="Vérification 2 2 8 2 6 2 3" xfId="14152"/>
    <cellStyle name="Vérification 2 2 8 2 6 2 4" xfId="30373"/>
    <cellStyle name="Vérification 2 2 8 2 6 3" xfId="9773"/>
    <cellStyle name="Vérification 2 2 8 2 6 3 2" xfId="25997"/>
    <cellStyle name="Vérification 2 2 8 2 6 3 2 2" xfId="38004"/>
    <cellStyle name="Vérification 2 2 8 2 6 3 3" xfId="15780"/>
    <cellStyle name="Vérification 2 2 8 2 6 3 4" xfId="32001"/>
    <cellStyle name="Vérification 2 2 8 2 6 4" xfId="19315"/>
    <cellStyle name="Vérification 2 2 8 2 6 4 2" xfId="33429"/>
    <cellStyle name="Vérification 2 2 8 2 6 5" xfId="11700"/>
    <cellStyle name="Vérification 2 2 8 2 6 6" xfId="27921"/>
    <cellStyle name="Vérification 2 2 8 2 7" xfId="3168"/>
    <cellStyle name="Vérification 2 2 8 2 7 2" xfId="8202"/>
    <cellStyle name="Vérification 2 2 8 2 7 2 2" xfId="24426"/>
    <cellStyle name="Vérification 2 2 8 2 7 2 2 2" xfId="36433"/>
    <cellStyle name="Vérification 2 2 8 2 7 2 3" xfId="14209"/>
    <cellStyle name="Vérification 2 2 8 2 7 2 4" xfId="30430"/>
    <cellStyle name="Vérification 2 2 8 2 7 3" xfId="19396"/>
    <cellStyle name="Vérification 2 2 8 2 7 3 2" xfId="33510"/>
    <cellStyle name="Vérification 2 2 8 2 7 4" xfId="11757"/>
    <cellStyle name="Vérification 2 2 8 2 7 5" xfId="27978"/>
    <cellStyle name="Vérification 2 2 8 2 8" xfId="6740"/>
    <cellStyle name="Vérification 2 2 8 2 8 2" xfId="22964"/>
    <cellStyle name="Vérification 2 2 8 2 8 2 2" xfId="34971"/>
    <cellStyle name="Vérification 2 2 8 2 8 3" xfId="12388"/>
    <cellStyle name="Vérification 2 2 8 2 8 4" xfId="28609"/>
    <cellStyle name="Vérification 2 2 8 2 9" xfId="16724"/>
    <cellStyle name="Vérification 2 2 8 2 9 2" xfId="32668"/>
    <cellStyle name="Vérification 2 2 8 3" xfId="514"/>
    <cellStyle name="Vérification 2 2 8 3 10" xfId="10461"/>
    <cellStyle name="Vérification 2 2 8 3 11" xfId="26686"/>
    <cellStyle name="Vérification 2 2 8 3 2" xfId="1380"/>
    <cellStyle name="Vérification 2 2 8 3 2 2" xfId="2858"/>
    <cellStyle name="Vérification 2 2 8 3 2 2 2" xfId="6546"/>
    <cellStyle name="Vérification 2 2 8 3 2 2 2 2" xfId="8927"/>
    <cellStyle name="Vérification 2 2 8 3 2 2 2 2 2" xfId="25151"/>
    <cellStyle name="Vérification 2 2 8 3 2 2 2 2 2 2" xfId="37158"/>
    <cellStyle name="Vérification 2 2 8 3 2 2 2 2 3" xfId="14934"/>
    <cellStyle name="Vérification 2 2 8 3 2 2 2 2 4" xfId="31155"/>
    <cellStyle name="Vérification 2 2 8 3 2 2 2 3" xfId="10305"/>
    <cellStyle name="Vérification 2 2 8 3 2 2 2 3 2" xfId="26529"/>
    <cellStyle name="Vérification 2 2 8 3 2 2 2 3 2 2" xfId="38536"/>
    <cellStyle name="Vérification 2 2 8 3 2 2 2 3 3" xfId="16312"/>
    <cellStyle name="Vérification 2 2 8 3 2 2 2 3 4" xfId="32533"/>
    <cellStyle name="Vérification 2 2 8 3 2 2 2 4" xfId="22770"/>
    <cellStyle name="Vérification 2 2 8 3 2 2 2 4 2" xfId="34777"/>
    <cellStyle name="Vérification 2 2 8 3 2 2 2 5" xfId="12631"/>
    <cellStyle name="Vérification 2 2 8 3 2 2 2 6" xfId="28852"/>
    <cellStyle name="Vérification 2 2 8 3 2 2 3" xfId="7594"/>
    <cellStyle name="Vérification 2 2 8 3 2 2 3 2" xfId="9638"/>
    <cellStyle name="Vérification 2 2 8 3 2 2 3 2 2" xfId="25862"/>
    <cellStyle name="Vérification 2 2 8 3 2 2 3 2 2 2" xfId="37869"/>
    <cellStyle name="Vérification 2 2 8 3 2 2 3 2 3" xfId="15645"/>
    <cellStyle name="Vérification 2 2 8 3 2 2 3 2 4" xfId="31866"/>
    <cellStyle name="Vérification 2 2 8 3 2 2 3 3" xfId="23818"/>
    <cellStyle name="Vérification 2 2 8 3 2 2 3 3 2" xfId="35825"/>
    <cellStyle name="Vérification 2 2 8 3 2 2 3 4" xfId="13342"/>
    <cellStyle name="Vérification 2 2 8 3 2 2 3 5" xfId="29563"/>
    <cellStyle name="Vérification 2 2 8 3 2 2 4" xfId="7971"/>
    <cellStyle name="Vérification 2 2 8 3 2 2 4 2" xfId="24195"/>
    <cellStyle name="Vérification 2 2 8 3 2 2 4 2 2" xfId="36202"/>
    <cellStyle name="Vérification 2 2 8 3 2 2 4 3" xfId="13978"/>
    <cellStyle name="Vérification 2 2 8 3 2 2 4 4" xfId="30199"/>
    <cellStyle name="Vérification 2 2 8 3 2 2 5" xfId="19086"/>
    <cellStyle name="Vérification 2 2 8 3 2 2 5 2" xfId="33200"/>
    <cellStyle name="Vérification 2 2 8 3 2 2 6" xfId="11327"/>
    <cellStyle name="Vérification 2 2 8 3 2 2 7" xfId="27548"/>
    <cellStyle name="Vérification 2 2 8 3 2 3" xfId="5077"/>
    <cellStyle name="Vérification 2 2 8 3 2 3 2" xfId="7104"/>
    <cellStyle name="Vérification 2 2 8 3 2 3 2 2" xfId="9305"/>
    <cellStyle name="Vérification 2 2 8 3 2 3 2 2 2" xfId="25529"/>
    <cellStyle name="Vérification 2 2 8 3 2 3 2 2 2 2" xfId="37536"/>
    <cellStyle name="Vérification 2 2 8 3 2 3 2 2 3" xfId="15312"/>
    <cellStyle name="Vérification 2 2 8 3 2 3 2 2 4" xfId="31533"/>
    <cellStyle name="Vérification 2 2 8 3 2 3 2 3" xfId="23328"/>
    <cellStyle name="Vérification 2 2 8 3 2 3 2 3 2" xfId="35335"/>
    <cellStyle name="Vérification 2 2 8 3 2 3 2 4" xfId="13009"/>
    <cellStyle name="Vérification 2 2 8 3 2 3 2 5" xfId="29230"/>
    <cellStyle name="Vérification 2 2 8 3 2 3 3" xfId="6673"/>
    <cellStyle name="Vérification 2 2 8 3 2 3 3 2" xfId="22897"/>
    <cellStyle name="Vérification 2 2 8 3 2 3 3 2 2" xfId="34904"/>
    <cellStyle name="Vérification 2 2 8 3 2 3 3 3" xfId="12265"/>
    <cellStyle name="Vérification 2 2 8 3 2 3 3 4" xfId="28486"/>
    <cellStyle name="Vérification 2 2 8 3 2 3 4" xfId="21303"/>
    <cellStyle name="Vérification 2 2 8 3 2 3 4 2" xfId="34444"/>
    <cellStyle name="Vérification 2 2 8 3 2 3 5" xfId="10991"/>
    <cellStyle name="Vérification 2 2 8 3 2 3 6" xfId="27214"/>
    <cellStyle name="Vérification 2 2 8 3 2 4" xfId="3468"/>
    <cellStyle name="Vérification 2 2 8 3 2 4 2" xfId="8435"/>
    <cellStyle name="Vérification 2 2 8 3 2 4 2 2" xfId="24659"/>
    <cellStyle name="Vérification 2 2 8 3 2 4 2 2 2" xfId="36666"/>
    <cellStyle name="Vérification 2 2 8 3 2 4 2 3" xfId="14442"/>
    <cellStyle name="Vérification 2 2 8 3 2 4 2 4" xfId="30663"/>
    <cellStyle name="Vérification 2 2 8 3 2 4 3" xfId="9972"/>
    <cellStyle name="Vérification 2 2 8 3 2 4 3 2" xfId="26196"/>
    <cellStyle name="Vérification 2 2 8 3 2 4 3 2 2" xfId="38203"/>
    <cellStyle name="Vérification 2 2 8 3 2 4 3 3" xfId="15979"/>
    <cellStyle name="Vérification 2 2 8 3 2 4 3 4" xfId="32200"/>
    <cellStyle name="Vérification 2 2 8 3 2 4 4" xfId="19696"/>
    <cellStyle name="Vérification 2 2 8 3 2 4 4 2" xfId="33810"/>
    <cellStyle name="Vérification 2 2 8 3 2 4 5" xfId="11990"/>
    <cellStyle name="Vérification 2 2 8 3 2 4 6" xfId="28211"/>
    <cellStyle name="Vérification 2 2 8 3 2 5" xfId="3101"/>
    <cellStyle name="Vérification 2 2 8 3 2 5 2" xfId="8153"/>
    <cellStyle name="Vérification 2 2 8 3 2 5 2 2" xfId="24377"/>
    <cellStyle name="Vérification 2 2 8 3 2 5 2 2 2" xfId="36384"/>
    <cellStyle name="Vérification 2 2 8 3 2 5 2 3" xfId="14160"/>
    <cellStyle name="Vérification 2 2 8 3 2 5 2 4" xfId="30381"/>
    <cellStyle name="Vérification 2 2 8 3 2 5 3" xfId="19329"/>
    <cellStyle name="Vérification 2 2 8 3 2 5 3 2" xfId="33443"/>
    <cellStyle name="Vérification 2 2 8 3 2 5 4" xfId="11708"/>
    <cellStyle name="Vérification 2 2 8 3 2 5 5" xfId="27929"/>
    <cellStyle name="Vérification 2 2 8 3 2 6" xfId="3787"/>
    <cellStyle name="Vérification 2 2 8 3 2 6 2" xfId="20015"/>
    <cellStyle name="Vérification 2 2 8 3 2 6 2 2" xfId="34129"/>
    <cellStyle name="Vérification 2 2 8 3 2 6 3" xfId="13459"/>
    <cellStyle name="Vérification 2 2 8 3 2 6 4" xfId="29680"/>
    <cellStyle name="Vérification 2 2 8 3 2 7" xfId="17619"/>
    <cellStyle name="Vérification 2 2 8 3 2 7 2" xfId="32867"/>
    <cellStyle name="Vérification 2 2 8 3 2 8" xfId="10639"/>
    <cellStyle name="Vérification 2 2 8 3 2 9" xfId="26864"/>
    <cellStyle name="Vérification 2 2 8 3 3" xfId="1129"/>
    <cellStyle name="Vérification 2 2 8 3 3 2" xfId="2769"/>
    <cellStyle name="Vérification 2 2 8 3 3 2 2" xfId="6457"/>
    <cellStyle name="Vérification 2 2 8 3 3 2 2 2" xfId="8838"/>
    <cellStyle name="Vérification 2 2 8 3 3 2 2 2 2" xfId="25062"/>
    <cellStyle name="Vérification 2 2 8 3 3 2 2 2 2 2" xfId="37069"/>
    <cellStyle name="Vérification 2 2 8 3 3 2 2 2 3" xfId="14845"/>
    <cellStyle name="Vérification 2 2 8 3 3 2 2 2 4" xfId="31066"/>
    <cellStyle name="Vérification 2 2 8 3 3 2 2 3" xfId="10216"/>
    <cellStyle name="Vérification 2 2 8 3 3 2 2 3 2" xfId="26440"/>
    <cellStyle name="Vérification 2 2 8 3 3 2 2 3 2 2" xfId="38447"/>
    <cellStyle name="Vérification 2 2 8 3 3 2 2 3 3" xfId="16223"/>
    <cellStyle name="Vérification 2 2 8 3 3 2 2 3 4" xfId="32444"/>
    <cellStyle name="Vérification 2 2 8 3 3 2 2 4" xfId="22681"/>
    <cellStyle name="Vérification 2 2 8 3 3 2 2 4 2" xfId="34688"/>
    <cellStyle name="Vérification 2 2 8 3 3 2 2 5" xfId="12542"/>
    <cellStyle name="Vérification 2 2 8 3 3 2 2 6" xfId="28763"/>
    <cellStyle name="Vérification 2 2 8 3 3 2 3" xfId="7505"/>
    <cellStyle name="Vérification 2 2 8 3 3 2 3 2" xfId="9549"/>
    <cellStyle name="Vérification 2 2 8 3 3 2 3 2 2" xfId="25773"/>
    <cellStyle name="Vérification 2 2 8 3 3 2 3 2 2 2" xfId="37780"/>
    <cellStyle name="Vérification 2 2 8 3 3 2 3 2 3" xfId="15556"/>
    <cellStyle name="Vérification 2 2 8 3 3 2 3 2 4" xfId="31777"/>
    <cellStyle name="Vérification 2 2 8 3 3 2 3 3" xfId="23729"/>
    <cellStyle name="Vérification 2 2 8 3 3 2 3 3 2" xfId="35736"/>
    <cellStyle name="Vérification 2 2 8 3 3 2 3 4" xfId="13253"/>
    <cellStyle name="Vérification 2 2 8 3 3 2 3 5" xfId="29474"/>
    <cellStyle name="Vérification 2 2 8 3 3 2 4" xfId="7882"/>
    <cellStyle name="Vérification 2 2 8 3 3 2 4 2" xfId="24106"/>
    <cellStyle name="Vérification 2 2 8 3 3 2 4 2 2" xfId="36113"/>
    <cellStyle name="Vérification 2 2 8 3 3 2 4 3" xfId="13889"/>
    <cellStyle name="Vérification 2 2 8 3 3 2 4 4" xfId="30110"/>
    <cellStyle name="Vérification 2 2 8 3 3 2 5" xfId="18997"/>
    <cellStyle name="Vérification 2 2 8 3 3 2 5 2" xfId="33111"/>
    <cellStyle name="Vérification 2 2 8 3 3 2 6" xfId="11238"/>
    <cellStyle name="Vérification 2 2 8 3 3 2 7" xfId="27459"/>
    <cellStyle name="Vérification 2 2 8 3 3 3" xfId="4826"/>
    <cellStyle name="Vérification 2 2 8 3 3 3 2" xfId="6996"/>
    <cellStyle name="Vérification 2 2 8 3 3 3 2 2" xfId="9216"/>
    <cellStyle name="Vérification 2 2 8 3 3 3 2 2 2" xfId="25440"/>
    <cellStyle name="Vérification 2 2 8 3 3 3 2 2 2 2" xfId="37447"/>
    <cellStyle name="Vérification 2 2 8 3 3 3 2 2 3" xfId="15223"/>
    <cellStyle name="Vérification 2 2 8 3 3 3 2 2 4" xfId="31444"/>
    <cellStyle name="Vérification 2 2 8 3 3 3 2 3" xfId="23220"/>
    <cellStyle name="Vérification 2 2 8 3 3 3 2 3 2" xfId="35227"/>
    <cellStyle name="Vérification 2 2 8 3 3 3 2 4" xfId="12920"/>
    <cellStyle name="Vérification 2 2 8 3 3 3 2 5" xfId="29141"/>
    <cellStyle name="Vérification 2 2 8 3 3 3 3" xfId="6929"/>
    <cellStyle name="Vérification 2 2 8 3 3 3 3 2" xfId="23153"/>
    <cellStyle name="Vérification 2 2 8 3 3 3 3 2 2" xfId="35160"/>
    <cellStyle name="Vérification 2 2 8 3 3 3 3 3" xfId="11614"/>
    <cellStyle name="Vérification 2 2 8 3 3 3 3 4" xfId="27835"/>
    <cellStyle name="Vérification 2 2 8 3 3 3 4" xfId="21052"/>
    <cellStyle name="Vérification 2 2 8 3 3 3 4 2" xfId="34355"/>
    <cellStyle name="Vérification 2 2 8 3 3 3 5" xfId="10902"/>
    <cellStyle name="Vérification 2 2 8 3 3 3 6" xfId="27125"/>
    <cellStyle name="Vérification 2 2 8 3 3 4" xfId="3340"/>
    <cellStyle name="Vérification 2 2 8 3 3 4 2" xfId="8323"/>
    <cellStyle name="Vérification 2 2 8 3 3 4 2 2" xfId="24547"/>
    <cellStyle name="Vérification 2 2 8 3 3 4 2 2 2" xfId="36554"/>
    <cellStyle name="Vérification 2 2 8 3 3 4 2 3" xfId="14330"/>
    <cellStyle name="Vérification 2 2 8 3 3 4 2 4" xfId="30551"/>
    <cellStyle name="Vérification 2 2 8 3 3 4 3" xfId="9883"/>
    <cellStyle name="Vérification 2 2 8 3 3 4 3 2" xfId="26107"/>
    <cellStyle name="Vérification 2 2 8 3 3 4 3 2 2" xfId="38114"/>
    <cellStyle name="Vérification 2 2 8 3 3 4 3 3" xfId="15890"/>
    <cellStyle name="Vérification 2 2 8 3 3 4 3 4" xfId="32111"/>
    <cellStyle name="Vérification 2 2 8 3 3 4 4" xfId="19568"/>
    <cellStyle name="Vérification 2 2 8 3 3 4 4 2" xfId="33682"/>
    <cellStyle name="Vérification 2 2 8 3 3 4 5" xfId="11878"/>
    <cellStyle name="Vérification 2 2 8 3 3 4 6" xfId="28099"/>
    <cellStyle name="Vérification 2 2 8 3 3 5" xfId="3667"/>
    <cellStyle name="Vérification 2 2 8 3 3 5 2" xfId="8565"/>
    <cellStyle name="Vérification 2 2 8 3 3 5 2 2" xfId="24789"/>
    <cellStyle name="Vérification 2 2 8 3 3 5 2 2 2" xfId="36796"/>
    <cellStyle name="Vérification 2 2 8 3 3 5 2 3" xfId="14572"/>
    <cellStyle name="Vérification 2 2 8 3 3 5 2 4" xfId="30793"/>
    <cellStyle name="Vérification 2 2 8 3 3 5 3" xfId="19895"/>
    <cellStyle name="Vérification 2 2 8 3 3 5 3 2" xfId="34009"/>
    <cellStyle name="Vérification 2 2 8 3 3 5 4" xfId="12120"/>
    <cellStyle name="Vérification 2 2 8 3 3 5 5" xfId="28341"/>
    <cellStyle name="Vérification 2 2 8 3 3 6" xfId="6926"/>
    <cellStyle name="Vérification 2 2 8 3 3 6 2" xfId="23150"/>
    <cellStyle name="Vérification 2 2 8 3 3 6 2 2" xfId="35157"/>
    <cellStyle name="Vérification 2 2 8 3 3 6 3" xfId="11438"/>
    <cellStyle name="Vérification 2 2 8 3 3 6 4" xfId="27659"/>
    <cellStyle name="Vérification 2 2 8 3 3 7" xfId="17368"/>
    <cellStyle name="Vérification 2 2 8 3 3 7 2" xfId="32778"/>
    <cellStyle name="Vérification 2 2 8 3 3 8" xfId="10550"/>
    <cellStyle name="Vérification 2 2 8 3 3 9" xfId="26775"/>
    <cellStyle name="Vérification 2 2 8 3 4" xfId="2680"/>
    <cellStyle name="Vérification 2 2 8 3 4 2" xfId="6368"/>
    <cellStyle name="Vérification 2 2 8 3 4 2 2" xfId="8749"/>
    <cellStyle name="Vérification 2 2 8 3 4 2 2 2" xfId="24973"/>
    <cellStyle name="Vérification 2 2 8 3 4 2 2 2 2" xfId="36980"/>
    <cellStyle name="Vérification 2 2 8 3 4 2 2 3" xfId="14756"/>
    <cellStyle name="Vérification 2 2 8 3 4 2 2 4" xfId="30977"/>
    <cellStyle name="Vérification 2 2 8 3 4 2 3" xfId="10127"/>
    <cellStyle name="Vérification 2 2 8 3 4 2 3 2" xfId="26351"/>
    <cellStyle name="Vérification 2 2 8 3 4 2 3 2 2" xfId="38358"/>
    <cellStyle name="Vérification 2 2 8 3 4 2 3 3" xfId="16134"/>
    <cellStyle name="Vérification 2 2 8 3 4 2 3 4" xfId="32355"/>
    <cellStyle name="Vérification 2 2 8 3 4 2 4" xfId="22592"/>
    <cellStyle name="Vérification 2 2 8 3 4 2 4 2" xfId="34599"/>
    <cellStyle name="Vérification 2 2 8 3 4 2 5" xfId="12453"/>
    <cellStyle name="Vérification 2 2 8 3 4 2 6" xfId="28674"/>
    <cellStyle name="Vérification 2 2 8 3 4 3" xfId="7416"/>
    <cellStyle name="Vérification 2 2 8 3 4 3 2" xfId="9460"/>
    <cellStyle name="Vérification 2 2 8 3 4 3 2 2" xfId="25684"/>
    <cellStyle name="Vérification 2 2 8 3 4 3 2 2 2" xfId="37691"/>
    <cellStyle name="Vérification 2 2 8 3 4 3 2 3" xfId="15467"/>
    <cellStyle name="Vérification 2 2 8 3 4 3 2 4" xfId="31688"/>
    <cellStyle name="Vérification 2 2 8 3 4 3 3" xfId="23640"/>
    <cellStyle name="Vérification 2 2 8 3 4 3 3 2" xfId="35647"/>
    <cellStyle name="Vérification 2 2 8 3 4 3 4" xfId="13164"/>
    <cellStyle name="Vérification 2 2 8 3 4 3 5" xfId="29385"/>
    <cellStyle name="Vérification 2 2 8 3 4 4" xfId="7793"/>
    <cellStyle name="Vérification 2 2 8 3 4 4 2" xfId="24017"/>
    <cellStyle name="Vérification 2 2 8 3 4 4 2 2" xfId="36024"/>
    <cellStyle name="Vérification 2 2 8 3 4 4 3" xfId="13800"/>
    <cellStyle name="Vérification 2 2 8 3 4 4 4" xfId="30021"/>
    <cellStyle name="Vérification 2 2 8 3 4 5" xfId="18908"/>
    <cellStyle name="Vérification 2 2 8 3 4 5 2" xfId="33022"/>
    <cellStyle name="Vérification 2 2 8 3 4 6" xfId="11149"/>
    <cellStyle name="Vérification 2 2 8 3 4 7" xfId="27370"/>
    <cellStyle name="Vérification 2 2 8 3 5" xfId="4251"/>
    <cellStyle name="Vérification 2 2 8 3 5 2" xfId="6831"/>
    <cellStyle name="Vérification 2 2 8 3 5 2 2" xfId="9127"/>
    <cellStyle name="Vérification 2 2 8 3 5 2 2 2" xfId="25351"/>
    <cellStyle name="Vérification 2 2 8 3 5 2 2 2 2" xfId="37358"/>
    <cellStyle name="Vérification 2 2 8 3 5 2 2 3" xfId="15134"/>
    <cellStyle name="Vérification 2 2 8 3 5 2 2 4" xfId="31355"/>
    <cellStyle name="Vérification 2 2 8 3 5 2 3" xfId="23055"/>
    <cellStyle name="Vérification 2 2 8 3 5 2 3 2" xfId="35062"/>
    <cellStyle name="Vérification 2 2 8 3 5 2 4" xfId="12831"/>
    <cellStyle name="Vérification 2 2 8 3 5 2 5" xfId="29052"/>
    <cellStyle name="Vérification 2 2 8 3 5 3" xfId="3237"/>
    <cellStyle name="Vérification 2 2 8 3 5 3 2" xfId="19465"/>
    <cellStyle name="Vérification 2 2 8 3 5 3 2 2" xfId="33579"/>
    <cellStyle name="Vérification 2 2 8 3 5 3 3" xfId="11568"/>
    <cellStyle name="Vérification 2 2 8 3 5 3 4" xfId="27789"/>
    <cellStyle name="Vérification 2 2 8 3 5 4" xfId="20477"/>
    <cellStyle name="Vérification 2 2 8 3 5 4 2" xfId="34266"/>
    <cellStyle name="Vérification 2 2 8 3 5 5" xfId="10806"/>
    <cellStyle name="Vérification 2 2 8 3 5 6" xfId="27029"/>
    <cellStyle name="Vérification 2 2 8 3 6" xfId="3119"/>
    <cellStyle name="Vérification 2 2 8 3 6 2" xfId="8171"/>
    <cellStyle name="Vérification 2 2 8 3 6 2 2" xfId="24395"/>
    <cellStyle name="Vérification 2 2 8 3 6 2 2 2" xfId="36402"/>
    <cellStyle name="Vérification 2 2 8 3 6 2 3" xfId="14178"/>
    <cellStyle name="Vérification 2 2 8 3 6 2 4" xfId="30399"/>
    <cellStyle name="Vérification 2 2 8 3 6 3" xfId="9794"/>
    <cellStyle name="Vérification 2 2 8 3 6 3 2" xfId="26018"/>
    <cellStyle name="Vérification 2 2 8 3 6 3 2 2" xfId="38025"/>
    <cellStyle name="Vérification 2 2 8 3 6 3 3" xfId="15801"/>
    <cellStyle name="Vérification 2 2 8 3 6 3 4" xfId="32022"/>
    <cellStyle name="Vérification 2 2 8 3 6 4" xfId="19347"/>
    <cellStyle name="Vérification 2 2 8 3 6 4 2" xfId="33461"/>
    <cellStyle name="Vérification 2 2 8 3 6 5" xfId="11726"/>
    <cellStyle name="Vérification 2 2 8 3 6 6" xfId="27947"/>
    <cellStyle name="Vérification 2 2 8 3 7" xfId="3542"/>
    <cellStyle name="Vérification 2 2 8 3 7 2" xfId="8502"/>
    <cellStyle name="Vérification 2 2 8 3 7 2 2" xfId="24726"/>
    <cellStyle name="Vérification 2 2 8 3 7 2 2 2" xfId="36733"/>
    <cellStyle name="Vérification 2 2 8 3 7 2 3" xfId="14509"/>
    <cellStyle name="Vérification 2 2 8 3 7 2 4" xfId="30730"/>
    <cellStyle name="Vérification 2 2 8 3 7 3" xfId="19770"/>
    <cellStyle name="Vérification 2 2 8 3 7 3 2" xfId="33884"/>
    <cellStyle name="Vérification 2 2 8 3 7 4" xfId="12057"/>
    <cellStyle name="Vérification 2 2 8 3 7 5" xfId="28278"/>
    <cellStyle name="Vérification 2 2 8 3 8" xfId="3307"/>
    <cellStyle name="Vérification 2 2 8 3 8 2" xfId="19535"/>
    <cellStyle name="Vérification 2 2 8 3 8 2 2" xfId="33649"/>
    <cellStyle name="Vérification 2 2 8 3 8 3" xfId="12276"/>
    <cellStyle name="Vérification 2 2 8 3 8 4" xfId="28497"/>
    <cellStyle name="Vérification 2 2 8 3 9" xfId="16793"/>
    <cellStyle name="Vérification 2 2 8 3 9 2" xfId="32689"/>
    <cellStyle name="Vérification 2 2 8 4" xfId="669"/>
    <cellStyle name="Vérification 2 2 8 4 10" xfId="10484"/>
    <cellStyle name="Vérification 2 2 8 4 11" xfId="26709"/>
    <cellStyle name="Vérification 2 2 8 4 2" xfId="1403"/>
    <cellStyle name="Vérification 2 2 8 4 2 2" xfId="2881"/>
    <cellStyle name="Vérification 2 2 8 4 2 2 2" xfId="6569"/>
    <cellStyle name="Vérification 2 2 8 4 2 2 2 2" xfId="8950"/>
    <cellStyle name="Vérification 2 2 8 4 2 2 2 2 2" xfId="25174"/>
    <cellStyle name="Vérification 2 2 8 4 2 2 2 2 2 2" xfId="37181"/>
    <cellStyle name="Vérification 2 2 8 4 2 2 2 2 3" xfId="14957"/>
    <cellStyle name="Vérification 2 2 8 4 2 2 2 2 4" xfId="31178"/>
    <cellStyle name="Vérification 2 2 8 4 2 2 2 3" xfId="10328"/>
    <cellStyle name="Vérification 2 2 8 4 2 2 2 3 2" xfId="26552"/>
    <cellStyle name="Vérification 2 2 8 4 2 2 2 3 2 2" xfId="38559"/>
    <cellStyle name="Vérification 2 2 8 4 2 2 2 3 3" xfId="16335"/>
    <cellStyle name="Vérification 2 2 8 4 2 2 2 3 4" xfId="32556"/>
    <cellStyle name="Vérification 2 2 8 4 2 2 2 4" xfId="22793"/>
    <cellStyle name="Vérification 2 2 8 4 2 2 2 4 2" xfId="34800"/>
    <cellStyle name="Vérification 2 2 8 4 2 2 2 5" xfId="12654"/>
    <cellStyle name="Vérification 2 2 8 4 2 2 2 6" xfId="28875"/>
    <cellStyle name="Vérification 2 2 8 4 2 2 3" xfId="7617"/>
    <cellStyle name="Vérification 2 2 8 4 2 2 3 2" xfId="9661"/>
    <cellStyle name="Vérification 2 2 8 4 2 2 3 2 2" xfId="25885"/>
    <cellStyle name="Vérification 2 2 8 4 2 2 3 2 2 2" xfId="37892"/>
    <cellStyle name="Vérification 2 2 8 4 2 2 3 2 3" xfId="15668"/>
    <cellStyle name="Vérification 2 2 8 4 2 2 3 2 4" xfId="31889"/>
    <cellStyle name="Vérification 2 2 8 4 2 2 3 3" xfId="23841"/>
    <cellStyle name="Vérification 2 2 8 4 2 2 3 3 2" xfId="35848"/>
    <cellStyle name="Vérification 2 2 8 4 2 2 3 4" xfId="13365"/>
    <cellStyle name="Vérification 2 2 8 4 2 2 3 5" xfId="29586"/>
    <cellStyle name="Vérification 2 2 8 4 2 2 4" xfId="7994"/>
    <cellStyle name="Vérification 2 2 8 4 2 2 4 2" xfId="24218"/>
    <cellStyle name="Vérification 2 2 8 4 2 2 4 2 2" xfId="36225"/>
    <cellStyle name="Vérification 2 2 8 4 2 2 4 3" xfId="14001"/>
    <cellStyle name="Vérification 2 2 8 4 2 2 4 4" xfId="30222"/>
    <cellStyle name="Vérification 2 2 8 4 2 2 5" xfId="19109"/>
    <cellStyle name="Vérification 2 2 8 4 2 2 5 2" xfId="33223"/>
    <cellStyle name="Vérification 2 2 8 4 2 2 6" xfId="11350"/>
    <cellStyle name="Vérification 2 2 8 4 2 2 7" xfId="27571"/>
    <cellStyle name="Vérification 2 2 8 4 2 3" xfId="5100"/>
    <cellStyle name="Vérification 2 2 8 4 2 3 2" xfId="7127"/>
    <cellStyle name="Vérification 2 2 8 4 2 3 2 2" xfId="9328"/>
    <cellStyle name="Vérification 2 2 8 4 2 3 2 2 2" xfId="25552"/>
    <cellStyle name="Vérification 2 2 8 4 2 3 2 2 2 2" xfId="37559"/>
    <cellStyle name="Vérification 2 2 8 4 2 3 2 2 3" xfId="15335"/>
    <cellStyle name="Vérification 2 2 8 4 2 3 2 2 4" xfId="31556"/>
    <cellStyle name="Vérification 2 2 8 4 2 3 2 3" xfId="23351"/>
    <cellStyle name="Vérification 2 2 8 4 2 3 2 3 2" xfId="35358"/>
    <cellStyle name="Vérification 2 2 8 4 2 3 2 4" xfId="13032"/>
    <cellStyle name="Vérification 2 2 8 4 2 3 2 5" xfId="29253"/>
    <cellStyle name="Vérification 2 2 8 4 2 3 3" xfId="3531"/>
    <cellStyle name="Vérification 2 2 8 4 2 3 3 2" xfId="19759"/>
    <cellStyle name="Vérification 2 2 8 4 2 3 3 2 2" xfId="33873"/>
    <cellStyle name="Vérification 2 2 8 4 2 3 3 3" xfId="11444"/>
    <cellStyle name="Vérification 2 2 8 4 2 3 3 4" xfId="27665"/>
    <cellStyle name="Vérification 2 2 8 4 2 3 4" xfId="21326"/>
    <cellStyle name="Vérification 2 2 8 4 2 3 4 2" xfId="34467"/>
    <cellStyle name="Vérification 2 2 8 4 2 3 5" xfId="11014"/>
    <cellStyle name="Vérification 2 2 8 4 2 3 6" xfId="27237"/>
    <cellStyle name="Vérification 2 2 8 4 2 4" xfId="3491"/>
    <cellStyle name="Vérification 2 2 8 4 2 4 2" xfId="8458"/>
    <cellStyle name="Vérification 2 2 8 4 2 4 2 2" xfId="24682"/>
    <cellStyle name="Vérification 2 2 8 4 2 4 2 2 2" xfId="36689"/>
    <cellStyle name="Vérification 2 2 8 4 2 4 2 3" xfId="14465"/>
    <cellStyle name="Vérification 2 2 8 4 2 4 2 4" xfId="30686"/>
    <cellStyle name="Vérification 2 2 8 4 2 4 3" xfId="9995"/>
    <cellStyle name="Vérification 2 2 8 4 2 4 3 2" xfId="26219"/>
    <cellStyle name="Vérification 2 2 8 4 2 4 3 2 2" xfId="38226"/>
    <cellStyle name="Vérification 2 2 8 4 2 4 3 3" xfId="16002"/>
    <cellStyle name="Vérification 2 2 8 4 2 4 3 4" xfId="32223"/>
    <cellStyle name="Vérification 2 2 8 4 2 4 4" xfId="19719"/>
    <cellStyle name="Vérification 2 2 8 4 2 4 4 2" xfId="33833"/>
    <cellStyle name="Vérification 2 2 8 4 2 4 5" xfId="12013"/>
    <cellStyle name="Vérification 2 2 8 4 2 4 6" xfId="28234"/>
    <cellStyle name="Vérification 2 2 8 4 2 5" xfId="3578"/>
    <cellStyle name="Vérification 2 2 8 4 2 5 2" xfId="8521"/>
    <cellStyle name="Vérification 2 2 8 4 2 5 2 2" xfId="24745"/>
    <cellStyle name="Vérification 2 2 8 4 2 5 2 2 2" xfId="36752"/>
    <cellStyle name="Vérification 2 2 8 4 2 5 2 3" xfId="14528"/>
    <cellStyle name="Vérification 2 2 8 4 2 5 2 4" xfId="30749"/>
    <cellStyle name="Vérification 2 2 8 4 2 5 3" xfId="19806"/>
    <cellStyle name="Vérification 2 2 8 4 2 5 3 2" xfId="33920"/>
    <cellStyle name="Vérification 2 2 8 4 2 5 4" xfId="12076"/>
    <cellStyle name="Vérification 2 2 8 4 2 5 5" xfId="28297"/>
    <cellStyle name="Vérification 2 2 8 4 2 6" xfId="3552"/>
    <cellStyle name="Vérification 2 2 8 4 2 6 2" xfId="19780"/>
    <cellStyle name="Vérification 2 2 8 4 2 6 2 2" xfId="33894"/>
    <cellStyle name="Vérification 2 2 8 4 2 6 3" xfId="10736"/>
    <cellStyle name="Vérification 2 2 8 4 2 6 4" xfId="26959"/>
    <cellStyle name="Vérification 2 2 8 4 2 7" xfId="17642"/>
    <cellStyle name="Vérification 2 2 8 4 2 7 2" xfId="32890"/>
    <cellStyle name="Vérification 2 2 8 4 2 8" xfId="10662"/>
    <cellStyle name="Vérification 2 2 8 4 2 9" xfId="26887"/>
    <cellStyle name="Vérification 2 2 8 4 3" xfId="1266"/>
    <cellStyle name="Vérification 2 2 8 4 3 2" xfId="2792"/>
    <cellStyle name="Vérification 2 2 8 4 3 2 2" xfId="6480"/>
    <cellStyle name="Vérification 2 2 8 4 3 2 2 2" xfId="8861"/>
    <cellStyle name="Vérification 2 2 8 4 3 2 2 2 2" xfId="25085"/>
    <cellStyle name="Vérification 2 2 8 4 3 2 2 2 2 2" xfId="37092"/>
    <cellStyle name="Vérification 2 2 8 4 3 2 2 2 3" xfId="14868"/>
    <cellStyle name="Vérification 2 2 8 4 3 2 2 2 4" xfId="31089"/>
    <cellStyle name="Vérification 2 2 8 4 3 2 2 3" xfId="10239"/>
    <cellStyle name="Vérification 2 2 8 4 3 2 2 3 2" xfId="26463"/>
    <cellStyle name="Vérification 2 2 8 4 3 2 2 3 2 2" xfId="38470"/>
    <cellStyle name="Vérification 2 2 8 4 3 2 2 3 3" xfId="16246"/>
    <cellStyle name="Vérification 2 2 8 4 3 2 2 3 4" xfId="32467"/>
    <cellStyle name="Vérification 2 2 8 4 3 2 2 4" xfId="22704"/>
    <cellStyle name="Vérification 2 2 8 4 3 2 2 4 2" xfId="34711"/>
    <cellStyle name="Vérification 2 2 8 4 3 2 2 5" xfId="12565"/>
    <cellStyle name="Vérification 2 2 8 4 3 2 2 6" xfId="28786"/>
    <cellStyle name="Vérification 2 2 8 4 3 2 3" xfId="7528"/>
    <cellStyle name="Vérification 2 2 8 4 3 2 3 2" xfId="9572"/>
    <cellStyle name="Vérification 2 2 8 4 3 2 3 2 2" xfId="25796"/>
    <cellStyle name="Vérification 2 2 8 4 3 2 3 2 2 2" xfId="37803"/>
    <cellStyle name="Vérification 2 2 8 4 3 2 3 2 3" xfId="15579"/>
    <cellStyle name="Vérification 2 2 8 4 3 2 3 2 4" xfId="31800"/>
    <cellStyle name="Vérification 2 2 8 4 3 2 3 3" xfId="23752"/>
    <cellStyle name="Vérification 2 2 8 4 3 2 3 3 2" xfId="35759"/>
    <cellStyle name="Vérification 2 2 8 4 3 2 3 4" xfId="13276"/>
    <cellStyle name="Vérification 2 2 8 4 3 2 3 5" xfId="29497"/>
    <cellStyle name="Vérification 2 2 8 4 3 2 4" xfId="7905"/>
    <cellStyle name="Vérification 2 2 8 4 3 2 4 2" xfId="24129"/>
    <cellStyle name="Vérification 2 2 8 4 3 2 4 2 2" xfId="36136"/>
    <cellStyle name="Vérification 2 2 8 4 3 2 4 3" xfId="13912"/>
    <cellStyle name="Vérification 2 2 8 4 3 2 4 4" xfId="30133"/>
    <cellStyle name="Vérification 2 2 8 4 3 2 5" xfId="19020"/>
    <cellStyle name="Vérification 2 2 8 4 3 2 5 2" xfId="33134"/>
    <cellStyle name="Vérification 2 2 8 4 3 2 6" xfId="11261"/>
    <cellStyle name="Vérification 2 2 8 4 3 2 7" xfId="27482"/>
    <cellStyle name="Vérification 2 2 8 4 3 3" xfId="4963"/>
    <cellStyle name="Vérification 2 2 8 4 3 3 2" xfId="7033"/>
    <cellStyle name="Vérification 2 2 8 4 3 3 2 2" xfId="9239"/>
    <cellStyle name="Vérification 2 2 8 4 3 3 2 2 2" xfId="25463"/>
    <cellStyle name="Vérification 2 2 8 4 3 3 2 2 2 2" xfId="37470"/>
    <cellStyle name="Vérification 2 2 8 4 3 3 2 2 3" xfId="15246"/>
    <cellStyle name="Vérification 2 2 8 4 3 3 2 2 4" xfId="31467"/>
    <cellStyle name="Vérification 2 2 8 4 3 3 2 3" xfId="23257"/>
    <cellStyle name="Vérification 2 2 8 4 3 3 2 3 2" xfId="35264"/>
    <cellStyle name="Vérification 2 2 8 4 3 3 2 4" xfId="12943"/>
    <cellStyle name="Vérification 2 2 8 4 3 3 2 5" xfId="29164"/>
    <cellStyle name="Vérification 2 2 8 4 3 3 3" xfId="6780"/>
    <cellStyle name="Vérification 2 2 8 4 3 3 3 2" xfId="23004"/>
    <cellStyle name="Vérification 2 2 8 4 3 3 3 2 2" xfId="35011"/>
    <cellStyle name="Vérification 2 2 8 4 3 3 3 3" xfId="12389"/>
    <cellStyle name="Vérification 2 2 8 4 3 3 3 4" xfId="28610"/>
    <cellStyle name="Vérification 2 2 8 4 3 3 4" xfId="21189"/>
    <cellStyle name="Vérification 2 2 8 4 3 3 4 2" xfId="34378"/>
    <cellStyle name="Vérification 2 2 8 4 3 3 5" xfId="10925"/>
    <cellStyle name="Vérification 2 2 8 4 3 3 6" xfId="27148"/>
    <cellStyle name="Vérification 2 2 8 4 3 4" xfId="3392"/>
    <cellStyle name="Vérification 2 2 8 4 3 4 2" xfId="8362"/>
    <cellStyle name="Vérification 2 2 8 4 3 4 2 2" xfId="24586"/>
    <cellStyle name="Vérification 2 2 8 4 3 4 2 2 2" xfId="36593"/>
    <cellStyle name="Vérification 2 2 8 4 3 4 2 3" xfId="14369"/>
    <cellStyle name="Vérification 2 2 8 4 3 4 2 4" xfId="30590"/>
    <cellStyle name="Vérification 2 2 8 4 3 4 3" xfId="9906"/>
    <cellStyle name="Vérification 2 2 8 4 3 4 3 2" xfId="26130"/>
    <cellStyle name="Vérification 2 2 8 4 3 4 3 2 2" xfId="38137"/>
    <cellStyle name="Vérification 2 2 8 4 3 4 3 3" xfId="15913"/>
    <cellStyle name="Vérification 2 2 8 4 3 4 3 4" xfId="32134"/>
    <cellStyle name="Vérification 2 2 8 4 3 4 4" xfId="19620"/>
    <cellStyle name="Vérification 2 2 8 4 3 4 4 2" xfId="33734"/>
    <cellStyle name="Vérification 2 2 8 4 3 4 5" xfId="11917"/>
    <cellStyle name="Vérification 2 2 8 4 3 4 6" xfId="28138"/>
    <cellStyle name="Vérification 2 2 8 4 3 5" xfId="2996"/>
    <cellStyle name="Vérification 2 2 8 4 3 5 2" xfId="8086"/>
    <cellStyle name="Vérification 2 2 8 4 3 5 2 2" xfId="24310"/>
    <cellStyle name="Vérification 2 2 8 4 3 5 2 2 2" xfId="36317"/>
    <cellStyle name="Vérification 2 2 8 4 3 5 2 3" xfId="14093"/>
    <cellStyle name="Vérification 2 2 8 4 3 5 2 4" xfId="30314"/>
    <cellStyle name="Vérification 2 2 8 4 3 5 3" xfId="19224"/>
    <cellStyle name="Vérification 2 2 8 4 3 5 3 2" xfId="33338"/>
    <cellStyle name="Vérification 2 2 8 4 3 5 4" xfId="11641"/>
    <cellStyle name="Vérification 2 2 8 4 3 5 5" xfId="27862"/>
    <cellStyle name="Vérification 2 2 8 4 3 6" xfId="7042"/>
    <cellStyle name="Vérification 2 2 8 4 3 6 2" xfId="23266"/>
    <cellStyle name="Vérification 2 2 8 4 3 6 2 2" xfId="35273"/>
    <cellStyle name="Vérification 2 2 8 4 3 6 3" xfId="13537"/>
    <cellStyle name="Vérification 2 2 8 4 3 6 4" xfId="29758"/>
    <cellStyle name="Vérification 2 2 8 4 3 7" xfId="17505"/>
    <cellStyle name="Vérification 2 2 8 4 3 7 2" xfId="32801"/>
    <cellStyle name="Vérification 2 2 8 4 3 8" xfId="10573"/>
    <cellStyle name="Vérification 2 2 8 4 3 9" xfId="26798"/>
    <cellStyle name="Vérification 2 2 8 4 4" xfId="2703"/>
    <cellStyle name="Vérification 2 2 8 4 4 2" xfId="6391"/>
    <cellStyle name="Vérification 2 2 8 4 4 2 2" xfId="8772"/>
    <cellStyle name="Vérification 2 2 8 4 4 2 2 2" xfId="24996"/>
    <cellStyle name="Vérification 2 2 8 4 4 2 2 2 2" xfId="37003"/>
    <cellStyle name="Vérification 2 2 8 4 4 2 2 3" xfId="14779"/>
    <cellStyle name="Vérification 2 2 8 4 4 2 2 4" xfId="31000"/>
    <cellStyle name="Vérification 2 2 8 4 4 2 3" xfId="10150"/>
    <cellStyle name="Vérification 2 2 8 4 4 2 3 2" xfId="26374"/>
    <cellStyle name="Vérification 2 2 8 4 4 2 3 2 2" xfId="38381"/>
    <cellStyle name="Vérification 2 2 8 4 4 2 3 3" xfId="16157"/>
    <cellStyle name="Vérification 2 2 8 4 4 2 3 4" xfId="32378"/>
    <cellStyle name="Vérification 2 2 8 4 4 2 4" xfId="22615"/>
    <cellStyle name="Vérification 2 2 8 4 4 2 4 2" xfId="34622"/>
    <cellStyle name="Vérification 2 2 8 4 4 2 5" xfId="12476"/>
    <cellStyle name="Vérification 2 2 8 4 4 2 6" xfId="28697"/>
    <cellStyle name="Vérification 2 2 8 4 4 3" xfId="7439"/>
    <cellStyle name="Vérification 2 2 8 4 4 3 2" xfId="9483"/>
    <cellStyle name="Vérification 2 2 8 4 4 3 2 2" xfId="25707"/>
    <cellStyle name="Vérification 2 2 8 4 4 3 2 2 2" xfId="37714"/>
    <cellStyle name="Vérification 2 2 8 4 4 3 2 3" xfId="15490"/>
    <cellStyle name="Vérification 2 2 8 4 4 3 2 4" xfId="31711"/>
    <cellStyle name="Vérification 2 2 8 4 4 3 3" xfId="23663"/>
    <cellStyle name="Vérification 2 2 8 4 4 3 3 2" xfId="35670"/>
    <cellStyle name="Vérification 2 2 8 4 4 3 4" xfId="13187"/>
    <cellStyle name="Vérification 2 2 8 4 4 3 5" xfId="29408"/>
    <cellStyle name="Vérification 2 2 8 4 4 4" xfId="7816"/>
    <cellStyle name="Vérification 2 2 8 4 4 4 2" xfId="24040"/>
    <cellStyle name="Vérification 2 2 8 4 4 4 2 2" xfId="36047"/>
    <cellStyle name="Vérification 2 2 8 4 4 4 3" xfId="13823"/>
    <cellStyle name="Vérification 2 2 8 4 4 4 4" xfId="30044"/>
    <cellStyle name="Vérification 2 2 8 4 4 5" xfId="18931"/>
    <cellStyle name="Vérification 2 2 8 4 4 5 2" xfId="33045"/>
    <cellStyle name="Vérification 2 2 8 4 4 6" xfId="11172"/>
    <cellStyle name="Vérification 2 2 8 4 4 7" xfId="27393"/>
    <cellStyle name="Vérification 2 2 8 4 5" xfId="4388"/>
    <cellStyle name="Vérification 2 2 8 4 5 2" xfId="6875"/>
    <cellStyle name="Vérification 2 2 8 4 5 2 2" xfId="9150"/>
    <cellStyle name="Vérification 2 2 8 4 5 2 2 2" xfId="25374"/>
    <cellStyle name="Vérification 2 2 8 4 5 2 2 2 2" xfId="37381"/>
    <cellStyle name="Vérification 2 2 8 4 5 2 2 3" xfId="15157"/>
    <cellStyle name="Vérification 2 2 8 4 5 2 2 4" xfId="31378"/>
    <cellStyle name="Vérification 2 2 8 4 5 2 3" xfId="23099"/>
    <cellStyle name="Vérification 2 2 8 4 5 2 3 2" xfId="35106"/>
    <cellStyle name="Vérification 2 2 8 4 5 2 4" xfId="12854"/>
    <cellStyle name="Vérification 2 2 8 4 5 2 5" xfId="29075"/>
    <cellStyle name="Vérification 2 2 8 4 5 3" xfId="3388"/>
    <cellStyle name="Vérification 2 2 8 4 5 3 2" xfId="19616"/>
    <cellStyle name="Vérification 2 2 8 4 5 3 2 2" xfId="33730"/>
    <cellStyle name="Vérification 2 2 8 4 5 3 3" xfId="13507"/>
    <cellStyle name="Vérification 2 2 8 4 5 3 4" xfId="29728"/>
    <cellStyle name="Vérification 2 2 8 4 5 4" xfId="20614"/>
    <cellStyle name="Vérification 2 2 8 4 5 4 2" xfId="34289"/>
    <cellStyle name="Vérification 2 2 8 4 5 5" xfId="10831"/>
    <cellStyle name="Vérification 2 2 8 4 5 6" xfId="27054"/>
    <cellStyle name="Vérification 2 2 8 4 6" xfId="3175"/>
    <cellStyle name="Vérification 2 2 8 4 6 2" xfId="8206"/>
    <cellStyle name="Vérification 2 2 8 4 6 2 2" xfId="24430"/>
    <cellStyle name="Vérification 2 2 8 4 6 2 2 2" xfId="36437"/>
    <cellStyle name="Vérification 2 2 8 4 6 2 3" xfId="14213"/>
    <cellStyle name="Vérification 2 2 8 4 6 2 4" xfId="30434"/>
    <cellStyle name="Vérification 2 2 8 4 6 3" xfId="9817"/>
    <cellStyle name="Vérification 2 2 8 4 6 3 2" xfId="26041"/>
    <cellStyle name="Vérification 2 2 8 4 6 3 2 2" xfId="38048"/>
    <cellStyle name="Vérification 2 2 8 4 6 3 3" xfId="15824"/>
    <cellStyle name="Vérification 2 2 8 4 6 3 4" xfId="32045"/>
    <cellStyle name="Vérification 2 2 8 4 6 4" xfId="19403"/>
    <cellStyle name="Vérification 2 2 8 4 6 4 2" xfId="33517"/>
    <cellStyle name="Vérification 2 2 8 4 6 5" xfId="11761"/>
    <cellStyle name="Vérification 2 2 8 4 6 6" xfId="27982"/>
    <cellStyle name="Vérification 2 2 8 4 7" xfId="3681"/>
    <cellStyle name="Vérification 2 2 8 4 7 2" xfId="8574"/>
    <cellStyle name="Vérification 2 2 8 4 7 2 2" xfId="24798"/>
    <cellStyle name="Vérification 2 2 8 4 7 2 2 2" xfId="36805"/>
    <cellStyle name="Vérification 2 2 8 4 7 2 3" xfId="14581"/>
    <cellStyle name="Vérification 2 2 8 4 7 2 4" xfId="30802"/>
    <cellStyle name="Vérification 2 2 8 4 7 3" xfId="19909"/>
    <cellStyle name="Vérification 2 2 8 4 7 3 2" xfId="34023"/>
    <cellStyle name="Vérification 2 2 8 4 7 4" xfId="12129"/>
    <cellStyle name="Vérification 2 2 8 4 7 5" xfId="28350"/>
    <cellStyle name="Vérification 2 2 8 4 8" xfId="3793"/>
    <cellStyle name="Vérification 2 2 8 4 8 2" xfId="20021"/>
    <cellStyle name="Vérification 2 2 8 4 8 2 2" xfId="34135"/>
    <cellStyle name="Vérification 2 2 8 4 8 3" xfId="10863"/>
    <cellStyle name="Vérification 2 2 8 4 8 4" xfId="27086"/>
    <cellStyle name="Vérification 2 2 8 4 9" xfId="16930"/>
    <cellStyle name="Vérification 2 2 8 4 9 2" xfId="32712"/>
    <cellStyle name="Vérification 2 2 8 5" xfId="757"/>
    <cellStyle name="Vérification 2 2 8 5 10" xfId="26731"/>
    <cellStyle name="Vérification 2 2 8 5 2" xfId="1425"/>
    <cellStyle name="Vérification 2 2 8 5 2 2" xfId="2903"/>
    <cellStyle name="Vérification 2 2 8 5 2 2 2" xfId="6591"/>
    <cellStyle name="Vérification 2 2 8 5 2 2 2 2" xfId="8972"/>
    <cellStyle name="Vérification 2 2 8 5 2 2 2 2 2" xfId="25196"/>
    <cellStyle name="Vérification 2 2 8 5 2 2 2 2 2 2" xfId="37203"/>
    <cellStyle name="Vérification 2 2 8 5 2 2 2 2 3" xfId="14979"/>
    <cellStyle name="Vérification 2 2 8 5 2 2 2 2 4" xfId="31200"/>
    <cellStyle name="Vérification 2 2 8 5 2 2 2 3" xfId="10350"/>
    <cellStyle name="Vérification 2 2 8 5 2 2 2 3 2" xfId="26574"/>
    <cellStyle name="Vérification 2 2 8 5 2 2 2 3 2 2" xfId="38581"/>
    <cellStyle name="Vérification 2 2 8 5 2 2 2 3 3" xfId="16357"/>
    <cellStyle name="Vérification 2 2 8 5 2 2 2 3 4" xfId="32578"/>
    <cellStyle name="Vérification 2 2 8 5 2 2 2 4" xfId="22815"/>
    <cellStyle name="Vérification 2 2 8 5 2 2 2 4 2" xfId="34822"/>
    <cellStyle name="Vérification 2 2 8 5 2 2 2 5" xfId="12676"/>
    <cellStyle name="Vérification 2 2 8 5 2 2 2 6" xfId="28897"/>
    <cellStyle name="Vérification 2 2 8 5 2 2 3" xfId="7639"/>
    <cellStyle name="Vérification 2 2 8 5 2 2 3 2" xfId="9683"/>
    <cellStyle name="Vérification 2 2 8 5 2 2 3 2 2" xfId="25907"/>
    <cellStyle name="Vérification 2 2 8 5 2 2 3 2 2 2" xfId="37914"/>
    <cellStyle name="Vérification 2 2 8 5 2 2 3 2 3" xfId="15690"/>
    <cellStyle name="Vérification 2 2 8 5 2 2 3 2 4" xfId="31911"/>
    <cellStyle name="Vérification 2 2 8 5 2 2 3 3" xfId="23863"/>
    <cellStyle name="Vérification 2 2 8 5 2 2 3 3 2" xfId="35870"/>
    <cellStyle name="Vérification 2 2 8 5 2 2 3 4" xfId="13387"/>
    <cellStyle name="Vérification 2 2 8 5 2 2 3 5" xfId="29608"/>
    <cellStyle name="Vérification 2 2 8 5 2 2 4" xfId="8016"/>
    <cellStyle name="Vérification 2 2 8 5 2 2 4 2" xfId="24240"/>
    <cellStyle name="Vérification 2 2 8 5 2 2 4 2 2" xfId="36247"/>
    <cellStyle name="Vérification 2 2 8 5 2 2 4 3" xfId="14023"/>
    <cellStyle name="Vérification 2 2 8 5 2 2 4 4" xfId="30244"/>
    <cellStyle name="Vérification 2 2 8 5 2 2 5" xfId="19131"/>
    <cellStyle name="Vérification 2 2 8 5 2 2 5 2" xfId="33245"/>
    <cellStyle name="Vérification 2 2 8 5 2 2 6" xfId="11372"/>
    <cellStyle name="Vérification 2 2 8 5 2 2 7" xfId="27593"/>
    <cellStyle name="Vérification 2 2 8 5 2 3" xfId="5122"/>
    <cellStyle name="Vérification 2 2 8 5 2 3 2" xfId="7149"/>
    <cellStyle name="Vérification 2 2 8 5 2 3 2 2" xfId="9350"/>
    <cellStyle name="Vérification 2 2 8 5 2 3 2 2 2" xfId="25574"/>
    <cellStyle name="Vérification 2 2 8 5 2 3 2 2 2 2" xfId="37581"/>
    <cellStyle name="Vérification 2 2 8 5 2 3 2 2 3" xfId="15357"/>
    <cellStyle name="Vérification 2 2 8 5 2 3 2 2 4" xfId="31578"/>
    <cellStyle name="Vérification 2 2 8 5 2 3 2 3" xfId="23373"/>
    <cellStyle name="Vérification 2 2 8 5 2 3 2 3 2" xfId="35380"/>
    <cellStyle name="Vérification 2 2 8 5 2 3 2 4" xfId="13054"/>
    <cellStyle name="Vérification 2 2 8 5 2 3 2 5" xfId="29275"/>
    <cellStyle name="Vérification 2 2 8 5 2 3 3" xfId="3082"/>
    <cellStyle name="Vérification 2 2 8 5 2 3 3 2" xfId="19310"/>
    <cellStyle name="Vérification 2 2 8 5 2 3 3 2 2" xfId="33424"/>
    <cellStyle name="Vérification 2 2 8 5 2 3 3 3" xfId="13441"/>
    <cellStyle name="Vérification 2 2 8 5 2 3 3 4" xfId="29662"/>
    <cellStyle name="Vérification 2 2 8 5 2 3 4" xfId="21348"/>
    <cellStyle name="Vérification 2 2 8 5 2 3 4 2" xfId="34489"/>
    <cellStyle name="Vérification 2 2 8 5 2 3 5" xfId="11036"/>
    <cellStyle name="Vérification 2 2 8 5 2 3 6" xfId="27259"/>
    <cellStyle name="Vérification 2 2 8 5 2 4" xfId="3513"/>
    <cellStyle name="Vérification 2 2 8 5 2 4 2" xfId="8480"/>
    <cellStyle name="Vérification 2 2 8 5 2 4 2 2" xfId="24704"/>
    <cellStyle name="Vérification 2 2 8 5 2 4 2 2 2" xfId="36711"/>
    <cellStyle name="Vérification 2 2 8 5 2 4 2 3" xfId="14487"/>
    <cellStyle name="Vérification 2 2 8 5 2 4 2 4" xfId="30708"/>
    <cellStyle name="Vérification 2 2 8 5 2 4 3" xfId="10017"/>
    <cellStyle name="Vérification 2 2 8 5 2 4 3 2" xfId="26241"/>
    <cellStyle name="Vérification 2 2 8 5 2 4 3 2 2" xfId="38248"/>
    <cellStyle name="Vérification 2 2 8 5 2 4 3 3" xfId="16024"/>
    <cellStyle name="Vérification 2 2 8 5 2 4 3 4" xfId="32245"/>
    <cellStyle name="Vérification 2 2 8 5 2 4 4" xfId="19741"/>
    <cellStyle name="Vérification 2 2 8 5 2 4 4 2" xfId="33855"/>
    <cellStyle name="Vérification 2 2 8 5 2 4 5" xfId="12035"/>
    <cellStyle name="Vérification 2 2 8 5 2 4 6" xfId="28256"/>
    <cellStyle name="Vérification 2 2 8 5 2 5" xfId="3610"/>
    <cellStyle name="Vérification 2 2 8 5 2 5 2" xfId="8537"/>
    <cellStyle name="Vérification 2 2 8 5 2 5 2 2" xfId="24761"/>
    <cellStyle name="Vérification 2 2 8 5 2 5 2 2 2" xfId="36768"/>
    <cellStyle name="Vérification 2 2 8 5 2 5 2 3" xfId="14544"/>
    <cellStyle name="Vérification 2 2 8 5 2 5 2 4" xfId="30765"/>
    <cellStyle name="Vérification 2 2 8 5 2 5 3" xfId="19838"/>
    <cellStyle name="Vérification 2 2 8 5 2 5 3 2" xfId="33952"/>
    <cellStyle name="Vérification 2 2 8 5 2 5 4" xfId="12092"/>
    <cellStyle name="Vérification 2 2 8 5 2 5 5" xfId="28313"/>
    <cellStyle name="Vérification 2 2 8 5 2 6" xfId="6909"/>
    <cellStyle name="Vérification 2 2 8 5 2 6 2" xfId="23133"/>
    <cellStyle name="Vérification 2 2 8 5 2 6 2 2" xfId="35140"/>
    <cellStyle name="Vérification 2 2 8 5 2 6 3" xfId="11560"/>
    <cellStyle name="Vérification 2 2 8 5 2 6 4" xfId="27781"/>
    <cellStyle name="Vérification 2 2 8 5 2 7" xfId="17664"/>
    <cellStyle name="Vérification 2 2 8 5 2 7 2" xfId="32912"/>
    <cellStyle name="Vérification 2 2 8 5 2 8" xfId="10684"/>
    <cellStyle name="Vérification 2 2 8 5 2 9" xfId="26909"/>
    <cellStyle name="Vérification 2 2 8 5 3" xfId="2725"/>
    <cellStyle name="Vérification 2 2 8 5 3 2" xfId="6413"/>
    <cellStyle name="Vérification 2 2 8 5 3 2 2" xfId="8794"/>
    <cellStyle name="Vérification 2 2 8 5 3 2 2 2" xfId="25018"/>
    <cellStyle name="Vérification 2 2 8 5 3 2 2 2 2" xfId="37025"/>
    <cellStyle name="Vérification 2 2 8 5 3 2 2 3" xfId="14801"/>
    <cellStyle name="Vérification 2 2 8 5 3 2 2 4" xfId="31022"/>
    <cellStyle name="Vérification 2 2 8 5 3 2 3" xfId="10172"/>
    <cellStyle name="Vérification 2 2 8 5 3 2 3 2" xfId="26396"/>
    <cellStyle name="Vérification 2 2 8 5 3 2 3 2 2" xfId="38403"/>
    <cellStyle name="Vérification 2 2 8 5 3 2 3 3" xfId="16179"/>
    <cellStyle name="Vérification 2 2 8 5 3 2 3 4" xfId="32400"/>
    <cellStyle name="Vérification 2 2 8 5 3 2 4" xfId="22637"/>
    <cellStyle name="Vérification 2 2 8 5 3 2 4 2" xfId="34644"/>
    <cellStyle name="Vérification 2 2 8 5 3 2 5" xfId="12498"/>
    <cellStyle name="Vérification 2 2 8 5 3 2 6" xfId="28719"/>
    <cellStyle name="Vérification 2 2 8 5 3 3" xfId="7461"/>
    <cellStyle name="Vérification 2 2 8 5 3 3 2" xfId="9505"/>
    <cellStyle name="Vérification 2 2 8 5 3 3 2 2" xfId="25729"/>
    <cellStyle name="Vérification 2 2 8 5 3 3 2 2 2" xfId="37736"/>
    <cellStyle name="Vérification 2 2 8 5 3 3 2 3" xfId="15512"/>
    <cellStyle name="Vérification 2 2 8 5 3 3 2 4" xfId="31733"/>
    <cellStyle name="Vérification 2 2 8 5 3 3 3" xfId="23685"/>
    <cellStyle name="Vérification 2 2 8 5 3 3 3 2" xfId="35692"/>
    <cellStyle name="Vérification 2 2 8 5 3 3 4" xfId="13209"/>
    <cellStyle name="Vérification 2 2 8 5 3 3 5" xfId="29430"/>
    <cellStyle name="Vérification 2 2 8 5 3 4" xfId="7838"/>
    <cellStyle name="Vérification 2 2 8 5 3 4 2" xfId="24062"/>
    <cellStyle name="Vérification 2 2 8 5 3 4 2 2" xfId="36069"/>
    <cellStyle name="Vérification 2 2 8 5 3 4 3" xfId="13845"/>
    <cellStyle name="Vérification 2 2 8 5 3 4 4" xfId="30066"/>
    <cellStyle name="Vérification 2 2 8 5 3 5" xfId="18953"/>
    <cellStyle name="Vérification 2 2 8 5 3 5 2" xfId="33067"/>
    <cellStyle name="Vérification 2 2 8 5 3 6" xfId="11194"/>
    <cellStyle name="Vérification 2 2 8 5 3 7" xfId="27415"/>
    <cellStyle name="Vérification 2 2 8 5 4" xfId="4458"/>
    <cellStyle name="Vérification 2 2 8 5 4 2" xfId="6903"/>
    <cellStyle name="Vérification 2 2 8 5 4 2 2" xfId="9172"/>
    <cellStyle name="Vérification 2 2 8 5 4 2 2 2" xfId="25396"/>
    <cellStyle name="Vérification 2 2 8 5 4 2 2 2 2" xfId="37403"/>
    <cellStyle name="Vérification 2 2 8 5 4 2 2 3" xfId="15179"/>
    <cellStyle name="Vérification 2 2 8 5 4 2 2 4" xfId="31400"/>
    <cellStyle name="Vérification 2 2 8 5 4 2 3" xfId="23127"/>
    <cellStyle name="Vérification 2 2 8 5 4 2 3 2" xfId="35134"/>
    <cellStyle name="Vérification 2 2 8 5 4 2 4" xfId="12876"/>
    <cellStyle name="Vérification 2 2 8 5 4 2 5" xfId="29097"/>
    <cellStyle name="Vérification 2 2 8 5 4 3" xfId="7036"/>
    <cellStyle name="Vérification 2 2 8 5 4 3 2" xfId="23260"/>
    <cellStyle name="Vérification 2 2 8 5 4 3 2 2" xfId="35267"/>
    <cellStyle name="Vérification 2 2 8 5 4 3 3" xfId="13534"/>
    <cellStyle name="Vérification 2 2 8 5 4 3 4" xfId="29755"/>
    <cellStyle name="Vérification 2 2 8 5 4 4" xfId="20684"/>
    <cellStyle name="Vérification 2 2 8 5 4 4 2" xfId="34311"/>
    <cellStyle name="Vérification 2 2 8 5 4 5" xfId="10857"/>
    <cellStyle name="Vérification 2 2 8 5 4 6" xfId="27080"/>
    <cellStyle name="Vérification 2 2 8 5 5" xfId="3214"/>
    <cellStyle name="Vérification 2 2 8 5 5 2" xfId="8235"/>
    <cellStyle name="Vérification 2 2 8 5 5 2 2" xfId="24459"/>
    <cellStyle name="Vérification 2 2 8 5 5 2 2 2" xfId="36466"/>
    <cellStyle name="Vérification 2 2 8 5 5 2 3" xfId="14242"/>
    <cellStyle name="Vérification 2 2 8 5 5 2 4" xfId="30463"/>
    <cellStyle name="Vérification 2 2 8 5 5 3" xfId="9839"/>
    <cellStyle name="Vérification 2 2 8 5 5 3 2" xfId="26063"/>
    <cellStyle name="Vérification 2 2 8 5 5 3 2 2" xfId="38070"/>
    <cellStyle name="Vérification 2 2 8 5 5 3 3" xfId="15846"/>
    <cellStyle name="Vérification 2 2 8 5 5 3 4" xfId="32067"/>
    <cellStyle name="Vérification 2 2 8 5 5 4" xfId="19442"/>
    <cellStyle name="Vérification 2 2 8 5 5 4 2" xfId="33556"/>
    <cellStyle name="Vérification 2 2 8 5 5 5" xfId="11790"/>
    <cellStyle name="Vérification 2 2 8 5 5 6" xfId="28011"/>
    <cellStyle name="Vérification 2 2 8 5 6" xfId="3126"/>
    <cellStyle name="Vérification 2 2 8 5 6 2" xfId="8177"/>
    <cellStyle name="Vérification 2 2 8 5 6 2 2" xfId="24401"/>
    <cellStyle name="Vérification 2 2 8 5 6 2 2 2" xfId="36408"/>
    <cellStyle name="Vérification 2 2 8 5 6 2 3" xfId="14184"/>
    <cellStyle name="Vérification 2 2 8 5 6 2 4" xfId="30405"/>
    <cellStyle name="Vérification 2 2 8 5 6 3" xfId="19354"/>
    <cellStyle name="Vérification 2 2 8 5 6 3 2" xfId="33468"/>
    <cellStyle name="Vérification 2 2 8 5 6 4" xfId="11732"/>
    <cellStyle name="Vérification 2 2 8 5 6 5" xfId="27953"/>
    <cellStyle name="Vérification 2 2 8 5 7" xfId="7155"/>
    <cellStyle name="Vérification 2 2 8 5 7 2" xfId="23379"/>
    <cellStyle name="Vérification 2 2 8 5 7 2 2" xfId="35386"/>
    <cellStyle name="Vérification 2 2 8 5 7 3" xfId="13539"/>
    <cellStyle name="Vérification 2 2 8 5 7 4" xfId="29760"/>
    <cellStyle name="Vérification 2 2 8 5 8" xfId="17000"/>
    <cellStyle name="Vérification 2 2 8 5 8 2" xfId="32734"/>
    <cellStyle name="Vérification 2 2 8 5 9" xfId="10506"/>
    <cellStyle name="Vérification 2 2 8 6" xfId="1336"/>
    <cellStyle name="Vérification 2 2 8 6 2" xfId="2814"/>
    <cellStyle name="Vérification 2 2 8 6 2 2" xfId="6502"/>
    <cellStyle name="Vérification 2 2 8 6 2 2 2" xfId="8883"/>
    <cellStyle name="Vérification 2 2 8 6 2 2 2 2" xfId="25107"/>
    <cellStyle name="Vérification 2 2 8 6 2 2 2 2 2" xfId="37114"/>
    <cellStyle name="Vérification 2 2 8 6 2 2 2 3" xfId="14890"/>
    <cellStyle name="Vérification 2 2 8 6 2 2 2 4" xfId="31111"/>
    <cellStyle name="Vérification 2 2 8 6 2 2 3" xfId="10261"/>
    <cellStyle name="Vérification 2 2 8 6 2 2 3 2" xfId="26485"/>
    <cellStyle name="Vérification 2 2 8 6 2 2 3 2 2" xfId="38492"/>
    <cellStyle name="Vérification 2 2 8 6 2 2 3 3" xfId="16268"/>
    <cellStyle name="Vérification 2 2 8 6 2 2 3 4" xfId="32489"/>
    <cellStyle name="Vérification 2 2 8 6 2 2 4" xfId="22726"/>
    <cellStyle name="Vérification 2 2 8 6 2 2 4 2" xfId="34733"/>
    <cellStyle name="Vérification 2 2 8 6 2 2 5" xfId="12587"/>
    <cellStyle name="Vérification 2 2 8 6 2 2 6" xfId="28808"/>
    <cellStyle name="Vérification 2 2 8 6 2 3" xfId="7550"/>
    <cellStyle name="Vérification 2 2 8 6 2 3 2" xfId="9594"/>
    <cellStyle name="Vérification 2 2 8 6 2 3 2 2" xfId="25818"/>
    <cellStyle name="Vérification 2 2 8 6 2 3 2 2 2" xfId="37825"/>
    <cellStyle name="Vérification 2 2 8 6 2 3 2 3" xfId="15601"/>
    <cellStyle name="Vérification 2 2 8 6 2 3 2 4" xfId="31822"/>
    <cellStyle name="Vérification 2 2 8 6 2 3 3" xfId="23774"/>
    <cellStyle name="Vérification 2 2 8 6 2 3 3 2" xfId="35781"/>
    <cellStyle name="Vérification 2 2 8 6 2 3 4" xfId="13298"/>
    <cellStyle name="Vérification 2 2 8 6 2 3 5" xfId="29519"/>
    <cellStyle name="Vérification 2 2 8 6 2 4" xfId="7927"/>
    <cellStyle name="Vérification 2 2 8 6 2 4 2" xfId="24151"/>
    <cellStyle name="Vérification 2 2 8 6 2 4 2 2" xfId="36158"/>
    <cellStyle name="Vérification 2 2 8 6 2 4 3" xfId="13934"/>
    <cellStyle name="Vérification 2 2 8 6 2 4 4" xfId="30155"/>
    <cellStyle name="Vérification 2 2 8 6 2 5" xfId="19042"/>
    <cellStyle name="Vérification 2 2 8 6 2 5 2" xfId="33156"/>
    <cellStyle name="Vérification 2 2 8 6 2 6" xfId="11283"/>
    <cellStyle name="Vérification 2 2 8 6 2 7" xfId="27504"/>
    <cellStyle name="Vérification 2 2 8 6 3" xfId="5033"/>
    <cellStyle name="Vérification 2 2 8 6 3 2" xfId="7060"/>
    <cellStyle name="Vérification 2 2 8 6 3 2 2" xfId="9261"/>
    <cellStyle name="Vérification 2 2 8 6 3 2 2 2" xfId="25485"/>
    <cellStyle name="Vérification 2 2 8 6 3 2 2 2 2" xfId="37492"/>
    <cellStyle name="Vérification 2 2 8 6 3 2 2 3" xfId="15268"/>
    <cellStyle name="Vérification 2 2 8 6 3 2 2 4" xfId="31489"/>
    <cellStyle name="Vérification 2 2 8 6 3 2 3" xfId="23284"/>
    <cellStyle name="Vérification 2 2 8 6 3 2 3 2" xfId="35291"/>
    <cellStyle name="Vérification 2 2 8 6 3 2 4" xfId="12965"/>
    <cellStyle name="Vérification 2 2 8 6 3 2 5" xfId="29186"/>
    <cellStyle name="Vérification 2 2 8 6 3 3" xfId="7219"/>
    <cellStyle name="Vérification 2 2 8 6 3 3 2" xfId="23443"/>
    <cellStyle name="Vérification 2 2 8 6 3 3 2 2" xfId="35450"/>
    <cellStyle name="Vérification 2 2 8 6 3 3 3" xfId="13603"/>
    <cellStyle name="Vérification 2 2 8 6 3 3 4" xfId="29824"/>
    <cellStyle name="Vérification 2 2 8 6 3 4" xfId="21259"/>
    <cellStyle name="Vérification 2 2 8 6 3 4 2" xfId="34400"/>
    <cellStyle name="Vérification 2 2 8 6 3 5" xfId="10947"/>
    <cellStyle name="Vérification 2 2 8 6 3 6" xfId="27170"/>
    <cellStyle name="Vérification 2 2 8 6 4" xfId="3424"/>
    <cellStyle name="Vérification 2 2 8 6 4 2" xfId="8391"/>
    <cellStyle name="Vérification 2 2 8 6 4 2 2" xfId="24615"/>
    <cellStyle name="Vérification 2 2 8 6 4 2 2 2" xfId="36622"/>
    <cellStyle name="Vérification 2 2 8 6 4 2 3" xfId="14398"/>
    <cellStyle name="Vérification 2 2 8 6 4 2 4" xfId="30619"/>
    <cellStyle name="Vérification 2 2 8 6 4 3" xfId="9928"/>
    <cellStyle name="Vérification 2 2 8 6 4 3 2" xfId="26152"/>
    <cellStyle name="Vérification 2 2 8 6 4 3 2 2" xfId="38159"/>
    <cellStyle name="Vérification 2 2 8 6 4 3 3" xfId="15935"/>
    <cellStyle name="Vérification 2 2 8 6 4 3 4" xfId="32156"/>
    <cellStyle name="Vérification 2 2 8 6 4 4" xfId="19652"/>
    <cellStyle name="Vérification 2 2 8 6 4 4 2" xfId="33766"/>
    <cellStyle name="Vérification 2 2 8 6 4 5" xfId="11946"/>
    <cellStyle name="Vérification 2 2 8 6 4 6" xfId="28167"/>
    <cellStyle name="Vérification 2 2 8 6 5" xfId="3369"/>
    <cellStyle name="Vérification 2 2 8 6 5 2" xfId="8345"/>
    <cellStyle name="Vérification 2 2 8 6 5 2 2" xfId="24569"/>
    <cellStyle name="Vérification 2 2 8 6 5 2 2 2" xfId="36576"/>
    <cellStyle name="Vérification 2 2 8 6 5 2 3" xfId="14352"/>
    <cellStyle name="Vérification 2 2 8 6 5 2 4" xfId="30573"/>
    <cellStyle name="Vérification 2 2 8 6 5 3" xfId="19597"/>
    <cellStyle name="Vérification 2 2 8 6 5 3 2" xfId="33711"/>
    <cellStyle name="Vérification 2 2 8 6 5 4" xfId="11900"/>
    <cellStyle name="Vérification 2 2 8 6 5 5" xfId="28121"/>
    <cellStyle name="Vérification 2 2 8 6 6" xfId="3156"/>
    <cellStyle name="Vérification 2 2 8 6 6 2" xfId="19384"/>
    <cellStyle name="Vérification 2 2 8 6 6 2 2" xfId="33498"/>
    <cellStyle name="Vérification 2 2 8 6 6 3" xfId="13491"/>
    <cellStyle name="Vérification 2 2 8 6 6 4" xfId="29712"/>
    <cellStyle name="Vérification 2 2 8 6 7" xfId="17575"/>
    <cellStyle name="Vérification 2 2 8 6 7 2" xfId="32823"/>
    <cellStyle name="Vérification 2 2 8 6 8" xfId="10595"/>
    <cellStyle name="Vérification 2 2 8 6 9" xfId="26820"/>
    <cellStyle name="Vérification 2 2 8 7" xfId="2543"/>
    <cellStyle name="Vérification 2 2 8 7 2" xfId="2926"/>
    <cellStyle name="Vérification 2 2 8 7 2 2" xfId="6614"/>
    <cellStyle name="Vérification 2 2 8 7 2 2 2" xfId="8995"/>
    <cellStyle name="Vérification 2 2 8 7 2 2 2 2" xfId="25219"/>
    <cellStyle name="Vérification 2 2 8 7 2 2 2 2 2" xfId="37226"/>
    <cellStyle name="Vérification 2 2 8 7 2 2 2 3" xfId="15002"/>
    <cellStyle name="Vérification 2 2 8 7 2 2 2 4" xfId="31223"/>
    <cellStyle name="Vérification 2 2 8 7 2 2 3" xfId="10373"/>
    <cellStyle name="Vérification 2 2 8 7 2 2 3 2" xfId="26597"/>
    <cellStyle name="Vérification 2 2 8 7 2 2 3 2 2" xfId="38604"/>
    <cellStyle name="Vérification 2 2 8 7 2 2 3 3" xfId="16380"/>
    <cellStyle name="Vérification 2 2 8 7 2 2 3 4" xfId="32601"/>
    <cellStyle name="Vérification 2 2 8 7 2 2 4" xfId="22838"/>
    <cellStyle name="Vérification 2 2 8 7 2 2 4 2" xfId="34845"/>
    <cellStyle name="Vérification 2 2 8 7 2 2 5" xfId="12699"/>
    <cellStyle name="Vérification 2 2 8 7 2 2 6" xfId="28920"/>
    <cellStyle name="Vérification 2 2 8 7 2 3" xfId="7662"/>
    <cellStyle name="Vérification 2 2 8 7 2 3 2" xfId="9706"/>
    <cellStyle name="Vérification 2 2 8 7 2 3 2 2" xfId="25930"/>
    <cellStyle name="Vérification 2 2 8 7 2 3 2 2 2" xfId="37937"/>
    <cellStyle name="Vérification 2 2 8 7 2 3 2 3" xfId="15713"/>
    <cellStyle name="Vérification 2 2 8 7 2 3 2 4" xfId="31934"/>
    <cellStyle name="Vérification 2 2 8 7 2 3 3" xfId="23886"/>
    <cellStyle name="Vérification 2 2 8 7 2 3 3 2" xfId="35893"/>
    <cellStyle name="Vérification 2 2 8 7 2 3 4" xfId="13410"/>
    <cellStyle name="Vérification 2 2 8 7 2 3 5" xfId="29631"/>
    <cellStyle name="Vérification 2 2 8 7 2 4" xfId="8039"/>
    <cellStyle name="Vérification 2 2 8 7 2 4 2" xfId="24263"/>
    <cellStyle name="Vérification 2 2 8 7 2 4 2 2" xfId="36270"/>
    <cellStyle name="Vérification 2 2 8 7 2 4 3" xfId="14046"/>
    <cellStyle name="Vérification 2 2 8 7 2 4 4" xfId="30267"/>
    <cellStyle name="Vérification 2 2 8 7 2 5" xfId="19154"/>
    <cellStyle name="Vérification 2 2 8 7 2 5 2" xfId="33268"/>
    <cellStyle name="Vérification 2 2 8 7 2 6" xfId="11395"/>
    <cellStyle name="Vérification 2 2 8 7 2 7" xfId="27616"/>
    <cellStyle name="Vérification 2 2 8 7 3" xfId="6233"/>
    <cellStyle name="Vérification 2 2 8 7 3 2" xfId="7324"/>
    <cellStyle name="Vérification 2 2 8 7 3 2 2" xfId="9373"/>
    <cellStyle name="Vérification 2 2 8 7 3 2 2 2" xfId="25597"/>
    <cellStyle name="Vérification 2 2 8 7 3 2 2 2 2" xfId="37604"/>
    <cellStyle name="Vérification 2 2 8 7 3 2 2 3" xfId="15380"/>
    <cellStyle name="Vérification 2 2 8 7 3 2 2 4" xfId="31601"/>
    <cellStyle name="Vérification 2 2 8 7 3 2 3" xfId="23548"/>
    <cellStyle name="Vérification 2 2 8 7 3 2 3 2" xfId="35555"/>
    <cellStyle name="Vérification 2 2 8 7 3 2 4" xfId="13077"/>
    <cellStyle name="Vérification 2 2 8 7 3 2 5" xfId="29298"/>
    <cellStyle name="Vérification 2 2 8 7 3 3" xfId="7706"/>
    <cellStyle name="Vérification 2 2 8 7 3 3 2" xfId="23930"/>
    <cellStyle name="Vérification 2 2 8 7 3 3 2 2" xfId="35937"/>
    <cellStyle name="Vérification 2 2 8 7 3 3 3" xfId="13713"/>
    <cellStyle name="Vérification 2 2 8 7 3 3 4" xfId="29934"/>
    <cellStyle name="Vérification 2 2 8 7 3 4" xfId="22457"/>
    <cellStyle name="Vérification 2 2 8 7 3 4 2" xfId="34512"/>
    <cellStyle name="Vérification 2 2 8 7 3 5" xfId="11061"/>
    <cellStyle name="Vérification 2 2 8 7 3 6" xfId="27282"/>
    <cellStyle name="Vérification 2 2 8 7 4" xfId="3822"/>
    <cellStyle name="Vérification 2 2 8 7 4 2" xfId="8653"/>
    <cellStyle name="Vérification 2 2 8 7 4 2 2" xfId="24877"/>
    <cellStyle name="Vérification 2 2 8 7 4 2 2 2" xfId="36884"/>
    <cellStyle name="Vérification 2 2 8 7 4 2 3" xfId="14660"/>
    <cellStyle name="Vérification 2 2 8 7 4 2 4" xfId="30881"/>
    <cellStyle name="Vérification 2 2 8 7 4 3" xfId="10040"/>
    <cellStyle name="Vérification 2 2 8 7 4 3 2" xfId="26264"/>
    <cellStyle name="Vérification 2 2 8 7 4 3 2 2" xfId="38271"/>
    <cellStyle name="Vérification 2 2 8 7 4 3 3" xfId="16047"/>
    <cellStyle name="Vérification 2 2 8 7 4 3 4" xfId="32268"/>
    <cellStyle name="Vérification 2 2 8 7 4 4" xfId="20050"/>
    <cellStyle name="Vérification 2 2 8 7 4 4 2" xfId="34164"/>
    <cellStyle name="Vérification 2 2 8 7 4 5" xfId="12208"/>
    <cellStyle name="Vérification 2 2 8 7 4 6" xfId="28429"/>
    <cellStyle name="Vérification 2 2 8 7 5" xfId="6687"/>
    <cellStyle name="Vérification 2 2 8 7 5 2" xfId="9039"/>
    <cellStyle name="Vérification 2 2 8 7 5 2 2" xfId="25263"/>
    <cellStyle name="Vérification 2 2 8 7 5 2 2 2" xfId="37270"/>
    <cellStyle name="Vérification 2 2 8 7 5 2 3" xfId="15046"/>
    <cellStyle name="Vérification 2 2 8 7 5 2 4" xfId="31267"/>
    <cellStyle name="Vérification 2 2 8 7 5 3" xfId="22911"/>
    <cellStyle name="Vérification 2 2 8 7 5 3 2" xfId="34918"/>
    <cellStyle name="Vérification 2 2 8 7 5 4" xfId="12743"/>
    <cellStyle name="Vérification 2 2 8 7 5 5" xfId="28964"/>
    <cellStyle name="Vérification 2 2 8 7 6" xfId="3236"/>
    <cellStyle name="Vérification 2 2 8 7 6 2" xfId="19464"/>
    <cellStyle name="Vérification 2 2 8 7 6 2 2" xfId="33578"/>
    <cellStyle name="Vérification 2 2 8 7 6 3" xfId="11461"/>
    <cellStyle name="Vérification 2 2 8 7 6 4" xfId="27682"/>
    <cellStyle name="Vérification 2 2 8 7 7" xfId="18773"/>
    <cellStyle name="Vérification 2 2 8 7 7 2" xfId="32935"/>
    <cellStyle name="Vérification 2 2 8 7 8" xfId="10709"/>
    <cellStyle name="Vérification 2 2 8 7 9" xfId="26932"/>
    <cellStyle name="Vérification 2 2 8 8" xfId="2614"/>
    <cellStyle name="Vérification 2 2 8 8 2" xfId="2947"/>
    <cellStyle name="Vérification 2 2 8 8 2 2" xfId="6635"/>
    <cellStyle name="Vérification 2 2 8 8 2 2 2" xfId="9016"/>
    <cellStyle name="Vérification 2 2 8 8 2 2 2 2" xfId="25240"/>
    <cellStyle name="Vérification 2 2 8 8 2 2 2 2 2" xfId="37247"/>
    <cellStyle name="Vérification 2 2 8 8 2 2 2 3" xfId="15023"/>
    <cellStyle name="Vérification 2 2 8 8 2 2 2 4" xfId="31244"/>
    <cellStyle name="Vérification 2 2 8 8 2 2 3" xfId="10394"/>
    <cellStyle name="Vérification 2 2 8 8 2 2 3 2" xfId="26618"/>
    <cellStyle name="Vérification 2 2 8 8 2 2 3 2 2" xfId="38625"/>
    <cellStyle name="Vérification 2 2 8 8 2 2 3 3" xfId="16401"/>
    <cellStyle name="Vérification 2 2 8 8 2 2 3 4" xfId="32622"/>
    <cellStyle name="Vérification 2 2 8 8 2 2 4" xfId="22859"/>
    <cellStyle name="Vérification 2 2 8 8 2 2 4 2" xfId="34866"/>
    <cellStyle name="Vérification 2 2 8 8 2 2 5" xfId="12720"/>
    <cellStyle name="Vérification 2 2 8 8 2 2 6" xfId="28941"/>
    <cellStyle name="Vérification 2 2 8 8 2 3" xfId="7683"/>
    <cellStyle name="Vérification 2 2 8 8 2 3 2" xfId="9727"/>
    <cellStyle name="Vérification 2 2 8 8 2 3 2 2" xfId="25951"/>
    <cellStyle name="Vérification 2 2 8 8 2 3 2 2 2" xfId="37958"/>
    <cellStyle name="Vérification 2 2 8 8 2 3 2 3" xfId="15734"/>
    <cellStyle name="Vérification 2 2 8 8 2 3 2 4" xfId="31955"/>
    <cellStyle name="Vérification 2 2 8 8 2 3 3" xfId="23907"/>
    <cellStyle name="Vérification 2 2 8 8 2 3 3 2" xfId="35914"/>
    <cellStyle name="Vérification 2 2 8 8 2 3 4" xfId="13431"/>
    <cellStyle name="Vérification 2 2 8 8 2 3 5" xfId="29652"/>
    <cellStyle name="Vérification 2 2 8 8 2 4" xfId="8060"/>
    <cellStyle name="Vérification 2 2 8 8 2 4 2" xfId="24284"/>
    <cellStyle name="Vérification 2 2 8 8 2 4 2 2" xfId="36291"/>
    <cellStyle name="Vérification 2 2 8 8 2 4 3" xfId="14067"/>
    <cellStyle name="Vérification 2 2 8 8 2 4 4" xfId="30288"/>
    <cellStyle name="Vérification 2 2 8 8 2 5" xfId="19175"/>
    <cellStyle name="Vérification 2 2 8 8 2 5 2" xfId="33289"/>
    <cellStyle name="Vérification 2 2 8 8 2 6" xfId="11416"/>
    <cellStyle name="Vérification 2 2 8 8 2 7" xfId="27637"/>
    <cellStyle name="Vérification 2 2 8 8 3" xfId="6302"/>
    <cellStyle name="Vérification 2 2 8 8 3 2" xfId="7350"/>
    <cellStyle name="Vérification 2 2 8 8 3 2 2" xfId="9394"/>
    <cellStyle name="Vérification 2 2 8 8 3 2 2 2" xfId="25618"/>
    <cellStyle name="Vérification 2 2 8 8 3 2 2 2 2" xfId="37625"/>
    <cellStyle name="Vérification 2 2 8 8 3 2 2 3" xfId="15401"/>
    <cellStyle name="Vérification 2 2 8 8 3 2 2 4" xfId="31622"/>
    <cellStyle name="Vérification 2 2 8 8 3 2 3" xfId="23574"/>
    <cellStyle name="Vérification 2 2 8 8 3 2 3 2" xfId="35581"/>
    <cellStyle name="Vérification 2 2 8 8 3 2 4" xfId="13098"/>
    <cellStyle name="Vérification 2 2 8 8 3 2 5" xfId="29319"/>
    <cellStyle name="Vérification 2 2 8 8 3 3" xfId="7727"/>
    <cellStyle name="Vérification 2 2 8 8 3 3 2" xfId="23951"/>
    <cellStyle name="Vérification 2 2 8 8 3 3 2 2" xfId="35958"/>
    <cellStyle name="Vérification 2 2 8 8 3 3 3" xfId="13734"/>
    <cellStyle name="Vérification 2 2 8 8 3 3 4" xfId="29955"/>
    <cellStyle name="Vérification 2 2 8 8 3 4" xfId="22526"/>
    <cellStyle name="Vérification 2 2 8 8 3 4 2" xfId="34533"/>
    <cellStyle name="Vérification 2 2 8 8 3 5" xfId="11083"/>
    <cellStyle name="Vérification 2 2 8 8 3 6" xfId="27304"/>
    <cellStyle name="Vérification 2 2 8 8 4" xfId="3857"/>
    <cellStyle name="Vérification 2 2 8 8 4 2" xfId="8683"/>
    <cellStyle name="Vérification 2 2 8 8 4 2 2" xfId="24907"/>
    <cellStyle name="Vérification 2 2 8 8 4 2 2 2" xfId="36914"/>
    <cellStyle name="Vérification 2 2 8 8 4 2 3" xfId="14690"/>
    <cellStyle name="Vérification 2 2 8 8 4 2 4" xfId="30911"/>
    <cellStyle name="Vérification 2 2 8 8 4 3" xfId="10061"/>
    <cellStyle name="Vérification 2 2 8 8 4 3 2" xfId="26285"/>
    <cellStyle name="Vérification 2 2 8 8 4 3 2 2" xfId="38292"/>
    <cellStyle name="Vérification 2 2 8 8 4 3 3" xfId="16068"/>
    <cellStyle name="Vérification 2 2 8 8 4 3 4" xfId="32289"/>
    <cellStyle name="Vérification 2 2 8 8 4 4" xfId="20085"/>
    <cellStyle name="Vérification 2 2 8 8 4 4 2" xfId="34199"/>
    <cellStyle name="Vérification 2 2 8 8 4 5" xfId="12238"/>
    <cellStyle name="Vérification 2 2 8 8 4 6" xfId="28459"/>
    <cellStyle name="Vérification 2 2 8 8 5" xfId="6714"/>
    <cellStyle name="Vérification 2 2 8 8 5 2" xfId="9060"/>
    <cellStyle name="Vérification 2 2 8 8 5 2 2" xfId="25284"/>
    <cellStyle name="Vérification 2 2 8 8 5 2 2 2" xfId="37291"/>
    <cellStyle name="Vérification 2 2 8 8 5 2 3" xfId="15067"/>
    <cellStyle name="Vérification 2 2 8 8 5 2 4" xfId="31288"/>
    <cellStyle name="Vérification 2 2 8 8 5 3" xfId="22938"/>
    <cellStyle name="Vérification 2 2 8 8 5 3 2" xfId="34945"/>
    <cellStyle name="Vérification 2 2 8 8 5 4" xfId="12764"/>
    <cellStyle name="Vérification 2 2 8 8 5 5" xfId="28985"/>
    <cellStyle name="Vérification 2 2 8 8 6" xfId="3079"/>
    <cellStyle name="Vérification 2 2 8 8 6 2" xfId="19307"/>
    <cellStyle name="Vérification 2 2 8 8 6 2 2" xfId="33421"/>
    <cellStyle name="Vérification 2 2 8 8 6 3" xfId="12271"/>
    <cellStyle name="Vérification 2 2 8 8 6 4" xfId="28492"/>
    <cellStyle name="Vérification 2 2 8 8 7" xfId="18842"/>
    <cellStyle name="Vérification 2 2 8 8 7 2" xfId="32956"/>
    <cellStyle name="Vérification 2 2 8 8 8" xfId="10730"/>
    <cellStyle name="Vérification 2 2 8 8 9" xfId="26953"/>
    <cellStyle name="Vérification 2 2 8 9" xfId="2636"/>
    <cellStyle name="Vérification 2 2 8 9 2" xfId="6324"/>
    <cellStyle name="Vérification 2 2 8 9 2 2" xfId="8705"/>
    <cellStyle name="Vérification 2 2 8 9 2 2 2" xfId="24929"/>
    <cellStyle name="Vérification 2 2 8 9 2 2 2 2" xfId="36936"/>
    <cellStyle name="Vérification 2 2 8 9 2 2 3" xfId="14712"/>
    <cellStyle name="Vérification 2 2 8 9 2 2 4" xfId="30933"/>
    <cellStyle name="Vérification 2 2 8 9 2 3" xfId="10083"/>
    <cellStyle name="Vérification 2 2 8 9 2 3 2" xfId="26307"/>
    <cellStyle name="Vérification 2 2 8 9 2 3 2 2" xfId="38314"/>
    <cellStyle name="Vérification 2 2 8 9 2 3 3" xfId="16090"/>
    <cellStyle name="Vérification 2 2 8 9 2 3 4" xfId="32311"/>
    <cellStyle name="Vérification 2 2 8 9 2 4" xfId="22548"/>
    <cellStyle name="Vérification 2 2 8 9 2 4 2" xfId="34555"/>
    <cellStyle name="Vérification 2 2 8 9 2 5" xfId="12409"/>
    <cellStyle name="Vérification 2 2 8 9 2 6" xfId="28630"/>
    <cellStyle name="Vérification 2 2 8 9 3" xfId="7372"/>
    <cellStyle name="Vérification 2 2 8 9 3 2" xfId="9416"/>
    <cellStyle name="Vérification 2 2 8 9 3 2 2" xfId="25640"/>
    <cellStyle name="Vérification 2 2 8 9 3 2 2 2" xfId="37647"/>
    <cellStyle name="Vérification 2 2 8 9 3 2 3" xfId="15423"/>
    <cellStyle name="Vérification 2 2 8 9 3 2 4" xfId="31644"/>
    <cellStyle name="Vérification 2 2 8 9 3 3" xfId="23596"/>
    <cellStyle name="Vérification 2 2 8 9 3 3 2" xfId="35603"/>
    <cellStyle name="Vérification 2 2 8 9 3 4" xfId="13120"/>
    <cellStyle name="Vérification 2 2 8 9 3 5" xfId="29341"/>
    <cellStyle name="Vérification 2 2 8 9 4" xfId="7749"/>
    <cellStyle name="Vérification 2 2 8 9 4 2" xfId="23973"/>
    <cellStyle name="Vérification 2 2 8 9 4 2 2" xfId="35980"/>
    <cellStyle name="Vérification 2 2 8 9 4 3" xfId="13756"/>
    <cellStyle name="Vérification 2 2 8 9 4 4" xfId="29977"/>
    <cellStyle name="Vérification 2 2 8 9 5" xfId="18864"/>
    <cellStyle name="Vérification 2 2 8 9 5 2" xfId="32978"/>
    <cellStyle name="Vérification 2 2 8 9 6" xfId="11105"/>
    <cellStyle name="Vérification 2 2 8 9 7" xfId="27326"/>
    <cellStyle name="Vérification 2 2 9" xfId="262"/>
    <cellStyle name="Vérification 2 2 9 10" xfId="4010"/>
    <cellStyle name="Vérification 2 2 9 10 2" xfId="6761"/>
    <cellStyle name="Vérification 2 2 9 10 2 2" xfId="9085"/>
    <cellStyle name="Vérification 2 2 9 10 2 2 2" xfId="25309"/>
    <cellStyle name="Vérification 2 2 9 10 2 2 2 2" xfId="37316"/>
    <cellStyle name="Vérification 2 2 9 10 2 2 3" xfId="15092"/>
    <cellStyle name="Vérification 2 2 9 10 2 2 4" xfId="31313"/>
    <cellStyle name="Vérification 2 2 9 10 2 3" xfId="22985"/>
    <cellStyle name="Vérification 2 2 9 10 2 3 2" xfId="34992"/>
    <cellStyle name="Vérification 2 2 9 10 2 4" xfId="12789"/>
    <cellStyle name="Vérification 2 2 9 10 2 5" xfId="29010"/>
    <cellStyle name="Vérification 2 2 9 10 3" xfId="3596"/>
    <cellStyle name="Vérification 2 2 9 10 3 2" xfId="19824"/>
    <cellStyle name="Vérification 2 2 9 10 3 2 2" xfId="33938"/>
    <cellStyle name="Vérification 2 2 9 10 3 3" xfId="11469"/>
    <cellStyle name="Vérification 2 2 9 10 3 4" xfId="27690"/>
    <cellStyle name="Vérification 2 2 9 10 4" xfId="20237"/>
    <cellStyle name="Vérification 2 2 9 10 4 2" xfId="34224"/>
    <cellStyle name="Vérification 2 2 9 10 5" xfId="10763"/>
    <cellStyle name="Vérification 2 2 9 10 6" xfId="26986"/>
    <cellStyle name="Vérification 2 2 9 11" xfId="3023"/>
    <cellStyle name="Vérification 2 2 9 11 2" xfId="8106"/>
    <cellStyle name="Vérification 2 2 9 11 2 2" xfId="24330"/>
    <cellStyle name="Vérification 2 2 9 11 2 2 2" xfId="36337"/>
    <cellStyle name="Vérification 2 2 9 11 2 3" xfId="14113"/>
    <cellStyle name="Vérification 2 2 9 11 2 4" xfId="30334"/>
    <cellStyle name="Vérification 2 2 9 11 3" xfId="9752"/>
    <cellStyle name="Vérification 2 2 9 11 3 2" xfId="25976"/>
    <cellStyle name="Vérification 2 2 9 11 3 2 2" xfId="37983"/>
    <cellStyle name="Vérification 2 2 9 11 3 3" xfId="15759"/>
    <cellStyle name="Vérification 2 2 9 11 3 4" xfId="31980"/>
    <cellStyle name="Vérification 2 2 9 11 4" xfId="19251"/>
    <cellStyle name="Vérification 2 2 9 11 4 2" xfId="33365"/>
    <cellStyle name="Vérification 2 2 9 11 5" xfId="11661"/>
    <cellStyle name="Vérification 2 2 9 11 6" xfId="27882"/>
    <cellStyle name="Vérification 2 2 9 12" xfId="3283"/>
    <cellStyle name="Vérification 2 2 9 12 2" xfId="8276"/>
    <cellStyle name="Vérification 2 2 9 12 2 2" xfId="24500"/>
    <cellStyle name="Vérification 2 2 9 12 2 2 2" xfId="36507"/>
    <cellStyle name="Vérification 2 2 9 12 2 3" xfId="14283"/>
    <cellStyle name="Vérification 2 2 9 12 2 4" xfId="30504"/>
    <cellStyle name="Vérification 2 2 9 12 3" xfId="19511"/>
    <cellStyle name="Vérification 2 2 9 12 3 2" xfId="33625"/>
    <cellStyle name="Vérification 2 2 9 12 4" xfId="11831"/>
    <cellStyle name="Vérification 2 2 9 12 5" xfId="28052"/>
    <cellStyle name="Vérification 2 2 9 13" xfId="7259"/>
    <cellStyle name="Vérification 2 2 9 13 2" xfId="23483"/>
    <cellStyle name="Vérification 2 2 9 13 2 2" xfId="35490"/>
    <cellStyle name="Vérification 2 2 9 13 3" xfId="13643"/>
    <cellStyle name="Vérification 2 2 9 13 4" xfId="29864"/>
    <cellStyle name="Vérification 2 2 9 14" xfId="16553"/>
    <cellStyle name="Vérification 2 2 9 14 2" xfId="32647"/>
    <cellStyle name="Vérification 2 2 9 15" xfId="10419"/>
    <cellStyle name="Vérification 2 2 9 16" xfId="26644"/>
    <cellStyle name="Vérification 2 2 9 2" xfId="459"/>
    <cellStyle name="Vérification 2 2 9 2 10" xfId="10442"/>
    <cellStyle name="Vérification 2 2 9 2 11" xfId="26667"/>
    <cellStyle name="Vérification 2 2 9 2 2" xfId="1361"/>
    <cellStyle name="Vérification 2 2 9 2 2 2" xfId="2839"/>
    <cellStyle name="Vérification 2 2 9 2 2 2 2" xfId="6527"/>
    <cellStyle name="Vérification 2 2 9 2 2 2 2 2" xfId="8908"/>
    <cellStyle name="Vérification 2 2 9 2 2 2 2 2 2" xfId="25132"/>
    <cellStyle name="Vérification 2 2 9 2 2 2 2 2 2 2" xfId="37139"/>
    <cellStyle name="Vérification 2 2 9 2 2 2 2 2 3" xfId="14915"/>
    <cellStyle name="Vérification 2 2 9 2 2 2 2 2 4" xfId="31136"/>
    <cellStyle name="Vérification 2 2 9 2 2 2 2 3" xfId="10286"/>
    <cellStyle name="Vérification 2 2 9 2 2 2 2 3 2" xfId="26510"/>
    <cellStyle name="Vérification 2 2 9 2 2 2 2 3 2 2" xfId="38517"/>
    <cellStyle name="Vérification 2 2 9 2 2 2 2 3 3" xfId="16293"/>
    <cellStyle name="Vérification 2 2 9 2 2 2 2 3 4" xfId="32514"/>
    <cellStyle name="Vérification 2 2 9 2 2 2 2 4" xfId="22751"/>
    <cellStyle name="Vérification 2 2 9 2 2 2 2 4 2" xfId="34758"/>
    <cellStyle name="Vérification 2 2 9 2 2 2 2 5" xfId="12612"/>
    <cellStyle name="Vérification 2 2 9 2 2 2 2 6" xfId="28833"/>
    <cellStyle name="Vérification 2 2 9 2 2 2 3" xfId="7575"/>
    <cellStyle name="Vérification 2 2 9 2 2 2 3 2" xfId="9619"/>
    <cellStyle name="Vérification 2 2 9 2 2 2 3 2 2" xfId="25843"/>
    <cellStyle name="Vérification 2 2 9 2 2 2 3 2 2 2" xfId="37850"/>
    <cellStyle name="Vérification 2 2 9 2 2 2 3 2 3" xfId="15626"/>
    <cellStyle name="Vérification 2 2 9 2 2 2 3 2 4" xfId="31847"/>
    <cellStyle name="Vérification 2 2 9 2 2 2 3 3" xfId="23799"/>
    <cellStyle name="Vérification 2 2 9 2 2 2 3 3 2" xfId="35806"/>
    <cellStyle name="Vérification 2 2 9 2 2 2 3 4" xfId="13323"/>
    <cellStyle name="Vérification 2 2 9 2 2 2 3 5" xfId="29544"/>
    <cellStyle name="Vérification 2 2 9 2 2 2 4" xfId="7952"/>
    <cellStyle name="Vérification 2 2 9 2 2 2 4 2" xfId="24176"/>
    <cellStyle name="Vérification 2 2 9 2 2 2 4 2 2" xfId="36183"/>
    <cellStyle name="Vérification 2 2 9 2 2 2 4 3" xfId="13959"/>
    <cellStyle name="Vérification 2 2 9 2 2 2 4 4" xfId="30180"/>
    <cellStyle name="Vérification 2 2 9 2 2 2 5" xfId="19067"/>
    <cellStyle name="Vérification 2 2 9 2 2 2 5 2" xfId="33181"/>
    <cellStyle name="Vérification 2 2 9 2 2 2 6" xfId="11308"/>
    <cellStyle name="Vérification 2 2 9 2 2 2 7" xfId="27529"/>
    <cellStyle name="Vérification 2 2 9 2 2 3" xfId="5058"/>
    <cellStyle name="Vérification 2 2 9 2 2 3 2" xfId="7085"/>
    <cellStyle name="Vérification 2 2 9 2 2 3 2 2" xfId="9286"/>
    <cellStyle name="Vérification 2 2 9 2 2 3 2 2 2" xfId="25510"/>
    <cellStyle name="Vérification 2 2 9 2 2 3 2 2 2 2" xfId="37517"/>
    <cellStyle name="Vérification 2 2 9 2 2 3 2 2 3" xfId="15293"/>
    <cellStyle name="Vérification 2 2 9 2 2 3 2 2 4" xfId="31514"/>
    <cellStyle name="Vérification 2 2 9 2 2 3 2 3" xfId="23309"/>
    <cellStyle name="Vérification 2 2 9 2 2 3 2 3 2" xfId="35316"/>
    <cellStyle name="Vérification 2 2 9 2 2 3 2 4" xfId="12990"/>
    <cellStyle name="Vérification 2 2 9 2 2 3 2 5" xfId="29211"/>
    <cellStyle name="Vérification 2 2 9 2 2 3 3" xfId="6865"/>
    <cellStyle name="Vérification 2 2 9 2 2 3 3 2" xfId="23089"/>
    <cellStyle name="Vérification 2 2 9 2 2 3 3 2 2" xfId="35096"/>
    <cellStyle name="Vérification 2 2 9 2 2 3 3 3" xfId="12339"/>
    <cellStyle name="Vérification 2 2 9 2 2 3 3 4" xfId="28560"/>
    <cellStyle name="Vérification 2 2 9 2 2 3 4" xfId="21284"/>
    <cellStyle name="Vérification 2 2 9 2 2 3 4 2" xfId="34425"/>
    <cellStyle name="Vérification 2 2 9 2 2 3 5" xfId="10972"/>
    <cellStyle name="Vérification 2 2 9 2 2 3 6" xfId="27195"/>
    <cellStyle name="Vérification 2 2 9 2 2 4" xfId="3449"/>
    <cellStyle name="Vérification 2 2 9 2 2 4 2" xfId="8416"/>
    <cellStyle name="Vérification 2 2 9 2 2 4 2 2" xfId="24640"/>
    <cellStyle name="Vérification 2 2 9 2 2 4 2 2 2" xfId="36647"/>
    <cellStyle name="Vérification 2 2 9 2 2 4 2 3" xfId="14423"/>
    <cellStyle name="Vérification 2 2 9 2 2 4 2 4" xfId="30644"/>
    <cellStyle name="Vérification 2 2 9 2 2 4 3" xfId="9953"/>
    <cellStyle name="Vérification 2 2 9 2 2 4 3 2" xfId="26177"/>
    <cellStyle name="Vérification 2 2 9 2 2 4 3 2 2" xfId="38184"/>
    <cellStyle name="Vérification 2 2 9 2 2 4 3 3" xfId="15960"/>
    <cellStyle name="Vérification 2 2 9 2 2 4 3 4" xfId="32181"/>
    <cellStyle name="Vérification 2 2 9 2 2 4 4" xfId="19677"/>
    <cellStyle name="Vérification 2 2 9 2 2 4 4 2" xfId="33791"/>
    <cellStyle name="Vérification 2 2 9 2 2 4 5" xfId="11971"/>
    <cellStyle name="Vérification 2 2 9 2 2 4 6" xfId="28192"/>
    <cellStyle name="Vérification 2 2 9 2 2 5" xfId="3595"/>
    <cellStyle name="Vérification 2 2 9 2 2 5 2" xfId="8531"/>
    <cellStyle name="Vérification 2 2 9 2 2 5 2 2" xfId="24755"/>
    <cellStyle name="Vérification 2 2 9 2 2 5 2 2 2" xfId="36762"/>
    <cellStyle name="Vérification 2 2 9 2 2 5 2 3" xfId="14538"/>
    <cellStyle name="Vérification 2 2 9 2 2 5 2 4" xfId="30759"/>
    <cellStyle name="Vérification 2 2 9 2 2 5 3" xfId="19823"/>
    <cellStyle name="Vérification 2 2 9 2 2 5 3 2" xfId="33937"/>
    <cellStyle name="Vérification 2 2 9 2 2 5 4" xfId="12086"/>
    <cellStyle name="Vérification 2 2 9 2 2 5 5" xfId="28307"/>
    <cellStyle name="Vérification 2 2 9 2 2 6" xfId="7165"/>
    <cellStyle name="Vérification 2 2 9 2 2 6 2" xfId="23389"/>
    <cellStyle name="Vérification 2 2 9 2 2 6 2 2" xfId="35396"/>
    <cellStyle name="Vérification 2 2 9 2 2 6 3" xfId="13549"/>
    <cellStyle name="Vérification 2 2 9 2 2 6 4" xfId="29770"/>
    <cellStyle name="Vérification 2 2 9 2 2 7" xfId="17600"/>
    <cellStyle name="Vérification 2 2 9 2 2 7 2" xfId="32848"/>
    <cellStyle name="Vérification 2 2 9 2 2 8" xfId="10620"/>
    <cellStyle name="Vérification 2 2 9 2 2 9" xfId="26845"/>
    <cellStyle name="Vérification 2 2 9 2 3" xfId="1074"/>
    <cellStyle name="Vérification 2 2 9 2 3 2" xfId="2750"/>
    <cellStyle name="Vérification 2 2 9 2 3 2 2" xfId="6438"/>
    <cellStyle name="Vérification 2 2 9 2 3 2 2 2" xfId="8819"/>
    <cellStyle name="Vérification 2 2 9 2 3 2 2 2 2" xfId="25043"/>
    <cellStyle name="Vérification 2 2 9 2 3 2 2 2 2 2" xfId="37050"/>
    <cellStyle name="Vérification 2 2 9 2 3 2 2 2 3" xfId="14826"/>
    <cellStyle name="Vérification 2 2 9 2 3 2 2 2 4" xfId="31047"/>
    <cellStyle name="Vérification 2 2 9 2 3 2 2 3" xfId="10197"/>
    <cellStyle name="Vérification 2 2 9 2 3 2 2 3 2" xfId="26421"/>
    <cellStyle name="Vérification 2 2 9 2 3 2 2 3 2 2" xfId="38428"/>
    <cellStyle name="Vérification 2 2 9 2 3 2 2 3 3" xfId="16204"/>
    <cellStyle name="Vérification 2 2 9 2 3 2 2 3 4" xfId="32425"/>
    <cellStyle name="Vérification 2 2 9 2 3 2 2 4" xfId="22662"/>
    <cellStyle name="Vérification 2 2 9 2 3 2 2 4 2" xfId="34669"/>
    <cellStyle name="Vérification 2 2 9 2 3 2 2 5" xfId="12523"/>
    <cellStyle name="Vérification 2 2 9 2 3 2 2 6" xfId="28744"/>
    <cellStyle name="Vérification 2 2 9 2 3 2 3" xfId="7486"/>
    <cellStyle name="Vérification 2 2 9 2 3 2 3 2" xfId="9530"/>
    <cellStyle name="Vérification 2 2 9 2 3 2 3 2 2" xfId="25754"/>
    <cellStyle name="Vérification 2 2 9 2 3 2 3 2 2 2" xfId="37761"/>
    <cellStyle name="Vérification 2 2 9 2 3 2 3 2 3" xfId="15537"/>
    <cellStyle name="Vérification 2 2 9 2 3 2 3 2 4" xfId="31758"/>
    <cellStyle name="Vérification 2 2 9 2 3 2 3 3" xfId="23710"/>
    <cellStyle name="Vérification 2 2 9 2 3 2 3 3 2" xfId="35717"/>
    <cellStyle name="Vérification 2 2 9 2 3 2 3 4" xfId="13234"/>
    <cellStyle name="Vérification 2 2 9 2 3 2 3 5" xfId="29455"/>
    <cellStyle name="Vérification 2 2 9 2 3 2 4" xfId="7863"/>
    <cellStyle name="Vérification 2 2 9 2 3 2 4 2" xfId="24087"/>
    <cellStyle name="Vérification 2 2 9 2 3 2 4 2 2" xfId="36094"/>
    <cellStyle name="Vérification 2 2 9 2 3 2 4 3" xfId="13870"/>
    <cellStyle name="Vérification 2 2 9 2 3 2 4 4" xfId="30091"/>
    <cellStyle name="Vérification 2 2 9 2 3 2 5" xfId="18978"/>
    <cellStyle name="Vérification 2 2 9 2 3 2 5 2" xfId="33092"/>
    <cellStyle name="Vérification 2 2 9 2 3 2 6" xfId="11219"/>
    <cellStyle name="Vérification 2 2 9 2 3 2 7" xfId="27440"/>
    <cellStyle name="Vérification 2 2 9 2 3 3" xfId="4771"/>
    <cellStyle name="Vérification 2 2 9 2 3 3 2" xfId="6972"/>
    <cellStyle name="Vérification 2 2 9 2 3 3 2 2" xfId="9197"/>
    <cellStyle name="Vérification 2 2 9 2 3 3 2 2 2" xfId="25421"/>
    <cellStyle name="Vérification 2 2 9 2 3 3 2 2 2 2" xfId="37428"/>
    <cellStyle name="Vérification 2 2 9 2 3 3 2 2 3" xfId="15204"/>
    <cellStyle name="Vérification 2 2 9 2 3 3 2 2 4" xfId="31425"/>
    <cellStyle name="Vérification 2 2 9 2 3 3 2 3" xfId="23196"/>
    <cellStyle name="Vérification 2 2 9 2 3 3 2 3 2" xfId="35203"/>
    <cellStyle name="Vérification 2 2 9 2 3 3 2 4" xfId="12901"/>
    <cellStyle name="Vérification 2 2 9 2 3 3 2 5" xfId="29122"/>
    <cellStyle name="Vérification 2 2 9 2 3 3 3" xfId="7157"/>
    <cellStyle name="Vérification 2 2 9 2 3 3 3 2" xfId="23381"/>
    <cellStyle name="Vérification 2 2 9 2 3 3 3 2 2" xfId="35388"/>
    <cellStyle name="Vérification 2 2 9 2 3 3 3 3" xfId="13541"/>
    <cellStyle name="Vérification 2 2 9 2 3 3 3 4" xfId="29762"/>
    <cellStyle name="Vérification 2 2 9 2 3 3 4" xfId="20997"/>
    <cellStyle name="Vérification 2 2 9 2 3 3 4 2" xfId="34336"/>
    <cellStyle name="Vérification 2 2 9 2 3 3 5" xfId="10883"/>
    <cellStyle name="Vérification 2 2 9 2 3 3 6" xfId="27106"/>
    <cellStyle name="Vérification 2 2 9 2 3 4" xfId="3312"/>
    <cellStyle name="Vérification 2 2 9 2 3 4 2" xfId="8298"/>
    <cellStyle name="Vérification 2 2 9 2 3 4 2 2" xfId="24522"/>
    <cellStyle name="Vérification 2 2 9 2 3 4 2 2 2" xfId="36529"/>
    <cellStyle name="Vérification 2 2 9 2 3 4 2 3" xfId="14305"/>
    <cellStyle name="Vérification 2 2 9 2 3 4 2 4" xfId="30526"/>
    <cellStyle name="Vérification 2 2 9 2 3 4 3" xfId="9864"/>
    <cellStyle name="Vérification 2 2 9 2 3 4 3 2" xfId="26088"/>
    <cellStyle name="Vérification 2 2 9 2 3 4 3 2 2" xfId="38095"/>
    <cellStyle name="Vérification 2 2 9 2 3 4 3 3" xfId="15871"/>
    <cellStyle name="Vérification 2 2 9 2 3 4 3 4" xfId="32092"/>
    <cellStyle name="Vérification 2 2 9 2 3 4 4" xfId="19540"/>
    <cellStyle name="Vérification 2 2 9 2 3 4 4 2" xfId="33654"/>
    <cellStyle name="Vérification 2 2 9 2 3 4 5" xfId="11853"/>
    <cellStyle name="Vérification 2 2 9 2 3 4 6" xfId="28074"/>
    <cellStyle name="Vérification 2 2 9 2 3 5" xfId="3611"/>
    <cellStyle name="Vérification 2 2 9 2 3 5 2" xfId="8538"/>
    <cellStyle name="Vérification 2 2 9 2 3 5 2 2" xfId="24762"/>
    <cellStyle name="Vérification 2 2 9 2 3 5 2 2 2" xfId="36769"/>
    <cellStyle name="Vérification 2 2 9 2 3 5 2 3" xfId="14545"/>
    <cellStyle name="Vérification 2 2 9 2 3 5 2 4" xfId="30766"/>
    <cellStyle name="Vérification 2 2 9 2 3 5 3" xfId="19839"/>
    <cellStyle name="Vérification 2 2 9 2 3 5 3 2" xfId="33953"/>
    <cellStyle name="Vérification 2 2 9 2 3 5 4" xfId="12093"/>
    <cellStyle name="Vérification 2 2 9 2 3 5 5" xfId="28314"/>
    <cellStyle name="Vérification 2 2 9 2 3 6" xfId="6697"/>
    <cellStyle name="Vérification 2 2 9 2 3 6 2" xfId="22921"/>
    <cellStyle name="Vérification 2 2 9 2 3 6 2 2" xfId="34928"/>
    <cellStyle name="Vérification 2 2 9 2 3 6 3" xfId="11610"/>
    <cellStyle name="Vérification 2 2 9 2 3 6 4" xfId="27831"/>
    <cellStyle name="Vérification 2 2 9 2 3 7" xfId="17313"/>
    <cellStyle name="Vérification 2 2 9 2 3 7 2" xfId="32759"/>
    <cellStyle name="Vérification 2 2 9 2 3 8" xfId="10531"/>
    <cellStyle name="Vérification 2 2 9 2 3 9" xfId="26756"/>
    <cellStyle name="Vérification 2 2 9 2 4" xfId="2661"/>
    <cellStyle name="Vérification 2 2 9 2 4 2" xfId="6349"/>
    <cellStyle name="Vérification 2 2 9 2 4 2 2" xfId="8730"/>
    <cellStyle name="Vérification 2 2 9 2 4 2 2 2" xfId="24954"/>
    <cellStyle name="Vérification 2 2 9 2 4 2 2 2 2" xfId="36961"/>
    <cellStyle name="Vérification 2 2 9 2 4 2 2 3" xfId="14737"/>
    <cellStyle name="Vérification 2 2 9 2 4 2 2 4" xfId="30958"/>
    <cellStyle name="Vérification 2 2 9 2 4 2 3" xfId="10108"/>
    <cellStyle name="Vérification 2 2 9 2 4 2 3 2" xfId="26332"/>
    <cellStyle name="Vérification 2 2 9 2 4 2 3 2 2" xfId="38339"/>
    <cellStyle name="Vérification 2 2 9 2 4 2 3 3" xfId="16115"/>
    <cellStyle name="Vérification 2 2 9 2 4 2 3 4" xfId="32336"/>
    <cellStyle name="Vérification 2 2 9 2 4 2 4" xfId="22573"/>
    <cellStyle name="Vérification 2 2 9 2 4 2 4 2" xfId="34580"/>
    <cellStyle name="Vérification 2 2 9 2 4 2 5" xfId="12434"/>
    <cellStyle name="Vérification 2 2 9 2 4 2 6" xfId="28655"/>
    <cellStyle name="Vérification 2 2 9 2 4 3" xfId="7397"/>
    <cellStyle name="Vérification 2 2 9 2 4 3 2" xfId="9441"/>
    <cellStyle name="Vérification 2 2 9 2 4 3 2 2" xfId="25665"/>
    <cellStyle name="Vérification 2 2 9 2 4 3 2 2 2" xfId="37672"/>
    <cellStyle name="Vérification 2 2 9 2 4 3 2 3" xfId="15448"/>
    <cellStyle name="Vérification 2 2 9 2 4 3 2 4" xfId="31669"/>
    <cellStyle name="Vérification 2 2 9 2 4 3 3" xfId="23621"/>
    <cellStyle name="Vérification 2 2 9 2 4 3 3 2" xfId="35628"/>
    <cellStyle name="Vérification 2 2 9 2 4 3 4" xfId="13145"/>
    <cellStyle name="Vérification 2 2 9 2 4 3 5" xfId="29366"/>
    <cellStyle name="Vérification 2 2 9 2 4 4" xfId="7774"/>
    <cellStyle name="Vérification 2 2 9 2 4 4 2" xfId="23998"/>
    <cellStyle name="Vérification 2 2 9 2 4 4 2 2" xfId="36005"/>
    <cellStyle name="Vérification 2 2 9 2 4 4 3" xfId="13781"/>
    <cellStyle name="Vérification 2 2 9 2 4 4 4" xfId="30002"/>
    <cellStyle name="Vérification 2 2 9 2 4 5" xfId="18889"/>
    <cellStyle name="Vérification 2 2 9 2 4 5 2" xfId="33003"/>
    <cellStyle name="Vérification 2 2 9 2 4 6" xfId="11130"/>
    <cellStyle name="Vérification 2 2 9 2 4 7" xfId="27351"/>
    <cellStyle name="Vérification 2 2 9 2 5" xfId="4196"/>
    <cellStyle name="Vérification 2 2 9 2 5 2" xfId="6809"/>
    <cellStyle name="Vérification 2 2 9 2 5 2 2" xfId="9108"/>
    <cellStyle name="Vérification 2 2 9 2 5 2 2 2" xfId="25332"/>
    <cellStyle name="Vérification 2 2 9 2 5 2 2 2 2" xfId="37339"/>
    <cellStyle name="Vérification 2 2 9 2 5 2 2 3" xfId="15115"/>
    <cellStyle name="Vérification 2 2 9 2 5 2 2 4" xfId="31336"/>
    <cellStyle name="Vérification 2 2 9 2 5 2 3" xfId="23033"/>
    <cellStyle name="Vérification 2 2 9 2 5 2 3 2" xfId="35040"/>
    <cellStyle name="Vérification 2 2 9 2 5 2 4" xfId="12812"/>
    <cellStyle name="Vérification 2 2 9 2 5 2 5" xfId="29033"/>
    <cellStyle name="Vérification 2 2 9 2 5 3" xfId="6736"/>
    <cellStyle name="Vérification 2 2 9 2 5 3 2" xfId="22960"/>
    <cellStyle name="Vérification 2 2 9 2 5 3 2 2" xfId="34967"/>
    <cellStyle name="Vérification 2 2 9 2 5 3 3" xfId="11508"/>
    <cellStyle name="Vérification 2 2 9 2 5 3 4" xfId="27729"/>
    <cellStyle name="Vérification 2 2 9 2 5 4" xfId="20422"/>
    <cellStyle name="Vérification 2 2 9 2 5 4 2" xfId="34247"/>
    <cellStyle name="Vérification 2 2 9 2 5 5" xfId="10787"/>
    <cellStyle name="Vérification 2 2 9 2 5 6" xfId="27010"/>
    <cellStyle name="Vérification 2 2 9 2 6" xfId="3091"/>
    <cellStyle name="Vérification 2 2 9 2 6 2" xfId="8148"/>
    <cellStyle name="Vérification 2 2 9 2 6 2 2" xfId="24372"/>
    <cellStyle name="Vérification 2 2 9 2 6 2 2 2" xfId="36379"/>
    <cellStyle name="Vérification 2 2 9 2 6 2 3" xfId="14155"/>
    <cellStyle name="Vérification 2 2 9 2 6 2 4" xfId="30376"/>
    <cellStyle name="Vérification 2 2 9 2 6 3" xfId="9775"/>
    <cellStyle name="Vérification 2 2 9 2 6 3 2" xfId="25999"/>
    <cellStyle name="Vérification 2 2 9 2 6 3 2 2" xfId="38006"/>
    <cellStyle name="Vérification 2 2 9 2 6 3 3" xfId="15782"/>
    <cellStyle name="Vérification 2 2 9 2 6 3 4" xfId="32003"/>
    <cellStyle name="Vérification 2 2 9 2 6 4" xfId="19319"/>
    <cellStyle name="Vérification 2 2 9 2 6 4 2" xfId="33433"/>
    <cellStyle name="Vérification 2 2 9 2 6 5" xfId="11703"/>
    <cellStyle name="Vérification 2 2 9 2 6 6" xfId="27924"/>
    <cellStyle name="Vérification 2 2 9 2 7" xfId="3571"/>
    <cellStyle name="Vérification 2 2 9 2 7 2" xfId="8515"/>
    <cellStyle name="Vérification 2 2 9 2 7 2 2" xfId="24739"/>
    <cellStyle name="Vérification 2 2 9 2 7 2 2 2" xfId="36746"/>
    <cellStyle name="Vérification 2 2 9 2 7 2 3" xfId="14522"/>
    <cellStyle name="Vérification 2 2 9 2 7 2 4" xfId="30743"/>
    <cellStyle name="Vérification 2 2 9 2 7 3" xfId="19799"/>
    <cellStyle name="Vérification 2 2 9 2 7 3 2" xfId="33913"/>
    <cellStyle name="Vérification 2 2 9 2 7 4" xfId="12070"/>
    <cellStyle name="Vérification 2 2 9 2 7 5" xfId="28291"/>
    <cellStyle name="Vérification 2 2 9 2 8" xfId="6644"/>
    <cellStyle name="Vérification 2 2 9 2 8 2" xfId="22868"/>
    <cellStyle name="Vérification 2 2 9 2 8 2 2" xfId="34875"/>
    <cellStyle name="Vérification 2 2 9 2 8 3" xfId="12298"/>
    <cellStyle name="Vérification 2 2 9 2 8 4" xfId="28519"/>
    <cellStyle name="Vérification 2 2 9 2 9" xfId="16738"/>
    <cellStyle name="Vérification 2 2 9 2 9 2" xfId="32670"/>
    <cellStyle name="Vérification 2 2 9 3" xfId="516"/>
    <cellStyle name="Vérification 2 2 9 3 10" xfId="10463"/>
    <cellStyle name="Vérification 2 2 9 3 11" xfId="26688"/>
    <cellStyle name="Vérification 2 2 9 3 2" xfId="1382"/>
    <cellStyle name="Vérification 2 2 9 3 2 2" xfId="2860"/>
    <cellStyle name="Vérification 2 2 9 3 2 2 2" xfId="6548"/>
    <cellStyle name="Vérification 2 2 9 3 2 2 2 2" xfId="8929"/>
    <cellStyle name="Vérification 2 2 9 3 2 2 2 2 2" xfId="25153"/>
    <cellStyle name="Vérification 2 2 9 3 2 2 2 2 2 2" xfId="37160"/>
    <cellStyle name="Vérification 2 2 9 3 2 2 2 2 3" xfId="14936"/>
    <cellStyle name="Vérification 2 2 9 3 2 2 2 2 4" xfId="31157"/>
    <cellStyle name="Vérification 2 2 9 3 2 2 2 3" xfId="10307"/>
    <cellStyle name="Vérification 2 2 9 3 2 2 2 3 2" xfId="26531"/>
    <cellStyle name="Vérification 2 2 9 3 2 2 2 3 2 2" xfId="38538"/>
    <cellStyle name="Vérification 2 2 9 3 2 2 2 3 3" xfId="16314"/>
    <cellStyle name="Vérification 2 2 9 3 2 2 2 3 4" xfId="32535"/>
    <cellStyle name="Vérification 2 2 9 3 2 2 2 4" xfId="22772"/>
    <cellStyle name="Vérification 2 2 9 3 2 2 2 4 2" xfId="34779"/>
    <cellStyle name="Vérification 2 2 9 3 2 2 2 5" xfId="12633"/>
    <cellStyle name="Vérification 2 2 9 3 2 2 2 6" xfId="28854"/>
    <cellStyle name="Vérification 2 2 9 3 2 2 3" xfId="7596"/>
    <cellStyle name="Vérification 2 2 9 3 2 2 3 2" xfId="9640"/>
    <cellStyle name="Vérification 2 2 9 3 2 2 3 2 2" xfId="25864"/>
    <cellStyle name="Vérification 2 2 9 3 2 2 3 2 2 2" xfId="37871"/>
    <cellStyle name="Vérification 2 2 9 3 2 2 3 2 3" xfId="15647"/>
    <cellStyle name="Vérification 2 2 9 3 2 2 3 2 4" xfId="31868"/>
    <cellStyle name="Vérification 2 2 9 3 2 2 3 3" xfId="23820"/>
    <cellStyle name="Vérification 2 2 9 3 2 2 3 3 2" xfId="35827"/>
    <cellStyle name="Vérification 2 2 9 3 2 2 3 4" xfId="13344"/>
    <cellStyle name="Vérification 2 2 9 3 2 2 3 5" xfId="29565"/>
    <cellStyle name="Vérification 2 2 9 3 2 2 4" xfId="7973"/>
    <cellStyle name="Vérification 2 2 9 3 2 2 4 2" xfId="24197"/>
    <cellStyle name="Vérification 2 2 9 3 2 2 4 2 2" xfId="36204"/>
    <cellStyle name="Vérification 2 2 9 3 2 2 4 3" xfId="13980"/>
    <cellStyle name="Vérification 2 2 9 3 2 2 4 4" xfId="30201"/>
    <cellStyle name="Vérification 2 2 9 3 2 2 5" xfId="19088"/>
    <cellStyle name="Vérification 2 2 9 3 2 2 5 2" xfId="33202"/>
    <cellStyle name="Vérification 2 2 9 3 2 2 6" xfId="11329"/>
    <cellStyle name="Vérification 2 2 9 3 2 2 7" xfId="27550"/>
    <cellStyle name="Vérification 2 2 9 3 2 3" xfId="5079"/>
    <cellStyle name="Vérification 2 2 9 3 2 3 2" xfId="7106"/>
    <cellStyle name="Vérification 2 2 9 3 2 3 2 2" xfId="9307"/>
    <cellStyle name="Vérification 2 2 9 3 2 3 2 2 2" xfId="25531"/>
    <cellStyle name="Vérification 2 2 9 3 2 3 2 2 2 2" xfId="37538"/>
    <cellStyle name="Vérification 2 2 9 3 2 3 2 2 3" xfId="15314"/>
    <cellStyle name="Vérification 2 2 9 3 2 3 2 2 4" xfId="31535"/>
    <cellStyle name="Vérification 2 2 9 3 2 3 2 3" xfId="23330"/>
    <cellStyle name="Vérification 2 2 9 3 2 3 2 3 2" xfId="35337"/>
    <cellStyle name="Vérification 2 2 9 3 2 3 2 4" xfId="13011"/>
    <cellStyle name="Vérification 2 2 9 3 2 3 2 5" xfId="29232"/>
    <cellStyle name="Vérification 2 2 9 3 2 3 3" xfId="3620"/>
    <cellStyle name="Vérification 2 2 9 3 2 3 3 2" xfId="19848"/>
    <cellStyle name="Vérification 2 2 9 3 2 3 3 2 2" xfId="33962"/>
    <cellStyle name="Vérification 2 2 9 3 2 3 3 3" xfId="11439"/>
    <cellStyle name="Vérification 2 2 9 3 2 3 3 4" xfId="27660"/>
    <cellStyle name="Vérification 2 2 9 3 2 3 4" xfId="21305"/>
    <cellStyle name="Vérification 2 2 9 3 2 3 4 2" xfId="34446"/>
    <cellStyle name="Vérification 2 2 9 3 2 3 5" xfId="10993"/>
    <cellStyle name="Vérification 2 2 9 3 2 3 6" xfId="27216"/>
    <cellStyle name="Vérification 2 2 9 3 2 4" xfId="3470"/>
    <cellStyle name="Vérification 2 2 9 3 2 4 2" xfId="8437"/>
    <cellStyle name="Vérification 2 2 9 3 2 4 2 2" xfId="24661"/>
    <cellStyle name="Vérification 2 2 9 3 2 4 2 2 2" xfId="36668"/>
    <cellStyle name="Vérification 2 2 9 3 2 4 2 3" xfId="14444"/>
    <cellStyle name="Vérification 2 2 9 3 2 4 2 4" xfId="30665"/>
    <cellStyle name="Vérification 2 2 9 3 2 4 3" xfId="9974"/>
    <cellStyle name="Vérification 2 2 9 3 2 4 3 2" xfId="26198"/>
    <cellStyle name="Vérification 2 2 9 3 2 4 3 2 2" xfId="38205"/>
    <cellStyle name="Vérification 2 2 9 3 2 4 3 3" xfId="15981"/>
    <cellStyle name="Vérification 2 2 9 3 2 4 3 4" xfId="32202"/>
    <cellStyle name="Vérification 2 2 9 3 2 4 4" xfId="19698"/>
    <cellStyle name="Vérification 2 2 9 3 2 4 4 2" xfId="33812"/>
    <cellStyle name="Vérification 2 2 9 3 2 4 5" xfId="11992"/>
    <cellStyle name="Vérification 2 2 9 3 2 4 6" xfId="28213"/>
    <cellStyle name="Vérification 2 2 9 3 2 5" xfId="3828"/>
    <cellStyle name="Vérification 2 2 9 3 2 5 2" xfId="8657"/>
    <cellStyle name="Vérification 2 2 9 3 2 5 2 2" xfId="24881"/>
    <cellStyle name="Vérification 2 2 9 3 2 5 2 2 2" xfId="36888"/>
    <cellStyle name="Vérification 2 2 9 3 2 5 2 3" xfId="14664"/>
    <cellStyle name="Vérification 2 2 9 3 2 5 2 4" xfId="30885"/>
    <cellStyle name="Vérification 2 2 9 3 2 5 3" xfId="20056"/>
    <cellStyle name="Vérification 2 2 9 3 2 5 3 2" xfId="34170"/>
    <cellStyle name="Vérification 2 2 9 3 2 5 4" xfId="12212"/>
    <cellStyle name="Vérification 2 2 9 3 2 5 5" xfId="28433"/>
    <cellStyle name="Vérification 2 2 9 3 2 6" xfId="3773"/>
    <cellStyle name="Vérification 2 2 9 3 2 6 2" xfId="20001"/>
    <cellStyle name="Vérification 2 2 9 3 2 6 2 2" xfId="34115"/>
    <cellStyle name="Vérification 2 2 9 3 2 6 3" xfId="13489"/>
    <cellStyle name="Vérification 2 2 9 3 2 6 4" xfId="29710"/>
    <cellStyle name="Vérification 2 2 9 3 2 7" xfId="17621"/>
    <cellStyle name="Vérification 2 2 9 3 2 7 2" xfId="32869"/>
    <cellStyle name="Vérification 2 2 9 3 2 8" xfId="10641"/>
    <cellStyle name="Vérification 2 2 9 3 2 9" xfId="26866"/>
    <cellStyle name="Vérification 2 2 9 3 3" xfId="1131"/>
    <cellStyle name="Vérification 2 2 9 3 3 2" xfId="2771"/>
    <cellStyle name="Vérification 2 2 9 3 3 2 2" xfId="6459"/>
    <cellStyle name="Vérification 2 2 9 3 3 2 2 2" xfId="8840"/>
    <cellStyle name="Vérification 2 2 9 3 3 2 2 2 2" xfId="25064"/>
    <cellStyle name="Vérification 2 2 9 3 3 2 2 2 2 2" xfId="37071"/>
    <cellStyle name="Vérification 2 2 9 3 3 2 2 2 3" xfId="14847"/>
    <cellStyle name="Vérification 2 2 9 3 3 2 2 2 4" xfId="31068"/>
    <cellStyle name="Vérification 2 2 9 3 3 2 2 3" xfId="10218"/>
    <cellStyle name="Vérification 2 2 9 3 3 2 2 3 2" xfId="26442"/>
    <cellStyle name="Vérification 2 2 9 3 3 2 2 3 2 2" xfId="38449"/>
    <cellStyle name="Vérification 2 2 9 3 3 2 2 3 3" xfId="16225"/>
    <cellStyle name="Vérification 2 2 9 3 3 2 2 3 4" xfId="32446"/>
    <cellStyle name="Vérification 2 2 9 3 3 2 2 4" xfId="22683"/>
    <cellStyle name="Vérification 2 2 9 3 3 2 2 4 2" xfId="34690"/>
    <cellStyle name="Vérification 2 2 9 3 3 2 2 5" xfId="12544"/>
    <cellStyle name="Vérification 2 2 9 3 3 2 2 6" xfId="28765"/>
    <cellStyle name="Vérification 2 2 9 3 3 2 3" xfId="7507"/>
    <cellStyle name="Vérification 2 2 9 3 3 2 3 2" xfId="9551"/>
    <cellStyle name="Vérification 2 2 9 3 3 2 3 2 2" xfId="25775"/>
    <cellStyle name="Vérification 2 2 9 3 3 2 3 2 2 2" xfId="37782"/>
    <cellStyle name="Vérification 2 2 9 3 3 2 3 2 3" xfId="15558"/>
    <cellStyle name="Vérification 2 2 9 3 3 2 3 2 4" xfId="31779"/>
    <cellStyle name="Vérification 2 2 9 3 3 2 3 3" xfId="23731"/>
    <cellStyle name="Vérification 2 2 9 3 3 2 3 3 2" xfId="35738"/>
    <cellStyle name="Vérification 2 2 9 3 3 2 3 4" xfId="13255"/>
    <cellStyle name="Vérification 2 2 9 3 3 2 3 5" xfId="29476"/>
    <cellStyle name="Vérification 2 2 9 3 3 2 4" xfId="7884"/>
    <cellStyle name="Vérification 2 2 9 3 3 2 4 2" xfId="24108"/>
    <cellStyle name="Vérification 2 2 9 3 3 2 4 2 2" xfId="36115"/>
    <cellStyle name="Vérification 2 2 9 3 3 2 4 3" xfId="13891"/>
    <cellStyle name="Vérification 2 2 9 3 3 2 4 4" xfId="30112"/>
    <cellStyle name="Vérification 2 2 9 3 3 2 5" xfId="18999"/>
    <cellStyle name="Vérification 2 2 9 3 3 2 5 2" xfId="33113"/>
    <cellStyle name="Vérification 2 2 9 3 3 2 6" xfId="11240"/>
    <cellStyle name="Vérification 2 2 9 3 3 2 7" xfId="27461"/>
    <cellStyle name="Vérification 2 2 9 3 3 3" xfId="4828"/>
    <cellStyle name="Vérification 2 2 9 3 3 3 2" xfId="6998"/>
    <cellStyle name="Vérification 2 2 9 3 3 3 2 2" xfId="9218"/>
    <cellStyle name="Vérification 2 2 9 3 3 3 2 2 2" xfId="25442"/>
    <cellStyle name="Vérification 2 2 9 3 3 3 2 2 2 2" xfId="37449"/>
    <cellStyle name="Vérification 2 2 9 3 3 3 2 2 3" xfId="15225"/>
    <cellStyle name="Vérification 2 2 9 3 3 3 2 2 4" xfId="31446"/>
    <cellStyle name="Vérification 2 2 9 3 3 3 2 3" xfId="23222"/>
    <cellStyle name="Vérification 2 2 9 3 3 3 2 3 2" xfId="35229"/>
    <cellStyle name="Vérification 2 2 9 3 3 3 2 4" xfId="12922"/>
    <cellStyle name="Vérification 2 2 9 3 3 3 2 5" xfId="29143"/>
    <cellStyle name="Vérification 2 2 9 3 3 3 3" xfId="3612"/>
    <cellStyle name="Vérification 2 2 9 3 3 3 3 2" xfId="19840"/>
    <cellStyle name="Vérification 2 2 9 3 3 3 3 2 2" xfId="33954"/>
    <cellStyle name="Vérification 2 2 9 3 3 3 3 3" xfId="11471"/>
    <cellStyle name="Vérification 2 2 9 3 3 3 3 4" xfId="27692"/>
    <cellStyle name="Vérification 2 2 9 3 3 3 4" xfId="21054"/>
    <cellStyle name="Vérification 2 2 9 3 3 3 4 2" xfId="34357"/>
    <cellStyle name="Vérification 2 2 9 3 3 3 5" xfId="10904"/>
    <cellStyle name="Vérification 2 2 9 3 3 3 6" xfId="27127"/>
    <cellStyle name="Vérification 2 2 9 3 3 4" xfId="3342"/>
    <cellStyle name="Vérification 2 2 9 3 3 4 2" xfId="8325"/>
    <cellStyle name="Vérification 2 2 9 3 3 4 2 2" xfId="24549"/>
    <cellStyle name="Vérification 2 2 9 3 3 4 2 2 2" xfId="36556"/>
    <cellStyle name="Vérification 2 2 9 3 3 4 2 3" xfId="14332"/>
    <cellStyle name="Vérification 2 2 9 3 3 4 2 4" xfId="30553"/>
    <cellStyle name="Vérification 2 2 9 3 3 4 3" xfId="9885"/>
    <cellStyle name="Vérification 2 2 9 3 3 4 3 2" xfId="26109"/>
    <cellStyle name="Vérification 2 2 9 3 3 4 3 2 2" xfId="38116"/>
    <cellStyle name="Vérification 2 2 9 3 3 4 3 3" xfId="15892"/>
    <cellStyle name="Vérification 2 2 9 3 3 4 3 4" xfId="32113"/>
    <cellStyle name="Vérification 2 2 9 3 3 4 4" xfId="19570"/>
    <cellStyle name="Vérification 2 2 9 3 3 4 4 2" xfId="33684"/>
    <cellStyle name="Vérification 2 2 9 3 3 4 5" xfId="11880"/>
    <cellStyle name="Vérification 2 2 9 3 3 4 6" xfId="28101"/>
    <cellStyle name="Vérification 2 2 9 3 3 5" xfId="3626"/>
    <cellStyle name="Vérification 2 2 9 3 3 5 2" xfId="8545"/>
    <cellStyle name="Vérification 2 2 9 3 3 5 2 2" xfId="24769"/>
    <cellStyle name="Vérification 2 2 9 3 3 5 2 2 2" xfId="36776"/>
    <cellStyle name="Vérification 2 2 9 3 3 5 2 3" xfId="14552"/>
    <cellStyle name="Vérification 2 2 9 3 3 5 2 4" xfId="30773"/>
    <cellStyle name="Vérification 2 2 9 3 3 5 3" xfId="19854"/>
    <cellStyle name="Vérification 2 2 9 3 3 5 3 2" xfId="33968"/>
    <cellStyle name="Vérification 2 2 9 3 3 5 4" xfId="12100"/>
    <cellStyle name="Vérification 2 2 9 3 3 5 5" xfId="28321"/>
    <cellStyle name="Vérification 2 2 9 3 3 6" xfId="3703"/>
    <cellStyle name="Vérification 2 2 9 3 3 6 2" xfId="19931"/>
    <cellStyle name="Vérification 2 2 9 3 3 6 2 2" xfId="34045"/>
    <cellStyle name="Vérification 2 2 9 3 3 6 3" xfId="12336"/>
    <cellStyle name="Vérification 2 2 9 3 3 6 4" xfId="28557"/>
    <cellStyle name="Vérification 2 2 9 3 3 7" xfId="17370"/>
    <cellStyle name="Vérification 2 2 9 3 3 7 2" xfId="32780"/>
    <cellStyle name="Vérification 2 2 9 3 3 8" xfId="10552"/>
    <cellStyle name="Vérification 2 2 9 3 3 9" xfId="26777"/>
    <cellStyle name="Vérification 2 2 9 3 4" xfId="2682"/>
    <cellStyle name="Vérification 2 2 9 3 4 2" xfId="6370"/>
    <cellStyle name="Vérification 2 2 9 3 4 2 2" xfId="8751"/>
    <cellStyle name="Vérification 2 2 9 3 4 2 2 2" xfId="24975"/>
    <cellStyle name="Vérification 2 2 9 3 4 2 2 2 2" xfId="36982"/>
    <cellStyle name="Vérification 2 2 9 3 4 2 2 3" xfId="14758"/>
    <cellStyle name="Vérification 2 2 9 3 4 2 2 4" xfId="30979"/>
    <cellStyle name="Vérification 2 2 9 3 4 2 3" xfId="10129"/>
    <cellStyle name="Vérification 2 2 9 3 4 2 3 2" xfId="26353"/>
    <cellStyle name="Vérification 2 2 9 3 4 2 3 2 2" xfId="38360"/>
    <cellStyle name="Vérification 2 2 9 3 4 2 3 3" xfId="16136"/>
    <cellStyle name="Vérification 2 2 9 3 4 2 3 4" xfId="32357"/>
    <cellStyle name="Vérification 2 2 9 3 4 2 4" xfId="22594"/>
    <cellStyle name="Vérification 2 2 9 3 4 2 4 2" xfId="34601"/>
    <cellStyle name="Vérification 2 2 9 3 4 2 5" xfId="12455"/>
    <cellStyle name="Vérification 2 2 9 3 4 2 6" xfId="28676"/>
    <cellStyle name="Vérification 2 2 9 3 4 3" xfId="7418"/>
    <cellStyle name="Vérification 2 2 9 3 4 3 2" xfId="9462"/>
    <cellStyle name="Vérification 2 2 9 3 4 3 2 2" xfId="25686"/>
    <cellStyle name="Vérification 2 2 9 3 4 3 2 2 2" xfId="37693"/>
    <cellStyle name="Vérification 2 2 9 3 4 3 2 3" xfId="15469"/>
    <cellStyle name="Vérification 2 2 9 3 4 3 2 4" xfId="31690"/>
    <cellStyle name="Vérification 2 2 9 3 4 3 3" xfId="23642"/>
    <cellStyle name="Vérification 2 2 9 3 4 3 3 2" xfId="35649"/>
    <cellStyle name="Vérification 2 2 9 3 4 3 4" xfId="13166"/>
    <cellStyle name="Vérification 2 2 9 3 4 3 5" xfId="29387"/>
    <cellStyle name="Vérification 2 2 9 3 4 4" xfId="7795"/>
    <cellStyle name="Vérification 2 2 9 3 4 4 2" xfId="24019"/>
    <cellStyle name="Vérification 2 2 9 3 4 4 2 2" xfId="36026"/>
    <cellStyle name="Vérification 2 2 9 3 4 4 3" xfId="13802"/>
    <cellStyle name="Vérification 2 2 9 3 4 4 4" xfId="30023"/>
    <cellStyle name="Vérification 2 2 9 3 4 5" xfId="18910"/>
    <cellStyle name="Vérification 2 2 9 3 4 5 2" xfId="33024"/>
    <cellStyle name="Vérification 2 2 9 3 4 6" xfId="11151"/>
    <cellStyle name="Vérification 2 2 9 3 4 7" xfId="27372"/>
    <cellStyle name="Vérification 2 2 9 3 5" xfId="4253"/>
    <cellStyle name="Vérification 2 2 9 3 5 2" xfId="6833"/>
    <cellStyle name="Vérification 2 2 9 3 5 2 2" xfId="9129"/>
    <cellStyle name="Vérification 2 2 9 3 5 2 2 2" xfId="25353"/>
    <cellStyle name="Vérification 2 2 9 3 5 2 2 2 2" xfId="37360"/>
    <cellStyle name="Vérification 2 2 9 3 5 2 2 3" xfId="15136"/>
    <cellStyle name="Vérification 2 2 9 3 5 2 2 4" xfId="31357"/>
    <cellStyle name="Vérification 2 2 9 3 5 2 3" xfId="23057"/>
    <cellStyle name="Vérification 2 2 9 3 5 2 3 2" xfId="35064"/>
    <cellStyle name="Vérification 2 2 9 3 5 2 4" xfId="12833"/>
    <cellStyle name="Vérification 2 2 9 3 5 2 5" xfId="29054"/>
    <cellStyle name="Vérification 2 2 9 3 5 3" xfId="7210"/>
    <cellStyle name="Vérification 2 2 9 3 5 3 2" xfId="23434"/>
    <cellStyle name="Vérification 2 2 9 3 5 3 2 2" xfId="35441"/>
    <cellStyle name="Vérification 2 2 9 3 5 3 3" xfId="13594"/>
    <cellStyle name="Vérification 2 2 9 3 5 3 4" xfId="29815"/>
    <cellStyle name="Vérification 2 2 9 3 5 4" xfId="20479"/>
    <cellStyle name="Vérification 2 2 9 3 5 4 2" xfId="34268"/>
    <cellStyle name="Vérification 2 2 9 3 5 5" xfId="10808"/>
    <cellStyle name="Vérification 2 2 9 3 5 6" xfId="27031"/>
    <cellStyle name="Vérification 2 2 9 3 6" xfId="3121"/>
    <cellStyle name="Vérification 2 2 9 3 6 2" xfId="8173"/>
    <cellStyle name="Vérification 2 2 9 3 6 2 2" xfId="24397"/>
    <cellStyle name="Vérification 2 2 9 3 6 2 2 2" xfId="36404"/>
    <cellStyle name="Vérification 2 2 9 3 6 2 3" xfId="14180"/>
    <cellStyle name="Vérification 2 2 9 3 6 2 4" xfId="30401"/>
    <cellStyle name="Vérification 2 2 9 3 6 3" xfId="9796"/>
    <cellStyle name="Vérification 2 2 9 3 6 3 2" xfId="26020"/>
    <cellStyle name="Vérification 2 2 9 3 6 3 2 2" xfId="38027"/>
    <cellStyle name="Vérification 2 2 9 3 6 3 3" xfId="15803"/>
    <cellStyle name="Vérification 2 2 9 3 6 3 4" xfId="32024"/>
    <cellStyle name="Vérification 2 2 9 3 6 4" xfId="19349"/>
    <cellStyle name="Vérification 2 2 9 3 6 4 2" xfId="33463"/>
    <cellStyle name="Vérification 2 2 9 3 6 5" xfId="11728"/>
    <cellStyle name="Vérification 2 2 9 3 6 6" xfId="27949"/>
    <cellStyle name="Vérification 2 2 9 3 7" xfId="3254"/>
    <cellStyle name="Vérification 2 2 9 3 7 2" xfId="8257"/>
    <cellStyle name="Vérification 2 2 9 3 7 2 2" xfId="24481"/>
    <cellStyle name="Vérification 2 2 9 3 7 2 2 2" xfId="36488"/>
    <cellStyle name="Vérification 2 2 9 3 7 2 3" xfId="14264"/>
    <cellStyle name="Vérification 2 2 9 3 7 2 4" xfId="30485"/>
    <cellStyle name="Vérification 2 2 9 3 7 3" xfId="19482"/>
    <cellStyle name="Vérification 2 2 9 3 7 3 2" xfId="33596"/>
    <cellStyle name="Vérification 2 2 9 3 7 4" xfId="11812"/>
    <cellStyle name="Vérification 2 2 9 3 7 5" xfId="28033"/>
    <cellStyle name="Vérification 2 2 9 3 8" xfId="7178"/>
    <cellStyle name="Vérification 2 2 9 3 8 2" xfId="23402"/>
    <cellStyle name="Vérification 2 2 9 3 8 2 2" xfId="35409"/>
    <cellStyle name="Vérification 2 2 9 3 8 3" xfId="13562"/>
    <cellStyle name="Vérification 2 2 9 3 8 4" xfId="29783"/>
    <cellStyle name="Vérification 2 2 9 3 9" xfId="16795"/>
    <cellStyle name="Vérification 2 2 9 3 9 2" xfId="32691"/>
    <cellStyle name="Vérification 2 2 9 4" xfId="692"/>
    <cellStyle name="Vérification 2 2 9 4 10" xfId="10486"/>
    <cellStyle name="Vérification 2 2 9 4 11" xfId="26711"/>
    <cellStyle name="Vérification 2 2 9 4 2" xfId="1405"/>
    <cellStyle name="Vérification 2 2 9 4 2 2" xfId="2883"/>
    <cellStyle name="Vérification 2 2 9 4 2 2 2" xfId="6571"/>
    <cellStyle name="Vérification 2 2 9 4 2 2 2 2" xfId="8952"/>
    <cellStyle name="Vérification 2 2 9 4 2 2 2 2 2" xfId="25176"/>
    <cellStyle name="Vérification 2 2 9 4 2 2 2 2 2 2" xfId="37183"/>
    <cellStyle name="Vérification 2 2 9 4 2 2 2 2 3" xfId="14959"/>
    <cellStyle name="Vérification 2 2 9 4 2 2 2 2 4" xfId="31180"/>
    <cellStyle name="Vérification 2 2 9 4 2 2 2 3" xfId="10330"/>
    <cellStyle name="Vérification 2 2 9 4 2 2 2 3 2" xfId="26554"/>
    <cellStyle name="Vérification 2 2 9 4 2 2 2 3 2 2" xfId="38561"/>
    <cellStyle name="Vérification 2 2 9 4 2 2 2 3 3" xfId="16337"/>
    <cellStyle name="Vérification 2 2 9 4 2 2 2 3 4" xfId="32558"/>
    <cellStyle name="Vérification 2 2 9 4 2 2 2 4" xfId="22795"/>
    <cellStyle name="Vérification 2 2 9 4 2 2 2 4 2" xfId="34802"/>
    <cellStyle name="Vérification 2 2 9 4 2 2 2 5" xfId="12656"/>
    <cellStyle name="Vérification 2 2 9 4 2 2 2 6" xfId="28877"/>
    <cellStyle name="Vérification 2 2 9 4 2 2 3" xfId="7619"/>
    <cellStyle name="Vérification 2 2 9 4 2 2 3 2" xfId="9663"/>
    <cellStyle name="Vérification 2 2 9 4 2 2 3 2 2" xfId="25887"/>
    <cellStyle name="Vérification 2 2 9 4 2 2 3 2 2 2" xfId="37894"/>
    <cellStyle name="Vérification 2 2 9 4 2 2 3 2 3" xfId="15670"/>
    <cellStyle name="Vérification 2 2 9 4 2 2 3 2 4" xfId="31891"/>
    <cellStyle name="Vérification 2 2 9 4 2 2 3 3" xfId="23843"/>
    <cellStyle name="Vérification 2 2 9 4 2 2 3 3 2" xfId="35850"/>
    <cellStyle name="Vérification 2 2 9 4 2 2 3 4" xfId="13367"/>
    <cellStyle name="Vérification 2 2 9 4 2 2 3 5" xfId="29588"/>
    <cellStyle name="Vérification 2 2 9 4 2 2 4" xfId="7996"/>
    <cellStyle name="Vérification 2 2 9 4 2 2 4 2" xfId="24220"/>
    <cellStyle name="Vérification 2 2 9 4 2 2 4 2 2" xfId="36227"/>
    <cellStyle name="Vérification 2 2 9 4 2 2 4 3" xfId="14003"/>
    <cellStyle name="Vérification 2 2 9 4 2 2 4 4" xfId="30224"/>
    <cellStyle name="Vérification 2 2 9 4 2 2 5" xfId="19111"/>
    <cellStyle name="Vérification 2 2 9 4 2 2 5 2" xfId="33225"/>
    <cellStyle name="Vérification 2 2 9 4 2 2 6" xfId="11352"/>
    <cellStyle name="Vérification 2 2 9 4 2 2 7" xfId="27573"/>
    <cellStyle name="Vérification 2 2 9 4 2 3" xfId="5102"/>
    <cellStyle name="Vérification 2 2 9 4 2 3 2" xfId="7129"/>
    <cellStyle name="Vérification 2 2 9 4 2 3 2 2" xfId="9330"/>
    <cellStyle name="Vérification 2 2 9 4 2 3 2 2 2" xfId="25554"/>
    <cellStyle name="Vérification 2 2 9 4 2 3 2 2 2 2" xfId="37561"/>
    <cellStyle name="Vérification 2 2 9 4 2 3 2 2 3" xfId="15337"/>
    <cellStyle name="Vérification 2 2 9 4 2 3 2 2 4" xfId="31558"/>
    <cellStyle name="Vérification 2 2 9 4 2 3 2 3" xfId="23353"/>
    <cellStyle name="Vérification 2 2 9 4 2 3 2 3 2" xfId="35360"/>
    <cellStyle name="Vérification 2 2 9 4 2 3 2 4" xfId="13034"/>
    <cellStyle name="Vérification 2 2 9 4 2 3 2 5" xfId="29255"/>
    <cellStyle name="Vérification 2 2 9 4 2 3 3" xfId="7303"/>
    <cellStyle name="Vérification 2 2 9 4 2 3 3 2" xfId="23527"/>
    <cellStyle name="Vérification 2 2 9 4 2 3 3 2 2" xfId="35534"/>
    <cellStyle name="Vérification 2 2 9 4 2 3 3 3" xfId="13683"/>
    <cellStyle name="Vérification 2 2 9 4 2 3 3 4" xfId="29904"/>
    <cellStyle name="Vérification 2 2 9 4 2 3 4" xfId="21328"/>
    <cellStyle name="Vérification 2 2 9 4 2 3 4 2" xfId="34469"/>
    <cellStyle name="Vérification 2 2 9 4 2 3 5" xfId="11016"/>
    <cellStyle name="Vérification 2 2 9 4 2 3 6" xfId="27239"/>
    <cellStyle name="Vérification 2 2 9 4 2 4" xfId="3493"/>
    <cellStyle name="Vérification 2 2 9 4 2 4 2" xfId="8460"/>
    <cellStyle name="Vérification 2 2 9 4 2 4 2 2" xfId="24684"/>
    <cellStyle name="Vérification 2 2 9 4 2 4 2 2 2" xfId="36691"/>
    <cellStyle name="Vérification 2 2 9 4 2 4 2 3" xfId="14467"/>
    <cellStyle name="Vérification 2 2 9 4 2 4 2 4" xfId="30688"/>
    <cellStyle name="Vérification 2 2 9 4 2 4 3" xfId="9997"/>
    <cellStyle name="Vérification 2 2 9 4 2 4 3 2" xfId="26221"/>
    <cellStyle name="Vérification 2 2 9 4 2 4 3 2 2" xfId="38228"/>
    <cellStyle name="Vérification 2 2 9 4 2 4 3 3" xfId="16004"/>
    <cellStyle name="Vérification 2 2 9 4 2 4 3 4" xfId="32225"/>
    <cellStyle name="Vérification 2 2 9 4 2 4 4" xfId="19721"/>
    <cellStyle name="Vérification 2 2 9 4 2 4 4 2" xfId="33835"/>
    <cellStyle name="Vérification 2 2 9 4 2 4 5" xfId="12015"/>
    <cellStyle name="Vérification 2 2 9 4 2 4 6" xfId="28236"/>
    <cellStyle name="Vérification 2 2 9 4 2 5" xfId="3304"/>
    <cellStyle name="Vérification 2 2 9 4 2 5 2" xfId="8291"/>
    <cellStyle name="Vérification 2 2 9 4 2 5 2 2" xfId="24515"/>
    <cellStyle name="Vérification 2 2 9 4 2 5 2 2 2" xfId="36522"/>
    <cellStyle name="Vérification 2 2 9 4 2 5 2 3" xfId="14298"/>
    <cellStyle name="Vérification 2 2 9 4 2 5 2 4" xfId="30519"/>
    <cellStyle name="Vérification 2 2 9 4 2 5 3" xfId="19532"/>
    <cellStyle name="Vérification 2 2 9 4 2 5 3 2" xfId="33646"/>
    <cellStyle name="Vérification 2 2 9 4 2 5 4" xfId="11846"/>
    <cellStyle name="Vérification 2 2 9 4 2 5 5" xfId="28067"/>
    <cellStyle name="Vérification 2 2 9 4 2 6" xfId="7249"/>
    <cellStyle name="Vérification 2 2 9 4 2 6 2" xfId="23473"/>
    <cellStyle name="Vérification 2 2 9 4 2 6 2 2" xfId="35480"/>
    <cellStyle name="Vérification 2 2 9 4 2 6 3" xfId="13633"/>
    <cellStyle name="Vérification 2 2 9 4 2 6 4" xfId="29854"/>
    <cellStyle name="Vérification 2 2 9 4 2 7" xfId="17644"/>
    <cellStyle name="Vérification 2 2 9 4 2 7 2" xfId="32892"/>
    <cellStyle name="Vérification 2 2 9 4 2 8" xfId="10664"/>
    <cellStyle name="Vérification 2 2 9 4 2 9" xfId="26889"/>
    <cellStyle name="Vérification 2 2 9 4 3" xfId="1280"/>
    <cellStyle name="Vérification 2 2 9 4 3 2" xfId="2794"/>
    <cellStyle name="Vérification 2 2 9 4 3 2 2" xfId="6482"/>
    <cellStyle name="Vérification 2 2 9 4 3 2 2 2" xfId="8863"/>
    <cellStyle name="Vérification 2 2 9 4 3 2 2 2 2" xfId="25087"/>
    <cellStyle name="Vérification 2 2 9 4 3 2 2 2 2 2" xfId="37094"/>
    <cellStyle name="Vérification 2 2 9 4 3 2 2 2 3" xfId="14870"/>
    <cellStyle name="Vérification 2 2 9 4 3 2 2 2 4" xfId="31091"/>
    <cellStyle name="Vérification 2 2 9 4 3 2 2 3" xfId="10241"/>
    <cellStyle name="Vérification 2 2 9 4 3 2 2 3 2" xfId="26465"/>
    <cellStyle name="Vérification 2 2 9 4 3 2 2 3 2 2" xfId="38472"/>
    <cellStyle name="Vérification 2 2 9 4 3 2 2 3 3" xfId="16248"/>
    <cellStyle name="Vérification 2 2 9 4 3 2 2 3 4" xfId="32469"/>
    <cellStyle name="Vérification 2 2 9 4 3 2 2 4" xfId="22706"/>
    <cellStyle name="Vérification 2 2 9 4 3 2 2 4 2" xfId="34713"/>
    <cellStyle name="Vérification 2 2 9 4 3 2 2 5" xfId="12567"/>
    <cellStyle name="Vérification 2 2 9 4 3 2 2 6" xfId="28788"/>
    <cellStyle name="Vérification 2 2 9 4 3 2 3" xfId="7530"/>
    <cellStyle name="Vérification 2 2 9 4 3 2 3 2" xfId="9574"/>
    <cellStyle name="Vérification 2 2 9 4 3 2 3 2 2" xfId="25798"/>
    <cellStyle name="Vérification 2 2 9 4 3 2 3 2 2 2" xfId="37805"/>
    <cellStyle name="Vérification 2 2 9 4 3 2 3 2 3" xfId="15581"/>
    <cellStyle name="Vérification 2 2 9 4 3 2 3 2 4" xfId="31802"/>
    <cellStyle name="Vérification 2 2 9 4 3 2 3 3" xfId="23754"/>
    <cellStyle name="Vérification 2 2 9 4 3 2 3 3 2" xfId="35761"/>
    <cellStyle name="Vérification 2 2 9 4 3 2 3 4" xfId="13278"/>
    <cellStyle name="Vérification 2 2 9 4 3 2 3 5" xfId="29499"/>
    <cellStyle name="Vérification 2 2 9 4 3 2 4" xfId="7907"/>
    <cellStyle name="Vérification 2 2 9 4 3 2 4 2" xfId="24131"/>
    <cellStyle name="Vérification 2 2 9 4 3 2 4 2 2" xfId="36138"/>
    <cellStyle name="Vérification 2 2 9 4 3 2 4 3" xfId="13914"/>
    <cellStyle name="Vérification 2 2 9 4 3 2 4 4" xfId="30135"/>
    <cellStyle name="Vérification 2 2 9 4 3 2 5" xfId="19022"/>
    <cellStyle name="Vérification 2 2 9 4 3 2 5 2" xfId="33136"/>
    <cellStyle name="Vérification 2 2 9 4 3 2 6" xfId="11263"/>
    <cellStyle name="Vérification 2 2 9 4 3 2 7" xfId="27484"/>
    <cellStyle name="Vérification 2 2 9 4 3 3" xfId="4977"/>
    <cellStyle name="Vérification 2 2 9 4 3 3 2" xfId="7035"/>
    <cellStyle name="Vérification 2 2 9 4 3 3 2 2" xfId="9241"/>
    <cellStyle name="Vérification 2 2 9 4 3 3 2 2 2" xfId="25465"/>
    <cellStyle name="Vérification 2 2 9 4 3 3 2 2 2 2" xfId="37472"/>
    <cellStyle name="Vérification 2 2 9 4 3 3 2 2 3" xfId="15248"/>
    <cellStyle name="Vérification 2 2 9 4 3 3 2 2 4" xfId="31469"/>
    <cellStyle name="Vérification 2 2 9 4 3 3 2 3" xfId="23259"/>
    <cellStyle name="Vérification 2 2 9 4 3 3 2 3 2" xfId="35266"/>
    <cellStyle name="Vérification 2 2 9 4 3 3 2 4" xfId="12945"/>
    <cellStyle name="Vérification 2 2 9 4 3 3 2 5" xfId="29166"/>
    <cellStyle name="Vérification 2 2 9 4 3 3 3" xfId="7244"/>
    <cellStyle name="Vérification 2 2 9 4 3 3 3 2" xfId="23468"/>
    <cellStyle name="Vérification 2 2 9 4 3 3 3 2 2" xfId="35475"/>
    <cellStyle name="Vérification 2 2 9 4 3 3 3 3" xfId="13628"/>
    <cellStyle name="Vérification 2 2 9 4 3 3 3 4" xfId="29849"/>
    <cellStyle name="Vérification 2 2 9 4 3 3 4" xfId="21203"/>
    <cellStyle name="Vérification 2 2 9 4 3 3 4 2" xfId="34380"/>
    <cellStyle name="Vérification 2 2 9 4 3 3 5" xfId="10927"/>
    <cellStyle name="Vérification 2 2 9 4 3 3 6" xfId="27150"/>
    <cellStyle name="Vérification 2 2 9 4 3 4" xfId="3396"/>
    <cellStyle name="Vérification 2 2 9 4 3 4 2" xfId="8366"/>
    <cellStyle name="Vérification 2 2 9 4 3 4 2 2" xfId="24590"/>
    <cellStyle name="Vérification 2 2 9 4 3 4 2 2 2" xfId="36597"/>
    <cellStyle name="Vérification 2 2 9 4 3 4 2 3" xfId="14373"/>
    <cellStyle name="Vérification 2 2 9 4 3 4 2 4" xfId="30594"/>
    <cellStyle name="Vérification 2 2 9 4 3 4 3" xfId="9908"/>
    <cellStyle name="Vérification 2 2 9 4 3 4 3 2" xfId="26132"/>
    <cellStyle name="Vérification 2 2 9 4 3 4 3 2 2" xfId="38139"/>
    <cellStyle name="Vérification 2 2 9 4 3 4 3 3" xfId="15915"/>
    <cellStyle name="Vérification 2 2 9 4 3 4 3 4" xfId="32136"/>
    <cellStyle name="Vérification 2 2 9 4 3 4 4" xfId="19624"/>
    <cellStyle name="Vérification 2 2 9 4 3 4 4 2" xfId="33738"/>
    <cellStyle name="Vérification 2 2 9 4 3 4 5" xfId="11921"/>
    <cellStyle name="Vérification 2 2 9 4 3 4 6" xfId="28142"/>
    <cellStyle name="Vérification 2 2 9 4 3 5" xfId="3683"/>
    <cellStyle name="Vérification 2 2 9 4 3 5 2" xfId="8575"/>
    <cellStyle name="Vérification 2 2 9 4 3 5 2 2" xfId="24799"/>
    <cellStyle name="Vérification 2 2 9 4 3 5 2 2 2" xfId="36806"/>
    <cellStyle name="Vérification 2 2 9 4 3 5 2 3" xfId="14582"/>
    <cellStyle name="Vérification 2 2 9 4 3 5 2 4" xfId="30803"/>
    <cellStyle name="Vérification 2 2 9 4 3 5 3" xfId="19911"/>
    <cellStyle name="Vérification 2 2 9 4 3 5 3 2" xfId="34025"/>
    <cellStyle name="Vérification 2 2 9 4 3 5 4" xfId="12130"/>
    <cellStyle name="Vérification 2 2 9 4 3 5 5" xfId="28351"/>
    <cellStyle name="Vérification 2 2 9 4 3 6" xfId="6760"/>
    <cellStyle name="Vérification 2 2 9 4 3 6 2" xfId="22984"/>
    <cellStyle name="Vérification 2 2 9 4 3 6 2 2" xfId="34991"/>
    <cellStyle name="Vérification 2 2 9 4 3 6 3" xfId="12313"/>
    <cellStyle name="Vérification 2 2 9 4 3 6 4" xfId="28534"/>
    <cellStyle name="Vérification 2 2 9 4 3 7" xfId="17519"/>
    <cellStyle name="Vérification 2 2 9 4 3 7 2" xfId="32803"/>
    <cellStyle name="Vérification 2 2 9 4 3 8" xfId="10575"/>
    <cellStyle name="Vérification 2 2 9 4 3 9" xfId="26800"/>
    <cellStyle name="Vérification 2 2 9 4 4" xfId="2705"/>
    <cellStyle name="Vérification 2 2 9 4 4 2" xfId="6393"/>
    <cellStyle name="Vérification 2 2 9 4 4 2 2" xfId="8774"/>
    <cellStyle name="Vérification 2 2 9 4 4 2 2 2" xfId="24998"/>
    <cellStyle name="Vérification 2 2 9 4 4 2 2 2 2" xfId="37005"/>
    <cellStyle name="Vérification 2 2 9 4 4 2 2 3" xfId="14781"/>
    <cellStyle name="Vérification 2 2 9 4 4 2 2 4" xfId="31002"/>
    <cellStyle name="Vérification 2 2 9 4 4 2 3" xfId="10152"/>
    <cellStyle name="Vérification 2 2 9 4 4 2 3 2" xfId="26376"/>
    <cellStyle name="Vérification 2 2 9 4 4 2 3 2 2" xfId="38383"/>
    <cellStyle name="Vérification 2 2 9 4 4 2 3 3" xfId="16159"/>
    <cellStyle name="Vérification 2 2 9 4 4 2 3 4" xfId="32380"/>
    <cellStyle name="Vérification 2 2 9 4 4 2 4" xfId="22617"/>
    <cellStyle name="Vérification 2 2 9 4 4 2 4 2" xfId="34624"/>
    <cellStyle name="Vérification 2 2 9 4 4 2 5" xfId="12478"/>
    <cellStyle name="Vérification 2 2 9 4 4 2 6" xfId="28699"/>
    <cellStyle name="Vérification 2 2 9 4 4 3" xfId="7441"/>
    <cellStyle name="Vérification 2 2 9 4 4 3 2" xfId="9485"/>
    <cellStyle name="Vérification 2 2 9 4 4 3 2 2" xfId="25709"/>
    <cellStyle name="Vérification 2 2 9 4 4 3 2 2 2" xfId="37716"/>
    <cellStyle name="Vérification 2 2 9 4 4 3 2 3" xfId="15492"/>
    <cellStyle name="Vérification 2 2 9 4 4 3 2 4" xfId="31713"/>
    <cellStyle name="Vérification 2 2 9 4 4 3 3" xfId="23665"/>
    <cellStyle name="Vérification 2 2 9 4 4 3 3 2" xfId="35672"/>
    <cellStyle name="Vérification 2 2 9 4 4 3 4" xfId="13189"/>
    <cellStyle name="Vérification 2 2 9 4 4 3 5" xfId="29410"/>
    <cellStyle name="Vérification 2 2 9 4 4 4" xfId="7818"/>
    <cellStyle name="Vérification 2 2 9 4 4 4 2" xfId="24042"/>
    <cellStyle name="Vérification 2 2 9 4 4 4 2 2" xfId="36049"/>
    <cellStyle name="Vérification 2 2 9 4 4 4 3" xfId="13825"/>
    <cellStyle name="Vérification 2 2 9 4 4 4 4" xfId="30046"/>
    <cellStyle name="Vérification 2 2 9 4 4 5" xfId="18933"/>
    <cellStyle name="Vérification 2 2 9 4 4 5 2" xfId="33047"/>
    <cellStyle name="Vérification 2 2 9 4 4 6" xfId="11174"/>
    <cellStyle name="Vérification 2 2 9 4 4 7" xfId="27395"/>
    <cellStyle name="Vérification 2 2 9 4 5" xfId="4402"/>
    <cellStyle name="Vérification 2 2 9 4 5 2" xfId="6879"/>
    <cellStyle name="Vérification 2 2 9 4 5 2 2" xfId="9152"/>
    <cellStyle name="Vérification 2 2 9 4 5 2 2 2" xfId="25376"/>
    <cellStyle name="Vérification 2 2 9 4 5 2 2 2 2" xfId="37383"/>
    <cellStyle name="Vérification 2 2 9 4 5 2 2 3" xfId="15159"/>
    <cellStyle name="Vérification 2 2 9 4 5 2 2 4" xfId="31380"/>
    <cellStyle name="Vérification 2 2 9 4 5 2 3" xfId="23103"/>
    <cellStyle name="Vérification 2 2 9 4 5 2 3 2" xfId="35110"/>
    <cellStyle name="Vérification 2 2 9 4 5 2 4" xfId="12856"/>
    <cellStyle name="Vérification 2 2 9 4 5 2 5" xfId="29077"/>
    <cellStyle name="Vérification 2 2 9 4 5 3" xfId="3720"/>
    <cellStyle name="Vérification 2 2 9 4 5 3 2" xfId="19948"/>
    <cellStyle name="Vérification 2 2 9 4 5 3 2 2" xfId="34062"/>
    <cellStyle name="Vérification 2 2 9 4 5 3 3" xfId="11426"/>
    <cellStyle name="Vérification 2 2 9 4 5 3 4" xfId="27647"/>
    <cellStyle name="Vérification 2 2 9 4 5 4" xfId="20628"/>
    <cellStyle name="Vérification 2 2 9 4 5 4 2" xfId="34291"/>
    <cellStyle name="Vérification 2 2 9 4 5 5" xfId="10836"/>
    <cellStyle name="Vérification 2 2 9 4 5 6" xfId="27059"/>
    <cellStyle name="Vérification 2 2 9 4 6" xfId="3184"/>
    <cellStyle name="Vérification 2 2 9 4 6 2" xfId="8210"/>
    <cellStyle name="Vérification 2 2 9 4 6 2 2" xfId="24434"/>
    <cellStyle name="Vérification 2 2 9 4 6 2 2 2" xfId="36441"/>
    <cellStyle name="Vérification 2 2 9 4 6 2 3" xfId="14217"/>
    <cellStyle name="Vérification 2 2 9 4 6 2 4" xfId="30438"/>
    <cellStyle name="Vérification 2 2 9 4 6 3" xfId="9819"/>
    <cellStyle name="Vérification 2 2 9 4 6 3 2" xfId="26043"/>
    <cellStyle name="Vérification 2 2 9 4 6 3 2 2" xfId="38050"/>
    <cellStyle name="Vérification 2 2 9 4 6 3 3" xfId="15826"/>
    <cellStyle name="Vérification 2 2 9 4 6 3 4" xfId="32047"/>
    <cellStyle name="Vérification 2 2 9 4 6 4" xfId="19412"/>
    <cellStyle name="Vérification 2 2 9 4 6 4 2" xfId="33526"/>
    <cellStyle name="Vérification 2 2 9 4 6 5" xfId="11765"/>
    <cellStyle name="Vérification 2 2 9 4 6 6" xfId="27986"/>
    <cellStyle name="Vérification 2 2 9 4 7" xfId="3022"/>
    <cellStyle name="Vérification 2 2 9 4 7 2" xfId="8105"/>
    <cellStyle name="Vérification 2 2 9 4 7 2 2" xfId="24329"/>
    <cellStyle name="Vérification 2 2 9 4 7 2 2 2" xfId="36336"/>
    <cellStyle name="Vérification 2 2 9 4 7 2 3" xfId="14112"/>
    <cellStyle name="Vérification 2 2 9 4 7 2 4" xfId="30333"/>
    <cellStyle name="Vérification 2 2 9 4 7 3" xfId="19250"/>
    <cellStyle name="Vérification 2 2 9 4 7 3 2" xfId="33364"/>
    <cellStyle name="Vérification 2 2 9 4 7 4" xfId="11660"/>
    <cellStyle name="Vérification 2 2 9 4 7 5" xfId="27881"/>
    <cellStyle name="Vérification 2 2 9 4 8" xfId="7156"/>
    <cellStyle name="Vérification 2 2 9 4 8 2" xfId="23380"/>
    <cellStyle name="Vérification 2 2 9 4 8 2 2" xfId="35387"/>
    <cellStyle name="Vérification 2 2 9 4 8 3" xfId="13540"/>
    <cellStyle name="Vérification 2 2 9 4 8 4" xfId="29761"/>
    <cellStyle name="Vérification 2 2 9 4 9" xfId="16944"/>
    <cellStyle name="Vérification 2 2 9 4 9 2" xfId="32714"/>
    <cellStyle name="Vérification 2 2 9 5" xfId="759"/>
    <cellStyle name="Vérification 2 2 9 5 10" xfId="26733"/>
    <cellStyle name="Vérification 2 2 9 5 2" xfId="1427"/>
    <cellStyle name="Vérification 2 2 9 5 2 2" xfId="2905"/>
    <cellStyle name="Vérification 2 2 9 5 2 2 2" xfId="6593"/>
    <cellStyle name="Vérification 2 2 9 5 2 2 2 2" xfId="8974"/>
    <cellStyle name="Vérification 2 2 9 5 2 2 2 2 2" xfId="25198"/>
    <cellStyle name="Vérification 2 2 9 5 2 2 2 2 2 2" xfId="37205"/>
    <cellStyle name="Vérification 2 2 9 5 2 2 2 2 3" xfId="14981"/>
    <cellStyle name="Vérification 2 2 9 5 2 2 2 2 4" xfId="31202"/>
    <cellStyle name="Vérification 2 2 9 5 2 2 2 3" xfId="10352"/>
    <cellStyle name="Vérification 2 2 9 5 2 2 2 3 2" xfId="26576"/>
    <cellStyle name="Vérification 2 2 9 5 2 2 2 3 2 2" xfId="38583"/>
    <cellStyle name="Vérification 2 2 9 5 2 2 2 3 3" xfId="16359"/>
    <cellStyle name="Vérification 2 2 9 5 2 2 2 3 4" xfId="32580"/>
    <cellStyle name="Vérification 2 2 9 5 2 2 2 4" xfId="22817"/>
    <cellStyle name="Vérification 2 2 9 5 2 2 2 4 2" xfId="34824"/>
    <cellStyle name="Vérification 2 2 9 5 2 2 2 5" xfId="12678"/>
    <cellStyle name="Vérification 2 2 9 5 2 2 2 6" xfId="28899"/>
    <cellStyle name="Vérification 2 2 9 5 2 2 3" xfId="7641"/>
    <cellStyle name="Vérification 2 2 9 5 2 2 3 2" xfId="9685"/>
    <cellStyle name="Vérification 2 2 9 5 2 2 3 2 2" xfId="25909"/>
    <cellStyle name="Vérification 2 2 9 5 2 2 3 2 2 2" xfId="37916"/>
    <cellStyle name="Vérification 2 2 9 5 2 2 3 2 3" xfId="15692"/>
    <cellStyle name="Vérification 2 2 9 5 2 2 3 2 4" xfId="31913"/>
    <cellStyle name="Vérification 2 2 9 5 2 2 3 3" xfId="23865"/>
    <cellStyle name="Vérification 2 2 9 5 2 2 3 3 2" xfId="35872"/>
    <cellStyle name="Vérification 2 2 9 5 2 2 3 4" xfId="13389"/>
    <cellStyle name="Vérification 2 2 9 5 2 2 3 5" xfId="29610"/>
    <cellStyle name="Vérification 2 2 9 5 2 2 4" xfId="8018"/>
    <cellStyle name="Vérification 2 2 9 5 2 2 4 2" xfId="24242"/>
    <cellStyle name="Vérification 2 2 9 5 2 2 4 2 2" xfId="36249"/>
    <cellStyle name="Vérification 2 2 9 5 2 2 4 3" xfId="14025"/>
    <cellStyle name="Vérification 2 2 9 5 2 2 4 4" xfId="30246"/>
    <cellStyle name="Vérification 2 2 9 5 2 2 5" xfId="19133"/>
    <cellStyle name="Vérification 2 2 9 5 2 2 5 2" xfId="33247"/>
    <cellStyle name="Vérification 2 2 9 5 2 2 6" xfId="11374"/>
    <cellStyle name="Vérification 2 2 9 5 2 2 7" xfId="27595"/>
    <cellStyle name="Vérification 2 2 9 5 2 3" xfId="5124"/>
    <cellStyle name="Vérification 2 2 9 5 2 3 2" xfId="7151"/>
    <cellStyle name="Vérification 2 2 9 5 2 3 2 2" xfId="9352"/>
    <cellStyle name="Vérification 2 2 9 5 2 3 2 2 2" xfId="25576"/>
    <cellStyle name="Vérification 2 2 9 5 2 3 2 2 2 2" xfId="37583"/>
    <cellStyle name="Vérification 2 2 9 5 2 3 2 2 3" xfId="15359"/>
    <cellStyle name="Vérification 2 2 9 5 2 3 2 2 4" xfId="31580"/>
    <cellStyle name="Vérification 2 2 9 5 2 3 2 3" xfId="23375"/>
    <cellStyle name="Vérification 2 2 9 5 2 3 2 3 2" xfId="35382"/>
    <cellStyle name="Vérification 2 2 9 5 2 3 2 4" xfId="13056"/>
    <cellStyle name="Vérification 2 2 9 5 2 3 2 5" xfId="29277"/>
    <cellStyle name="Vérification 2 2 9 5 2 3 3" xfId="7334"/>
    <cellStyle name="Vérification 2 2 9 5 2 3 3 2" xfId="23558"/>
    <cellStyle name="Vérification 2 2 9 5 2 3 3 2 2" xfId="35565"/>
    <cellStyle name="Vérification 2 2 9 5 2 3 3 3" xfId="13695"/>
    <cellStyle name="Vérification 2 2 9 5 2 3 3 4" xfId="29916"/>
    <cellStyle name="Vérification 2 2 9 5 2 3 4" xfId="21350"/>
    <cellStyle name="Vérification 2 2 9 5 2 3 4 2" xfId="34491"/>
    <cellStyle name="Vérification 2 2 9 5 2 3 5" xfId="11038"/>
    <cellStyle name="Vérification 2 2 9 5 2 3 6" xfId="27261"/>
    <cellStyle name="Vérification 2 2 9 5 2 4" xfId="3515"/>
    <cellStyle name="Vérification 2 2 9 5 2 4 2" xfId="8482"/>
    <cellStyle name="Vérification 2 2 9 5 2 4 2 2" xfId="24706"/>
    <cellStyle name="Vérification 2 2 9 5 2 4 2 2 2" xfId="36713"/>
    <cellStyle name="Vérification 2 2 9 5 2 4 2 3" xfId="14489"/>
    <cellStyle name="Vérification 2 2 9 5 2 4 2 4" xfId="30710"/>
    <cellStyle name="Vérification 2 2 9 5 2 4 3" xfId="10019"/>
    <cellStyle name="Vérification 2 2 9 5 2 4 3 2" xfId="26243"/>
    <cellStyle name="Vérification 2 2 9 5 2 4 3 2 2" xfId="38250"/>
    <cellStyle name="Vérification 2 2 9 5 2 4 3 3" xfId="16026"/>
    <cellStyle name="Vérification 2 2 9 5 2 4 3 4" xfId="32247"/>
    <cellStyle name="Vérification 2 2 9 5 2 4 4" xfId="19743"/>
    <cellStyle name="Vérification 2 2 9 5 2 4 4 2" xfId="33857"/>
    <cellStyle name="Vérification 2 2 9 5 2 4 5" xfId="12037"/>
    <cellStyle name="Vérification 2 2 9 5 2 4 6" xfId="28258"/>
    <cellStyle name="Vérification 2 2 9 5 2 5" xfId="3367"/>
    <cellStyle name="Vérification 2 2 9 5 2 5 2" xfId="8343"/>
    <cellStyle name="Vérification 2 2 9 5 2 5 2 2" xfId="24567"/>
    <cellStyle name="Vérification 2 2 9 5 2 5 2 2 2" xfId="36574"/>
    <cellStyle name="Vérification 2 2 9 5 2 5 2 3" xfId="14350"/>
    <cellStyle name="Vérification 2 2 9 5 2 5 2 4" xfId="30571"/>
    <cellStyle name="Vérification 2 2 9 5 2 5 3" xfId="19595"/>
    <cellStyle name="Vérification 2 2 9 5 2 5 3 2" xfId="33709"/>
    <cellStyle name="Vérification 2 2 9 5 2 5 4" xfId="11898"/>
    <cellStyle name="Vérification 2 2 9 5 2 5 5" xfId="28119"/>
    <cellStyle name="Vérification 2 2 9 5 2 6" xfId="3717"/>
    <cellStyle name="Vérification 2 2 9 5 2 6 2" xfId="19945"/>
    <cellStyle name="Vérification 2 2 9 5 2 6 2 2" xfId="34059"/>
    <cellStyle name="Vérification 2 2 9 5 2 6 3" xfId="12379"/>
    <cellStyle name="Vérification 2 2 9 5 2 6 4" xfId="28600"/>
    <cellStyle name="Vérification 2 2 9 5 2 7" xfId="17666"/>
    <cellStyle name="Vérification 2 2 9 5 2 7 2" xfId="32914"/>
    <cellStyle name="Vérification 2 2 9 5 2 8" xfId="10686"/>
    <cellStyle name="Vérification 2 2 9 5 2 9" xfId="26911"/>
    <cellStyle name="Vérification 2 2 9 5 3" xfId="2727"/>
    <cellStyle name="Vérification 2 2 9 5 3 2" xfId="6415"/>
    <cellStyle name="Vérification 2 2 9 5 3 2 2" xfId="8796"/>
    <cellStyle name="Vérification 2 2 9 5 3 2 2 2" xfId="25020"/>
    <cellStyle name="Vérification 2 2 9 5 3 2 2 2 2" xfId="37027"/>
    <cellStyle name="Vérification 2 2 9 5 3 2 2 3" xfId="14803"/>
    <cellStyle name="Vérification 2 2 9 5 3 2 2 4" xfId="31024"/>
    <cellStyle name="Vérification 2 2 9 5 3 2 3" xfId="10174"/>
    <cellStyle name="Vérification 2 2 9 5 3 2 3 2" xfId="26398"/>
    <cellStyle name="Vérification 2 2 9 5 3 2 3 2 2" xfId="38405"/>
    <cellStyle name="Vérification 2 2 9 5 3 2 3 3" xfId="16181"/>
    <cellStyle name="Vérification 2 2 9 5 3 2 3 4" xfId="32402"/>
    <cellStyle name="Vérification 2 2 9 5 3 2 4" xfId="22639"/>
    <cellStyle name="Vérification 2 2 9 5 3 2 4 2" xfId="34646"/>
    <cellStyle name="Vérification 2 2 9 5 3 2 5" xfId="12500"/>
    <cellStyle name="Vérification 2 2 9 5 3 2 6" xfId="28721"/>
    <cellStyle name="Vérification 2 2 9 5 3 3" xfId="7463"/>
    <cellStyle name="Vérification 2 2 9 5 3 3 2" xfId="9507"/>
    <cellStyle name="Vérification 2 2 9 5 3 3 2 2" xfId="25731"/>
    <cellStyle name="Vérification 2 2 9 5 3 3 2 2 2" xfId="37738"/>
    <cellStyle name="Vérification 2 2 9 5 3 3 2 3" xfId="15514"/>
    <cellStyle name="Vérification 2 2 9 5 3 3 2 4" xfId="31735"/>
    <cellStyle name="Vérification 2 2 9 5 3 3 3" xfId="23687"/>
    <cellStyle name="Vérification 2 2 9 5 3 3 3 2" xfId="35694"/>
    <cellStyle name="Vérification 2 2 9 5 3 3 4" xfId="13211"/>
    <cellStyle name="Vérification 2 2 9 5 3 3 5" xfId="29432"/>
    <cellStyle name="Vérification 2 2 9 5 3 4" xfId="7840"/>
    <cellStyle name="Vérification 2 2 9 5 3 4 2" xfId="24064"/>
    <cellStyle name="Vérification 2 2 9 5 3 4 2 2" xfId="36071"/>
    <cellStyle name="Vérification 2 2 9 5 3 4 3" xfId="13847"/>
    <cellStyle name="Vérification 2 2 9 5 3 4 4" xfId="30068"/>
    <cellStyle name="Vérification 2 2 9 5 3 5" xfId="18955"/>
    <cellStyle name="Vérification 2 2 9 5 3 5 2" xfId="33069"/>
    <cellStyle name="Vérification 2 2 9 5 3 6" xfId="11196"/>
    <cellStyle name="Vérification 2 2 9 5 3 7" xfId="27417"/>
    <cellStyle name="Vérification 2 2 9 5 4" xfId="4460"/>
    <cellStyle name="Vérification 2 2 9 5 4 2" xfId="6905"/>
    <cellStyle name="Vérification 2 2 9 5 4 2 2" xfId="9174"/>
    <cellStyle name="Vérification 2 2 9 5 4 2 2 2" xfId="25398"/>
    <cellStyle name="Vérification 2 2 9 5 4 2 2 2 2" xfId="37405"/>
    <cellStyle name="Vérification 2 2 9 5 4 2 2 3" xfId="15181"/>
    <cellStyle name="Vérification 2 2 9 5 4 2 2 4" xfId="31402"/>
    <cellStyle name="Vérification 2 2 9 5 4 2 3" xfId="23129"/>
    <cellStyle name="Vérification 2 2 9 5 4 2 3 2" xfId="35136"/>
    <cellStyle name="Vérification 2 2 9 5 4 2 4" xfId="12878"/>
    <cellStyle name="Vérification 2 2 9 5 4 2 5" xfId="29099"/>
    <cellStyle name="Vérification 2 2 9 5 4 3" xfId="6653"/>
    <cellStyle name="Vérification 2 2 9 5 4 3 2" xfId="22877"/>
    <cellStyle name="Vérification 2 2 9 5 4 3 2 2" xfId="34884"/>
    <cellStyle name="Vérification 2 2 9 5 4 3 3" xfId="11583"/>
    <cellStyle name="Vérification 2 2 9 5 4 3 4" xfId="27804"/>
    <cellStyle name="Vérification 2 2 9 5 4 4" xfId="20686"/>
    <cellStyle name="Vérification 2 2 9 5 4 4 2" xfId="34313"/>
    <cellStyle name="Vérification 2 2 9 5 4 5" xfId="10859"/>
    <cellStyle name="Vérification 2 2 9 5 4 6" xfId="27082"/>
    <cellStyle name="Vérification 2 2 9 5 5" xfId="3216"/>
    <cellStyle name="Vérification 2 2 9 5 5 2" xfId="8237"/>
    <cellStyle name="Vérification 2 2 9 5 5 2 2" xfId="24461"/>
    <cellStyle name="Vérification 2 2 9 5 5 2 2 2" xfId="36468"/>
    <cellStyle name="Vérification 2 2 9 5 5 2 3" xfId="14244"/>
    <cellStyle name="Vérification 2 2 9 5 5 2 4" xfId="30465"/>
    <cellStyle name="Vérification 2 2 9 5 5 3" xfId="9841"/>
    <cellStyle name="Vérification 2 2 9 5 5 3 2" xfId="26065"/>
    <cellStyle name="Vérification 2 2 9 5 5 3 2 2" xfId="38072"/>
    <cellStyle name="Vérification 2 2 9 5 5 3 3" xfId="15848"/>
    <cellStyle name="Vérification 2 2 9 5 5 3 4" xfId="32069"/>
    <cellStyle name="Vérification 2 2 9 5 5 4" xfId="19444"/>
    <cellStyle name="Vérification 2 2 9 5 5 4 2" xfId="33558"/>
    <cellStyle name="Vérification 2 2 9 5 5 5" xfId="11792"/>
    <cellStyle name="Vérification 2 2 9 5 5 6" xfId="28013"/>
    <cellStyle name="Vérification 2 2 9 5 6" xfId="3687"/>
    <cellStyle name="Vérification 2 2 9 5 6 2" xfId="8577"/>
    <cellStyle name="Vérification 2 2 9 5 6 2 2" xfId="24801"/>
    <cellStyle name="Vérification 2 2 9 5 6 2 2 2" xfId="36808"/>
    <cellStyle name="Vérification 2 2 9 5 6 2 3" xfId="14584"/>
    <cellStyle name="Vérification 2 2 9 5 6 2 4" xfId="30805"/>
    <cellStyle name="Vérification 2 2 9 5 6 3" xfId="19915"/>
    <cellStyle name="Vérification 2 2 9 5 6 3 2" xfId="34029"/>
    <cellStyle name="Vérification 2 2 9 5 6 4" xfId="12132"/>
    <cellStyle name="Vérification 2 2 9 5 6 5" xfId="28353"/>
    <cellStyle name="Vérification 2 2 9 5 7" xfId="2969"/>
    <cellStyle name="Vérification 2 2 9 5 7 2" xfId="19197"/>
    <cellStyle name="Vérification 2 2 9 5 7 2 2" xfId="33311"/>
    <cellStyle name="Vérification 2 2 9 5 7 3" xfId="12244"/>
    <cellStyle name="Vérification 2 2 9 5 7 4" xfId="28465"/>
    <cellStyle name="Vérification 2 2 9 5 8" xfId="17002"/>
    <cellStyle name="Vérification 2 2 9 5 8 2" xfId="32736"/>
    <cellStyle name="Vérification 2 2 9 5 9" xfId="10508"/>
    <cellStyle name="Vérification 2 2 9 6" xfId="1338"/>
    <cellStyle name="Vérification 2 2 9 6 2" xfId="2816"/>
    <cellStyle name="Vérification 2 2 9 6 2 2" xfId="6504"/>
    <cellStyle name="Vérification 2 2 9 6 2 2 2" xfId="8885"/>
    <cellStyle name="Vérification 2 2 9 6 2 2 2 2" xfId="25109"/>
    <cellStyle name="Vérification 2 2 9 6 2 2 2 2 2" xfId="37116"/>
    <cellStyle name="Vérification 2 2 9 6 2 2 2 3" xfId="14892"/>
    <cellStyle name="Vérification 2 2 9 6 2 2 2 4" xfId="31113"/>
    <cellStyle name="Vérification 2 2 9 6 2 2 3" xfId="10263"/>
    <cellStyle name="Vérification 2 2 9 6 2 2 3 2" xfId="26487"/>
    <cellStyle name="Vérification 2 2 9 6 2 2 3 2 2" xfId="38494"/>
    <cellStyle name="Vérification 2 2 9 6 2 2 3 3" xfId="16270"/>
    <cellStyle name="Vérification 2 2 9 6 2 2 3 4" xfId="32491"/>
    <cellStyle name="Vérification 2 2 9 6 2 2 4" xfId="22728"/>
    <cellStyle name="Vérification 2 2 9 6 2 2 4 2" xfId="34735"/>
    <cellStyle name="Vérification 2 2 9 6 2 2 5" xfId="12589"/>
    <cellStyle name="Vérification 2 2 9 6 2 2 6" xfId="28810"/>
    <cellStyle name="Vérification 2 2 9 6 2 3" xfId="7552"/>
    <cellStyle name="Vérification 2 2 9 6 2 3 2" xfId="9596"/>
    <cellStyle name="Vérification 2 2 9 6 2 3 2 2" xfId="25820"/>
    <cellStyle name="Vérification 2 2 9 6 2 3 2 2 2" xfId="37827"/>
    <cellStyle name="Vérification 2 2 9 6 2 3 2 3" xfId="15603"/>
    <cellStyle name="Vérification 2 2 9 6 2 3 2 4" xfId="31824"/>
    <cellStyle name="Vérification 2 2 9 6 2 3 3" xfId="23776"/>
    <cellStyle name="Vérification 2 2 9 6 2 3 3 2" xfId="35783"/>
    <cellStyle name="Vérification 2 2 9 6 2 3 4" xfId="13300"/>
    <cellStyle name="Vérification 2 2 9 6 2 3 5" xfId="29521"/>
    <cellStyle name="Vérification 2 2 9 6 2 4" xfId="7929"/>
    <cellStyle name="Vérification 2 2 9 6 2 4 2" xfId="24153"/>
    <cellStyle name="Vérification 2 2 9 6 2 4 2 2" xfId="36160"/>
    <cellStyle name="Vérification 2 2 9 6 2 4 3" xfId="13936"/>
    <cellStyle name="Vérification 2 2 9 6 2 4 4" xfId="30157"/>
    <cellStyle name="Vérification 2 2 9 6 2 5" xfId="19044"/>
    <cellStyle name="Vérification 2 2 9 6 2 5 2" xfId="33158"/>
    <cellStyle name="Vérification 2 2 9 6 2 6" xfId="11285"/>
    <cellStyle name="Vérification 2 2 9 6 2 7" xfId="27506"/>
    <cellStyle name="Vérification 2 2 9 6 3" xfId="5035"/>
    <cellStyle name="Vérification 2 2 9 6 3 2" xfId="7062"/>
    <cellStyle name="Vérification 2 2 9 6 3 2 2" xfId="9263"/>
    <cellStyle name="Vérification 2 2 9 6 3 2 2 2" xfId="25487"/>
    <cellStyle name="Vérification 2 2 9 6 3 2 2 2 2" xfId="37494"/>
    <cellStyle name="Vérification 2 2 9 6 3 2 2 3" xfId="15270"/>
    <cellStyle name="Vérification 2 2 9 6 3 2 2 4" xfId="31491"/>
    <cellStyle name="Vérification 2 2 9 6 3 2 3" xfId="23286"/>
    <cellStyle name="Vérification 2 2 9 6 3 2 3 2" xfId="35293"/>
    <cellStyle name="Vérification 2 2 9 6 3 2 4" xfId="12967"/>
    <cellStyle name="Vérification 2 2 9 6 3 2 5" xfId="29188"/>
    <cellStyle name="Vérification 2 2 9 6 3 3" xfId="7031"/>
    <cellStyle name="Vérification 2 2 9 6 3 3 2" xfId="23255"/>
    <cellStyle name="Vérification 2 2 9 6 3 3 2 2" xfId="35262"/>
    <cellStyle name="Vérification 2 2 9 6 3 3 3" xfId="13532"/>
    <cellStyle name="Vérification 2 2 9 6 3 3 4" xfId="29753"/>
    <cellStyle name="Vérification 2 2 9 6 3 4" xfId="21261"/>
    <cellStyle name="Vérification 2 2 9 6 3 4 2" xfId="34402"/>
    <cellStyle name="Vérification 2 2 9 6 3 5" xfId="10949"/>
    <cellStyle name="Vérification 2 2 9 6 3 6" xfId="27172"/>
    <cellStyle name="Vérification 2 2 9 6 4" xfId="3426"/>
    <cellStyle name="Vérification 2 2 9 6 4 2" xfId="8393"/>
    <cellStyle name="Vérification 2 2 9 6 4 2 2" xfId="24617"/>
    <cellStyle name="Vérification 2 2 9 6 4 2 2 2" xfId="36624"/>
    <cellStyle name="Vérification 2 2 9 6 4 2 3" xfId="14400"/>
    <cellStyle name="Vérification 2 2 9 6 4 2 4" xfId="30621"/>
    <cellStyle name="Vérification 2 2 9 6 4 3" xfId="9930"/>
    <cellStyle name="Vérification 2 2 9 6 4 3 2" xfId="26154"/>
    <cellStyle name="Vérification 2 2 9 6 4 3 2 2" xfId="38161"/>
    <cellStyle name="Vérification 2 2 9 6 4 3 3" xfId="15937"/>
    <cellStyle name="Vérification 2 2 9 6 4 3 4" xfId="32158"/>
    <cellStyle name="Vérification 2 2 9 6 4 4" xfId="19654"/>
    <cellStyle name="Vérification 2 2 9 6 4 4 2" xfId="33768"/>
    <cellStyle name="Vérification 2 2 9 6 4 5" xfId="11948"/>
    <cellStyle name="Vérification 2 2 9 6 4 6" xfId="28169"/>
    <cellStyle name="Vérification 2 2 9 6 5" xfId="3564"/>
    <cellStyle name="Vérification 2 2 9 6 5 2" xfId="8512"/>
    <cellStyle name="Vérification 2 2 9 6 5 2 2" xfId="24736"/>
    <cellStyle name="Vérification 2 2 9 6 5 2 2 2" xfId="36743"/>
    <cellStyle name="Vérification 2 2 9 6 5 2 3" xfId="14519"/>
    <cellStyle name="Vérification 2 2 9 6 5 2 4" xfId="30740"/>
    <cellStyle name="Vérification 2 2 9 6 5 3" xfId="19792"/>
    <cellStyle name="Vérification 2 2 9 6 5 3 2" xfId="33906"/>
    <cellStyle name="Vérification 2 2 9 6 5 4" xfId="12067"/>
    <cellStyle name="Vérification 2 2 9 6 5 5" xfId="28288"/>
    <cellStyle name="Vérification 2 2 9 6 6" xfId="7235"/>
    <cellStyle name="Vérification 2 2 9 6 6 2" xfId="23459"/>
    <cellStyle name="Vérification 2 2 9 6 6 2 2" xfId="35466"/>
    <cellStyle name="Vérification 2 2 9 6 6 3" xfId="13619"/>
    <cellStyle name="Vérification 2 2 9 6 6 4" xfId="29840"/>
    <cellStyle name="Vérification 2 2 9 6 7" xfId="17577"/>
    <cellStyle name="Vérification 2 2 9 6 7 2" xfId="32825"/>
    <cellStyle name="Vérification 2 2 9 6 8" xfId="10597"/>
    <cellStyle name="Vérification 2 2 9 6 9" xfId="26822"/>
    <cellStyle name="Vérification 2 2 9 7" xfId="2557"/>
    <cellStyle name="Vérification 2 2 9 7 2" xfId="2928"/>
    <cellStyle name="Vérification 2 2 9 7 2 2" xfId="6616"/>
    <cellStyle name="Vérification 2 2 9 7 2 2 2" xfId="8997"/>
    <cellStyle name="Vérification 2 2 9 7 2 2 2 2" xfId="25221"/>
    <cellStyle name="Vérification 2 2 9 7 2 2 2 2 2" xfId="37228"/>
    <cellStyle name="Vérification 2 2 9 7 2 2 2 3" xfId="15004"/>
    <cellStyle name="Vérification 2 2 9 7 2 2 2 4" xfId="31225"/>
    <cellStyle name="Vérification 2 2 9 7 2 2 3" xfId="10375"/>
    <cellStyle name="Vérification 2 2 9 7 2 2 3 2" xfId="26599"/>
    <cellStyle name="Vérification 2 2 9 7 2 2 3 2 2" xfId="38606"/>
    <cellStyle name="Vérification 2 2 9 7 2 2 3 3" xfId="16382"/>
    <cellStyle name="Vérification 2 2 9 7 2 2 3 4" xfId="32603"/>
    <cellStyle name="Vérification 2 2 9 7 2 2 4" xfId="22840"/>
    <cellStyle name="Vérification 2 2 9 7 2 2 4 2" xfId="34847"/>
    <cellStyle name="Vérification 2 2 9 7 2 2 5" xfId="12701"/>
    <cellStyle name="Vérification 2 2 9 7 2 2 6" xfId="28922"/>
    <cellStyle name="Vérification 2 2 9 7 2 3" xfId="7664"/>
    <cellStyle name="Vérification 2 2 9 7 2 3 2" xfId="9708"/>
    <cellStyle name="Vérification 2 2 9 7 2 3 2 2" xfId="25932"/>
    <cellStyle name="Vérification 2 2 9 7 2 3 2 2 2" xfId="37939"/>
    <cellStyle name="Vérification 2 2 9 7 2 3 2 3" xfId="15715"/>
    <cellStyle name="Vérification 2 2 9 7 2 3 2 4" xfId="31936"/>
    <cellStyle name="Vérification 2 2 9 7 2 3 3" xfId="23888"/>
    <cellStyle name="Vérification 2 2 9 7 2 3 3 2" xfId="35895"/>
    <cellStyle name="Vérification 2 2 9 7 2 3 4" xfId="13412"/>
    <cellStyle name="Vérification 2 2 9 7 2 3 5" xfId="29633"/>
    <cellStyle name="Vérification 2 2 9 7 2 4" xfId="8041"/>
    <cellStyle name="Vérification 2 2 9 7 2 4 2" xfId="24265"/>
    <cellStyle name="Vérification 2 2 9 7 2 4 2 2" xfId="36272"/>
    <cellStyle name="Vérification 2 2 9 7 2 4 3" xfId="14048"/>
    <cellStyle name="Vérification 2 2 9 7 2 4 4" xfId="30269"/>
    <cellStyle name="Vérification 2 2 9 7 2 5" xfId="19156"/>
    <cellStyle name="Vérification 2 2 9 7 2 5 2" xfId="33270"/>
    <cellStyle name="Vérification 2 2 9 7 2 6" xfId="11397"/>
    <cellStyle name="Vérification 2 2 9 7 2 7" xfId="27618"/>
    <cellStyle name="Vérification 2 2 9 7 3" xfId="6247"/>
    <cellStyle name="Vérification 2 2 9 7 3 2" xfId="7328"/>
    <cellStyle name="Vérification 2 2 9 7 3 2 2" xfId="9375"/>
    <cellStyle name="Vérification 2 2 9 7 3 2 2 2" xfId="25599"/>
    <cellStyle name="Vérification 2 2 9 7 3 2 2 2 2" xfId="37606"/>
    <cellStyle name="Vérification 2 2 9 7 3 2 2 3" xfId="15382"/>
    <cellStyle name="Vérification 2 2 9 7 3 2 2 4" xfId="31603"/>
    <cellStyle name="Vérification 2 2 9 7 3 2 3" xfId="23552"/>
    <cellStyle name="Vérification 2 2 9 7 3 2 3 2" xfId="35559"/>
    <cellStyle name="Vérification 2 2 9 7 3 2 4" xfId="13079"/>
    <cellStyle name="Vérification 2 2 9 7 3 2 5" xfId="29300"/>
    <cellStyle name="Vérification 2 2 9 7 3 3" xfId="7708"/>
    <cellStyle name="Vérification 2 2 9 7 3 3 2" xfId="23932"/>
    <cellStyle name="Vérification 2 2 9 7 3 3 2 2" xfId="35939"/>
    <cellStyle name="Vérification 2 2 9 7 3 3 3" xfId="13715"/>
    <cellStyle name="Vérification 2 2 9 7 3 3 4" xfId="29936"/>
    <cellStyle name="Vérification 2 2 9 7 3 4" xfId="22471"/>
    <cellStyle name="Vérification 2 2 9 7 3 4 2" xfId="34514"/>
    <cellStyle name="Vérification 2 2 9 7 3 5" xfId="11063"/>
    <cellStyle name="Vérification 2 2 9 7 3 6" xfId="27284"/>
    <cellStyle name="Vérification 2 2 9 7 4" xfId="3830"/>
    <cellStyle name="Vérification 2 2 9 7 4 2" xfId="8659"/>
    <cellStyle name="Vérification 2 2 9 7 4 2 2" xfId="24883"/>
    <cellStyle name="Vérification 2 2 9 7 4 2 2 2" xfId="36890"/>
    <cellStyle name="Vérification 2 2 9 7 4 2 3" xfId="14666"/>
    <cellStyle name="Vérification 2 2 9 7 4 2 4" xfId="30887"/>
    <cellStyle name="Vérification 2 2 9 7 4 3" xfId="10042"/>
    <cellStyle name="Vérification 2 2 9 7 4 3 2" xfId="26266"/>
    <cellStyle name="Vérification 2 2 9 7 4 3 2 2" xfId="38273"/>
    <cellStyle name="Vérification 2 2 9 7 4 3 3" xfId="16049"/>
    <cellStyle name="Vérification 2 2 9 7 4 3 4" xfId="32270"/>
    <cellStyle name="Vérification 2 2 9 7 4 4" xfId="20058"/>
    <cellStyle name="Vérification 2 2 9 7 4 4 2" xfId="34172"/>
    <cellStyle name="Vérification 2 2 9 7 4 5" xfId="12214"/>
    <cellStyle name="Vérification 2 2 9 7 4 6" xfId="28435"/>
    <cellStyle name="Vérification 2 2 9 7 5" xfId="6690"/>
    <cellStyle name="Vérification 2 2 9 7 5 2" xfId="9041"/>
    <cellStyle name="Vérification 2 2 9 7 5 2 2" xfId="25265"/>
    <cellStyle name="Vérification 2 2 9 7 5 2 2 2" xfId="37272"/>
    <cellStyle name="Vérification 2 2 9 7 5 2 3" xfId="15048"/>
    <cellStyle name="Vérification 2 2 9 7 5 2 4" xfId="31269"/>
    <cellStyle name="Vérification 2 2 9 7 5 3" xfId="22914"/>
    <cellStyle name="Vérification 2 2 9 7 5 3 2" xfId="34921"/>
    <cellStyle name="Vérification 2 2 9 7 5 4" xfId="12745"/>
    <cellStyle name="Vérification 2 2 9 7 5 5" xfId="28966"/>
    <cellStyle name="Vérification 2 2 9 7 6" xfId="7168"/>
    <cellStyle name="Vérification 2 2 9 7 6 2" xfId="23392"/>
    <cellStyle name="Vérification 2 2 9 7 6 2 2" xfId="35399"/>
    <cellStyle name="Vérification 2 2 9 7 6 3" xfId="13552"/>
    <cellStyle name="Vérification 2 2 9 7 6 4" xfId="29773"/>
    <cellStyle name="Vérification 2 2 9 7 7" xfId="18787"/>
    <cellStyle name="Vérification 2 2 9 7 7 2" xfId="32937"/>
    <cellStyle name="Vérification 2 2 9 7 8" xfId="10711"/>
    <cellStyle name="Vérification 2 2 9 7 9" xfId="26934"/>
    <cellStyle name="Vérification 2 2 9 8" xfId="2616"/>
    <cellStyle name="Vérification 2 2 9 8 2" xfId="2949"/>
    <cellStyle name="Vérification 2 2 9 8 2 2" xfId="6637"/>
    <cellStyle name="Vérification 2 2 9 8 2 2 2" xfId="9018"/>
    <cellStyle name="Vérification 2 2 9 8 2 2 2 2" xfId="25242"/>
    <cellStyle name="Vérification 2 2 9 8 2 2 2 2 2" xfId="37249"/>
    <cellStyle name="Vérification 2 2 9 8 2 2 2 3" xfId="15025"/>
    <cellStyle name="Vérification 2 2 9 8 2 2 2 4" xfId="31246"/>
    <cellStyle name="Vérification 2 2 9 8 2 2 3" xfId="10396"/>
    <cellStyle name="Vérification 2 2 9 8 2 2 3 2" xfId="26620"/>
    <cellStyle name="Vérification 2 2 9 8 2 2 3 2 2" xfId="38627"/>
    <cellStyle name="Vérification 2 2 9 8 2 2 3 3" xfId="16403"/>
    <cellStyle name="Vérification 2 2 9 8 2 2 3 4" xfId="32624"/>
    <cellStyle name="Vérification 2 2 9 8 2 2 4" xfId="22861"/>
    <cellStyle name="Vérification 2 2 9 8 2 2 4 2" xfId="34868"/>
    <cellStyle name="Vérification 2 2 9 8 2 2 5" xfId="12722"/>
    <cellStyle name="Vérification 2 2 9 8 2 2 6" xfId="28943"/>
    <cellStyle name="Vérification 2 2 9 8 2 3" xfId="7685"/>
    <cellStyle name="Vérification 2 2 9 8 2 3 2" xfId="9729"/>
    <cellStyle name="Vérification 2 2 9 8 2 3 2 2" xfId="25953"/>
    <cellStyle name="Vérification 2 2 9 8 2 3 2 2 2" xfId="37960"/>
    <cellStyle name="Vérification 2 2 9 8 2 3 2 3" xfId="15736"/>
    <cellStyle name="Vérification 2 2 9 8 2 3 2 4" xfId="31957"/>
    <cellStyle name="Vérification 2 2 9 8 2 3 3" xfId="23909"/>
    <cellStyle name="Vérification 2 2 9 8 2 3 3 2" xfId="35916"/>
    <cellStyle name="Vérification 2 2 9 8 2 3 4" xfId="13433"/>
    <cellStyle name="Vérification 2 2 9 8 2 3 5" xfId="29654"/>
    <cellStyle name="Vérification 2 2 9 8 2 4" xfId="8062"/>
    <cellStyle name="Vérification 2 2 9 8 2 4 2" xfId="24286"/>
    <cellStyle name="Vérification 2 2 9 8 2 4 2 2" xfId="36293"/>
    <cellStyle name="Vérification 2 2 9 8 2 4 3" xfId="14069"/>
    <cellStyle name="Vérification 2 2 9 8 2 4 4" xfId="30290"/>
    <cellStyle name="Vérification 2 2 9 8 2 5" xfId="19177"/>
    <cellStyle name="Vérification 2 2 9 8 2 5 2" xfId="33291"/>
    <cellStyle name="Vérification 2 2 9 8 2 6" xfId="11418"/>
    <cellStyle name="Vérification 2 2 9 8 2 7" xfId="27639"/>
    <cellStyle name="Vérification 2 2 9 8 3" xfId="6304"/>
    <cellStyle name="Vérification 2 2 9 8 3 2" xfId="7352"/>
    <cellStyle name="Vérification 2 2 9 8 3 2 2" xfId="9396"/>
    <cellStyle name="Vérification 2 2 9 8 3 2 2 2" xfId="25620"/>
    <cellStyle name="Vérification 2 2 9 8 3 2 2 2 2" xfId="37627"/>
    <cellStyle name="Vérification 2 2 9 8 3 2 2 3" xfId="15403"/>
    <cellStyle name="Vérification 2 2 9 8 3 2 2 4" xfId="31624"/>
    <cellStyle name="Vérification 2 2 9 8 3 2 3" xfId="23576"/>
    <cellStyle name="Vérification 2 2 9 8 3 2 3 2" xfId="35583"/>
    <cellStyle name="Vérification 2 2 9 8 3 2 4" xfId="13100"/>
    <cellStyle name="Vérification 2 2 9 8 3 2 5" xfId="29321"/>
    <cellStyle name="Vérification 2 2 9 8 3 3" xfId="7729"/>
    <cellStyle name="Vérification 2 2 9 8 3 3 2" xfId="23953"/>
    <cellStyle name="Vérification 2 2 9 8 3 3 2 2" xfId="35960"/>
    <cellStyle name="Vérification 2 2 9 8 3 3 3" xfId="13736"/>
    <cellStyle name="Vérification 2 2 9 8 3 3 4" xfId="29957"/>
    <cellStyle name="Vérification 2 2 9 8 3 4" xfId="22528"/>
    <cellStyle name="Vérification 2 2 9 8 3 4 2" xfId="34535"/>
    <cellStyle name="Vérification 2 2 9 8 3 5" xfId="11085"/>
    <cellStyle name="Vérification 2 2 9 8 3 6" xfId="27306"/>
    <cellStyle name="Vérification 2 2 9 8 4" xfId="3859"/>
    <cellStyle name="Vérification 2 2 9 8 4 2" xfId="8685"/>
    <cellStyle name="Vérification 2 2 9 8 4 2 2" xfId="24909"/>
    <cellStyle name="Vérification 2 2 9 8 4 2 2 2" xfId="36916"/>
    <cellStyle name="Vérification 2 2 9 8 4 2 3" xfId="14692"/>
    <cellStyle name="Vérification 2 2 9 8 4 2 4" xfId="30913"/>
    <cellStyle name="Vérification 2 2 9 8 4 3" xfId="10063"/>
    <cellStyle name="Vérification 2 2 9 8 4 3 2" xfId="26287"/>
    <cellStyle name="Vérification 2 2 9 8 4 3 2 2" xfId="38294"/>
    <cellStyle name="Vérification 2 2 9 8 4 3 3" xfId="16070"/>
    <cellStyle name="Vérification 2 2 9 8 4 3 4" xfId="32291"/>
    <cellStyle name="Vérification 2 2 9 8 4 4" xfId="20087"/>
    <cellStyle name="Vérification 2 2 9 8 4 4 2" xfId="34201"/>
    <cellStyle name="Vérification 2 2 9 8 4 5" xfId="12240"/>
    <cellStyle name="Vérification 2 2 9 8 4 6" xfId="28461"/>
    <cellStyle name="Vérification 2 2 9 8 5" xfId="6716"/>
    <cellStyle name="Vérification 2 2 9 8 5 2" xfId="9062"/>
    <cellStyle name="Vérification 2 2 9 8 5 2 2" xfId="25286"/>
    <cellStyle name="Vérification 2 2 9 8 5 2 2 2" xfId="37293"/>
    <cellStyle name="Vérification 2 2 9 8 5 2 3" xfId="15069"/>
    <cellStyle name="Vérification 2 2 9 8 5 2 4" xfId="31290"/>
    <cellStyle name="Vérification 2 2 9 8 5 3" xfId="22940"/>
    <cellStyle name="Vérification 2 2 9 8 5 3 2" xfId="34947"/>
    <cellStyle name="Vérification 2 2 9 8 5 4" xfId="12766"/>
    <cellStyle name="Vérification 2 2 9 8 5 5" xfId="28987"/>
    <cellStyle name="Vérification 2 2 9 8 6" xfId="7209"/>
    <cellStyle name="Vérification 2 2 9 8 6 2" xfId="23433"/>
    <cellStyle name="Vérification 2 2 9 8 6 2 2" xfId="35440"/>
    <cellStyle name="Vérification 2 2 9 8 6 3" xfId="13593"/>
    <cellStyle name="Vérification 2 2 9 8 6 4" xfId="29814"/>
    <cellStyle name="Vérification 2 2 9 8 7" xfId="18844"/>
    <cellStyle name="Vérification 2 2 9 8 7 2" xfId="32958"/>
    <cellStyle name="Vérification 2 2 9 8 8" xfId="10732"/>
    <cellStyle name="Vérification 2 2 9 8 9" xfId="26955"/>
    <cellStyle name="Vérification 2 2 9 9" xfId="2638"/>
    <cellStyle name="Vérification 2 2 9 9 2" xfId="6326"/>
    <cellStyle name="Vérification 2 2 9 9 2 2" xfId="8707"/>
    <cellStyle name="Vérification 2 2 9 9 2 2 2" xfId="24931"/>
    <cellStyle name="Vérification 2 2 9 9 2 2 2 2" xfId="36938"/>
    <cellStyle name="Vérification 2 2 9 9 2 2 3" xfId="14714"/>
    <cellStyle name="Vérification 2 2 9 9 2 2 4" xfId="30935"/>
    <cellStyle name="Vérification 2 2 9 9 2 3" xfId="10085"/>
    <cellStyle name="Vérification 2 2 9 9 2 3 2" xfId="26309"/>
    <cellStyle name="Vérification 2 2 9 9 2 3 2 2" xfId="38316"/>
    <cellStyle name="Vérification 2 2 9 9 2 3 3" xfId="16092"/>
    <cellStyle name="Vérification 2 2 9 9 2 3 4" xfId="32313"/>
    <cellStyle name="Vérification 2 2 9 9 2 4" xfId="22550"/>
    <cellStyle name="Vérification 2 2 9 9 2 4 2" xfId="34557"/>
    <cellStyle name="Vérification 2 2 9 9 2 5" xfId="12411"/>
    <cellStyle name="Vérification 2 2 9 9 2 6" xfId="28632"/>
    <cellStyle name="Vérification 2 2 9 9 3" xfId="7374"/>
    <cellStyle name="Vérification 2 2 9 9 3 2" xfId="9418"/>
    <cellStyle name="Vérification 2 2 9 9 3 2 2" xfId="25642"/>
    <cellStyle name="Vérification 2 2 9 9 3 2 2 2" xfId="37649"/>
    <cellStyle name="Vérification 2 2 9 9 3 2 3" xfId="15425"/>
    <cellStyle name="Vérification 2 2 9 9 3 2 4" xfId="31646"/>
    <cellStyle name="Vérification 2 2 9 9 3 3" xfId="23598"/>
    <cellStyle name="Vérification 2 2 9 9 3 3 2" xfId="35605"/>
    <cellStyle name="Vérification 2 2 9 9 3 4" xfId="13122"/>
    <cellStyle name="Vérification 2 2 9 9 3 5" xfId="29343"/>
    <cellStyle name="Vérification 2 2 9 9 4" xfId="7751"/>
    <cellStyle name="Vérification 2 2 9 9 4 2" xfId="23975"/>
    <cellStyle name="Vérification 2 2 9 9 4 2 2" xfId="35982"/>
    <cellStyle name="Vérification 2 2 9 9 4 3" xfId="13758"/>
    <cellStyle name="Vérification 2 2 9 9 4 4" xfId="29979"/>
    <cellStyle name="Vérification 2 2 9 9 5" xfId="18866"/>
    <cellStyle name="Vérification 2 2 9 9 5 2" xfId="32980"/>
    <cellStyle name="Vérification 2 2 9 9 6" xfId="11107"/>
    <cellStyle name="Vérification 2 2 9 9 7" xfId="27328"/>
    <cellStyle name="Vérification 2 3" xfId="154"/>
    <cellStyle name="Vérification 2 3 10" xfId="360"/>
    <cellStyle name="Vérification 2 3 10 10" xfId="10427"/>
    <cellStyle name="Vérification 2 3 10 11" xfId="26652"/>
    <cellStyle name="Vérification 2 3 10 2" xfId="1346"/>
    <cellStyle name="Vérification 2 3 10 2 2" xfId="2824"/>
    <cellStyle name="Vérification 2 3 10 2 2 2" xfId="6512"/>
    <cellStyle name="Vérification 2 3 10 2 2 2 2" xfId="8893"/>
    <cellStyle name="Vérification 2 3 10 2 2 2 2 2" xfId="25117"/>
    <cellStyle name="Vérification 2 3 10 2 2 2 2 2 2" xfId="37124"/>
    <cellStyle name="Vérification 2 3 10 2 2 2 2 3" xfId="14900"/>
    <cellStyle name="Vérification 2 3 10 2 2 2 2 4" xfId="31121"/>
    <cellStyle name="Vérification 2 3 10 2 2 2 3" xfId="10271"/>
    <cellStyle name="Vérification 2 3 10 2 2 2 3 2" xfId="26495"/>
    <cellStyle name="Vérification 2 3 10 2 2 2 3 2 2" xfId="38502"/>
    <cellStyle name="Vérification 2 3 10 2 2 2 3 3" xfId="16278"/>
    <cellStyle name="Vérification 2 3 10 2 2 2 3 4" xfId="32499"/>
    <cellStyle name="Vérification 2 3 10 2 2 2 4" xfId="22736"/>
    <cellStyle name="Vérification 2 3 10 2 2 2 4 2" xfId="34743"/>
    <cellStyle name="Vérification 2 3 10 2 2 2 5" xfId="12597"/>
    <cellStyle name="Vérification 2 3 10 2 2 2 6" xfId="28818"/>
    <cellStyle name="Vérification 2 3 10 2 2 3" xfId="7560"/>
    <cellStyle name="Vérification 2 3 10 2 2 3 2" xfId="9604"/>
    <cellStyle name="Vérification 2 3 10 2 2 3 2 2" xfId="25828"/>
    <cellStyle name="Vérification 2 3 10 2 2 3 2 2 2" xfId="37835"/>
    <cellStyle name="Vérification 2 3 10 2 2 3 2 3" xfId="15611"/>
    <cellStyle name="Vérification 2 3 10 2 2 3 2 4" xfId="31832"/>
    <cellStyle name="Vérification 2 3 10 2 2 3 3" xfId="23784"/>
    <cellStyle name="Vérification 2 3 10 2 2 3 3 2" xfId="35791"/>
    <cellStyle name="Vérification 2 3 10 2 2 3 4" xfId="13308"/>
    <cellStyle name="Vérification 2 3 10 2 2 3 5" xfId="29529"/>
    <cellStyle name="Vérification 2 3 10 2 2 4" xfId="7937"/>
    <cellStyle name="Vérification 2 3 10 2 2 4 2" xfId="24161"/>
    <cellStyle name="Vérification 2 3 10 2 2 4 2 2" xfId="36168"/>
    <cellStyle name="Vérification 2 3 10 2 2 4 3" xfId="13944"/>
    <cellStyle name="Vérification 2 3 10 2 2 4 4" xfId="30165"/>
    <cellStyle name="Vérification 2 3 10 2 2 5" xfId="19052"/>
    <cellStyle name="Vérification 2 3 10 2 2 5 2" xfId="33166"/>
    <cellStyle name="Vérification 2 3 10 2 2 6" xfId="11293"/>
    <cellStyle name="Vérification 2 3 10 2 2 7" xfId="27514"/>
    <cellStyle name="Vérification 2 3 10 2 3" xfId="5043"/>
    <cellStyle name="Vérification 2 3 10 2 3 2" xfId="7070"/>
    <cellStyle name="Vérification 2 3 10 2 3 2 2" xfId="9271"/>
    <cellStyle name="Vérification 2 3 10 2 3 2 2 2" xfId="25495"/>
    <cellStyle name="Vérification 2 3 10 2 3 2 2 2 2" xfId="37502"/>
    <cellStyle name="Vérification 2 3 10 2 3 2 2 3" xfId="15278"/>
    <cellStyle name="Vérification 2 3 10 2 3 2 2 4" xfId="31499"/>
    <cellStyle name="Vérification 2 3 10 2 3 2 3" xfId="23294"/>
    <cellStyle name="Vérification 2 3 10 2 3 2 3 2" xfId="35301"/>
    <cellStyle name="Vérification 2 3 10 2 3 2 4" xfId="12975"/>
    <cellStyle name="Vérification 2 3 10 2 3 2 5" xfId="29196"/>
    <cellStyle name="Vérification 2 3 10 2 3 3" xfId="6969"/>
    <cellStyle name="Vérification 2 3 10 2 3 3 2" xfId="23193"/>
    <cellStyle name="Vérification 2 3 10 2 3 3 2 2" xfId="35200"/>
    <cellStyle name="Vérification 2 3 10 2 3 3 3" xfId="11492"/>
    <cellStyle name="Vérification 2 3 10 2 3 3 4" xfId="27713"/>
    <cellStyle name="Vérification 2 3 10 2 3 4" xfId="21269"/>
    <cellStyle name="Vérification 2 3 10 2 3 4 2" xfId="34410"/>
    <cellStyle name="Vérification 2 3 10 2 3 5" xfId="10957"/>
    <cellStyle name="Vérification 2 3 10 2 3 6" xfId="27180"/>
    <cellStyle name="Vérification 2 3 10 2 4" xfId="3434"/>
    <cellStyle name="Vérification 2 3 10 2 4 2" xfId="8401"/>
    <cellStyle name="Vérification 2 3 10 2 4 2 2" xfId="24625"/>
    <cellStyle name="Vérification 2 3 10 2 4 2 2 2" xfId="36632"/>
    <cellStyle name="Vérification 2 3 10 2 4 2 3" xfId="14408"/>
    <cellStyle name="Vérification 2 3 10 2 4 2 4" xfId="30629"/>
    <cellStyle name="Vérification 2 3 10 2 4 3" xfId="9938"/>
    <cellStyle name="Vérification 2 3 10 2 4 3 2" xfId="26162"/>
    <cellStyle name="Vérification 2 3 10 2 4 3 2 2" xfId="38169"/>
    <cellStyle name="Vérification 2 3 10 2 4 3 3" xfId="15945"/>
    <cellStyle name="Vérification 2 3 10 2 4 3 4" xfId="32166"/>
    <cellStyle name="Vérification 2 3 10 2 4 4" xfId="19662"/>
    <cellStyle name="Vérification 2 3 10 2 4 4 2" xfId="33776"/>
    <cellStyle name="Vérification 2 3 10 2 4 5" xfId="11956"/>
    <cellStyle name="Vérification 2 3 10 2 4 6" xfId="28177"/>
    <cellStyle name="Vérification 2 3 10 2 5" xfId="3228"/>
    <cellStyle name="Vérification 2 3 10 2 5 2" xfId="8245"/>
    <cellStyle name="Vérification 2 3 10 2 5 2 2" xfId="24469"/>
    <cellStyle name="Vérification 2 3 10 2 5 2 2 2" xfId="36476"/>
    <cellStyle name="Vérification 2 3 10 2 5 2 3" xfId="14252"/>
    <cellStyle name="Vérification 2 3 10 2 5 2 4" xfId="30473"/>
    <cellStyle name="Vérification 2 3 10 2 5 3" xfId="19456"/>
    <cellStyle name="Vérification 2 3 10 2 5 3 2" xfId="33570"/>
    <cellStyle name="Vérification 2 3 10 2 5 4" xfId="11800"/>
    <cellStyle name="Vérification 2 3 10 2 5 5" xfId="28021"/>
    <cellStyle name="Vérification 2 3 10 2 6" xfId="6646"/>
    <cellStyle name="Vérification 2 3 10 2 6 2" xfId="22870"/>
    <cellStyle name="Vérification 2 3 10 2 6 2 2" xfId="34877"/>
    <cellStyle name="Vérification 2 3 10 2 6 3" xfId="11618"/>
    <cellStyle name="Vérification 2 3 10 2 6 4" xfId="27839"/>
    <cellStyle name="Vérification 2 3 10 2 7" xfId="17585"/>
    <cellStyle name="Vérification 2 3 10 2 7 2" xfId="32833"/>
    <cellStyle name="Vérification 2 3 10 2 8" xfId="10605"/>
    <cellStyle name="Vérification 2 3 10 2 9" xfId="26830"/>
    <cellStyle name="Vérification 2 3 10 3" xfId="975"/>
    <cellStyle name="Vérification 2 3 10 3 2" xfId="2735"/>
    <cellStyle name="Vérification 2 3 10 3 2 2" xfId="6423"/>
    <cellStyle name="Vérification 2 3 10 3 2 2 2" xfId="8804"/>
    <cellStyle name="Vérification 2 3 10 3 2 2 2 2" xfId="25028"/>
    <cellStyle name="Vérification 2 3 10 3 2 2 2 2 2" xfId="37035"/>
    <cellStyle name="Vérification 2 3 10 3 2 2 2 3" xfId="14811"/>
    <cellStyle name="Vérification 2 3 10 3 2 2 2 4" xfId="31032"/>
    <cellStyle name="Vérification 2 3 10 3 2 2 3" xfId="10182"/>
    <cellStyle name="Vérification 2 3 10 3 2 2 3 2" xfId="26406"/>
    <cellStyle name="Vérification 2 3 10 3 2 2 3 2 2" xfId="38413"/>
    <cellStyle name="Vérification 2 3 10 3 2 2 3 3" xfId="16189"/>
    <cellStyle name="Vérification 2 3 10 3 2 2 3 4" xfId="32410"/>
    <cellStyle name="Vérification 2 3 10 3 2 2 4" xfId="22647"/>
    <cellStyle name="Vérification 2 3 10 3 2 2 4 2" xfId="34654"/>
    <cellStyle name="Vérification 2 3 10 3 2 2 5" xfId="12508"/>
    <cellStyle name="Vérification 2 3 10 3 2 2 6" xfId="28729"/>
    <cellStyle name="Vérification 2 3 10 3 2 3" xfId="7471"/>
    <cellStyle name="Vérification 2 3 10 3 2 3 2" xfId="9515"/>
    <cellStyle name="Vérification 2 3 10 3 2 3 2 2" xfId="25739"/>
    <cellStyle name="Vérification 2 3 10 3 2 3 2 2 2" xfId="37746"/>
    <cellStyle name="Vérification 2 3 10 3 2 3 2 3" xfId="15522"/>
    <cellStyle name="Vérification 2 3 10 3 2 3 2 4" xfId="31743"/>
    <cellStyle name="Vérification 2 3 10 3 2 3 3" xfId="23695"/>
    <cellStyle name="Vérification 2 3 10 3 2 3 3 2" xfId="35702"/>
    <cellStyle name="Vérification 2 3 10 3 2 3 4" xfId="13219"/>
    <cellStyle name="Vérification 2 3 10 3 2 3 5" xfId="29440"/>
    <cellStyle name="Vérification 2 3 10 3 2 4" xfId="7848"/>
    <cellStyle name="Vérification 2 3 10 3 2 4 2" xfId="24072"/>
    <cellStyle name="Vérification 2 3 10 3 2 4 2 2" xfId="36079"/>
    <cellStyle name="Vérification 2 3 10 3 2 4 3" xfId="13855"/>
    <cellStyle name="Vérification 2 3 10 3 2 4 4" xfId="30076"/>
    <cellStyle name="Vérification 2 3 10 3 2 5" xfId="18963"/>
    <cellStyle name="Vérification 2 3 10 3 2 5 2" xfId="33077"/>
    <cellStyle name="Vérification 2 3 10 3 2 6" xfId="11204"/>
    <cellStyle name="Vérification 2 3 10 3 2 7" xfId="27425"/>
    <cellStyle name="Vérification 2 3 10 3 3" xfId="4672"/>
    <cellStyle name="Vérification 2 3 10 3 3 2" xfId="6943"/>
    <cellStyle name="Vérification 2 3 10 3 3 2 2" xfId="9182"/>
    <cellStyle name="Vérification 2 3 10 3 3 2 2 2" xfId="25406"/>
    <cellStyle name="Vérification 2 3 10 3 3 2 2 2 2" xfId="37413"/>
    <cellStyle name="Vérification 2 3 10 3 3 2 2 3" xfId="15189"/>
    <cellStyle name="Vérification 2 3 10 3 3 2 2 4" xfId="31410"/>
    <cellStyle name="Vérification 2 3 10 3 3 2 3" xfId="23167"/>
    <cellStyle name="Vérification 2 3 10 3 3 2 3 2" xfId="35174"/>
    <cellStyle name="Vérification 2 3 10 3 3 2 4" xfId="12886"/>
    <cellStyle name="Vérification 2 3 10 3 3 2 5" xfId="29107"/>
    <cellStyle name="Vérification 2 3 10 3 3 3" xfId="7195"/>
    <cellStyle name="Vérification 2 3 10 3 3 3 2" xfId="23419"/>
    <cellStyle name="Vérification 2 3 10 3 3 3 2 2" xfId="35426"/>
    <cellStyle name="Vérification 2 3 10 3 3 3 3" xfId="13579"/>
    <cellStyle name="Vérification 2 3 10 3 3 3 4" xfId="29800"/>
    <cellStyle name="Vérification 2 3 10 3 3 4" xfId="20898"/>
    <cellStyle name="Vérification 2 3 10 3 3 4 2" xfId="34321"/>
    <cellStyle name="Vérification 2 3 10 3 3 5" xfId="10868"/>
    <cellStyle name="Vérification 2 3 10 3 3 6" xfId="27091"/>
    <cellStyle name="Vérification 2 3 10 3 4" xfId="3274"/>
    <cellStyle name="Vérification 2 3 10 3 4 2" xfId="8271"/>
    <cellStyle name="Vérification 2 3 10 3 4 2 2" xfId="24495"/>
    <cellStyle name="Vérification 2 3 10 3 4 2 2 2" xfId="36502"/>
    <cellStyle name="Vérification 2 3 10 3 4 2 3" xfId="14278"/>
    <cellStyle name="Vérification 2 3 10 3 4 2 4" xfId="30499"/>
    <cellStyle name="Vérification 2 3 10 3 4 3" xfId="9849"/>
    <cellStyle name="Vérification 2 3 10 3 4 3 2" xfId="26073"/>
    <cellStyle name="Vérification 2 3 10 3 4 3 2 2" xfId="38080"/>
    <cellStyle name="Vérification 2 3 10 3 4 3 3" xfId="15856"/>
    <cellStyle name="Vérification 2 3 10 3 4 3 4" xfId="32077"/>
    <cellStyle name="Vérification 2 3 10 3 4 4" xfId="19502"/>
    <cellStyle name="Vérification 2 3 10 3 4 4 2" xfId="33616"/>
    <cellStyle name="Vérification 2 3 10 3 4 5" xfId="11826"/>
    <cellStyle name="Vérification 2 3 10 3 4 6" xfId="28047"/>
    <cellStyle name="Vérification 2 3 10 3 5" xfId="3705"/>
    <cellStyle name="Vérification 2 3 10 3 5 2" xfId="8591"/>
    <cellStyle name="Vérification 2 3 10 3 5 2 2" xfId="24815"/>
    <cellStyle name="Vérification 2 3 10 3 5 2 2 2" xfId="36822"/>
    <cellStyle name="Vérification 2 3 10 3 5 2 3" xfId="14598"/>
    <cellStyle name="Vérification 2 3 10 3 5 2 4" xfId="30819"/>
    <cellStyle name="Vérification 2 3 10 3 5 3" xfId="19933"/>
    <cellStyle name="Vérification 2 3 10 3 5 3 2" xfId="34047"/>
    <cellStyle name="Vérification 2 3 10 3 5 4" xfId="12146"/>
    <cellStyle name="Vérification 2 3 10 3 5 5" xfId="28367"/>
    <cellStyle name="Vérification 2 3 10 3 6" xfId="7173"/>
    <cellStyle name="Vérification 2 3 10 3 6 2" xfId="23397"/>
    <cellStyle name="Vérification 2 3 10 3 6 2 2" xfId="35404"/>
    <cellStyle name="Vérification 2 3 10 3 6 3" xfId="13557"/>
    <cellStyle name="Vérification 2 3 10 3 6 4" xfId="29778"/>
    <cellStyle name="Vérification 2 3 10 3 7" xfId="17214"/>
    <cellStyle name="Vérification 2 3 10 3 7 2" xfId="32744"/>
    <cellStyle name="Vérification 2 3 10 3 8" xfId="10516"/>
    <cellStyle name="Vérification 2 3 10 3 9" xfId="26741"/>
    <cellStyle name="Vérification 2 3 10 4" xfId="2646"/>
    <cellStyle name="Vérification 2 3 10 4 2" xfId="6334"/>
    <cellStyle name="Vérification 2 3 10 4 2 2" xfId="8715"/>
    <cellStyle name="Vérification 2 3 10 4 2 2 2" xfId="24939"/>
    <cellStyle name="Vérification 2 3 10 4 2 2 2 2" xfId="36946"/>
    <cellStyle name="Vérification 2 3 10 4 2 2 3" xfId="14722"/>
    <cellStyle name="Vérification 2 3 10 4 2 2 4" xfId="30943"/>
    <cellStyle name="Vérification 2 3 10 4 2 3" xfId="10093"/>
    <cellStyle name="Vérification 2 3 10 4 2 3 2" xfId="26317"/>
    <cellStyle name="Vérification 2 3 10 4 2 3 2 2" xfId="38324"/>
    <cellStyle name="Vérification 2 3 10 4 2 3 3" xfId="16100"/>
    <cellStyle name="Vérification 2 3 10 4 2 3 4" xfId="32321"/>
    <cellStyle name="Vérification 2 3 10 4 2 4" xfId="22558"/>
    <cellStyle name="Vérification 2 3 10 4 2 4 2" xfId="34565"/>
    <cellStyle name="Vérification 2 3 10 4 2 5" xfId="12419"/>
    <cellStyle name="Vérification 2 3 10 4 2 6" xfId="28640"/>
    <cellStyle name="Vérification 2 3 10 4 3" xfId="7382"/>
    <cellStyle name="Vérification 2 3 10 4 3 2" xfId="9426"/>
    <cellStyle name="Vérification 2 3 10 4 3 2 2" xfId="25650"/>
    <cellStyle name="Vérification 2 3 10 4 3 2 2 2" xfId="37657"/>
    <cellStyle name="Vérification 2 3 10 4 3 2 3" xfId="15433"/>
    <cellStyle name="Vérification 2 3 10 4 3 2 4" xfId="31654"/>
    <cellStyle name="Vérification 2 3 10 4 3 3" xfId="23606"/>
    <cellStyle name="Vérification 2 3 10 4 3 3 2" xfId="35613"/>
    <cellStyle name="Vérification 2 3 10 4 3 4" xfId="13130"/>
    <cellStyle name="Vérification 2 3 10 4 3 5" xfId="29351"/>
    <cellStyle name="Vérification 2 3 10 4 4" xfId="7759"/>
    <cellStyle name="Vérification 2 3 10 4 4 2" xfId="23983"/>
    <cellStyle name="Vérification 2 3 10 4 4 2 2" xfId="35990"/>
    <cellStyle name="Vérification 2 3 10 4 4 3" xfId="13766"/>
    <cellStyle name="Vérification 2 3 10 4 4 4" xfId="29987"/>
    <cellStyle name="Vérification 2 3 10 4 5" xfId="18874"/>
    <cellStyle name="Vérification 2 3 10 4 5 2" xfId="32988"/>
    <cellStyle name="Vérification 2 3 10 4 6" xfId="11115"/>
    <cellStyle name="Vérification 2 3 10 4 7" xfId="27336"/>
    <cellStyle name="Vérification 2 3 10 5" xfId="4097"/>
    <cellStyle name="Vérification 2 3 10 5 2" xfId="6781"/>
    <cellStyle name="Vérification 2 3 10 5 2 2" xfId="9093"/>
    <cellStyle name="Vérification 2 3 10 5 2 2 2" xfId="25317"/>
    <cellStyle name="Vérification 2 3 10 5 2 2 2 2" xfId="37324"/>
    <cellStyle name="Vérification 2 3 10 5 2 2 3" xfId="15100"/>
    <cellStyle name="Vérification 2 3 10 5 2 2 4" xfId="31321"/>
    <cellStyle name="Vérification 2 3 10 5 2 3" xfId="23005"/>
    <cellStyle name="Vérification 2 3 10 5 2 3 2" xfId="35012"/>
    <cellStyle name="Vérification 2 3 10 5 2 4" xfId="12797"/>
    <cellStyle name="Vérification 2 3 10 5 2 5" xfId="29018"/>
    <cellStyle name="Vérification 2 3 10 5 3" xfId="2979"/>
    <cellStyle name="Vérification 2 3 10 5 3 2" xfId="19207"/>
    <cellStyle name="Vérification 2 3 10 5 3 2 2" xfId="33321"/>
    <cellStyle name="Vérification 2 3 10 5 3 3" xfId="12332"/>
    <cellStyle name="Vérification 2 3 10 5 3 4" xfId="28553"/>
    <cellStyle name="Vérification 2 3 10 5 4" xfId="20323"/>
    <cellStyle name="Vérification 2 3 10 5 4 2" xfId="34232"/>
    <cellStyle name="Vérification 2 3 10 5 5" xfId="10772"/>
    <cellStyle name="Vérification 2 3 10 5 6" xfId="26995"/>
    <cellStyle name="Vérification 2 3 10 6" xfId="3054"/>
    <cellStyle name="Vérification 2 3 10 6 2" xfId="8124"/>
    <cellStyle name="Vérification 2 3 10 6 2 2" xfId="24348"/>
    <cellStyle name="Vérification 2 3 10 6 2 2 2" xfId="36355"/>
    <cellStyle name="Vérification 2 3 10 6 2 3" xfId="14131"/>
    <cellStyle name="Vérification 2 3 10 6 2 4" xfId="30352"/>
    <cellStyle name="Vérification 2 3 10 6 3" xfId="9760"/>
    <cellStyle name="Vérification 2 3 10 6 3 2" xfId="25984"/>
    <cellStyle name="Vérification 2 3 10 6 3 2 2" xfId="37991"/>
    <cellStyle name="Vérification 2 3 10 6 3 3" xfId="15767"/>
    <cellStyle name="Vérification 2 3 10 6 3 4" xfId="31988"/>
    <cellStyle name="Vérification 2 3 10 6 4" xfId="19282"/>
    <cellStyle name="Vérification 2 3 10 6 4 2" xfId="33396"/>
    <cellStyle name="Vérification 2 3 10 6 5" xfId="11679"/>
    <cellStyle name="Vérification 2 3 10 6 6" xfId="27900"/>
    <cellStyle name="Vérification 2 3 10 7" xfId="3601"/>
    <cellStyle name="Vérification 2 3 10 7 2" xfId="8533"/>
    <cellStyle name="Vérification 2 3 10 7 2 2" xfId="24757"/>
    <cellStyle name="Vérification 2 3 10 7 2 2 2" xfId="36764"/>
    <cellStyle name="Vérification 2 3 10 7 2 3" xfId="14540"/>
    <cellStyle name="Vérification 2 3 10 7 2 4" xfId="30761"/>
    <cellStyle name="Vérification 2 3 10 7 3" xfId="19829"/>
    <cellStyle name="Vérification 2 3 10 7 3 2" xfId="33943"/>
    <cellStyle name="Vérification 2 3 10 7 4" xfId="12088"/>
    <cellStyle name="Vérification 2 3 10 7 5" xfId="28309"/>
    <cellStyle name="Vérification 2 3 10 8" xfId="3817"/>
    <cellStyle name="Vérification 2 3 10 8 2" xfId="20045"/>
    <cellStyle name="Vérification 2 3 10 8 2 2" xfId="34159"/>
    <cellStyle name="Vérification 2 3 10 8 3" xfId="12327"/>
    <cellStyle name="Vérification 2 3 10 8 4" xfId="28548"/>
    <cellStyle name="Vérification 2 3 10 9" xfId="16639"/>
    <cellStyle name="Vérification 2 3 10 9 2" xfId="32655"/>
    <cellStyle name="Vérification 2 3 11" xfId="501"/>
    <cellStyle name="Vérification 2 3 11 10" xfId="10448"/>
    <cellStyle name="Vérification 2 3 11 11" xfId="26673"/>
    <cellStyle name="Vérification 2 3 11 2" xfId="1367"/>
    <cellStyle name="Vérification 2 3 11 2 2" xfId="2845"/>
    <cellStyle name="Vérification 2 3 11 2 2 2" xfId="6533"/>
    <cellStyle name="Vérification 2 3 11 2 2 2 2" xfId="8914"/>
    <cellStyle name="Vérification 2 3 11 2 2 2 2 2" xfId="25138"/>
    <cellStyle name="Vérification 2 3 11 2 2 2 2 2 2" xfId="37145"/>
    <cellStyle name="Vérification 2 3 11 2 2 2 2 3" xfId="14921"/>
    <cellStyle name="Vérification 2 3 11 2 2 2 2 4" xfId="31142"/>
    <cellStyle name="Vérification 2 3 11 2 2 2 3" xfId="10292"/>
    <cellStyle name="Vérification 2 3 11 2 2 2 3 2" xfId="26516"/>
    <cellStyle name="Vérification 2 3 11 2 2 2 3 2 2" xfId="38523"/>
    <cellStyle name="Vérification 2 3 11 2 2 2 3 3" xfId="16299"/>
    <cellStyle name="Vérification 2 3 11 2 2 2 3 4" xfId="32520"/>
    <cellStyle name="Vérification 2 3 11 2 2 2 4" xfId="22757"/>
    <cellStyle name="Vérification 2 3 11 2 2 2 4 2" xfId="34764"/>
    <cellStyle name="Vérification 2 3 11 2 2 2 5" xfId="12618"/>
    <cellStyle name="Vérification 2 3 11 2 2 2 6" xfId="28839"/>
    <cellStyle name="Vérification 2 3 11 2 2 3" xfId="7581"/>
    <cellStyle name="Vérification 2 3 11 2 2 3 2" xfId="9625"/>
    <cellStyle name="Vérification 2 3 11 2 2 3 2 2" xfId="25849"/>
    <cellStyle name="Vérification 2 3 11 2 2 3 2 2 2" xfId="37856"/>
    <cellStyle name="Vérification 2 3 11 2 2 3 2 3" xfId="15632"/>
    <cellStyle name="Vérification 2 3 11 2 2 3 2 4" xfId="31853"/>
    <cellStyle name="Vérification 2 3 11 2 2 3 3" xfId="23805"/>
    <cellStyle name="Vérification 2 3 11 2 2 3 3 2" xfId="35812"/>
    <cellStyle name="Vérification 2 3 11 2 2 3 4" xfId="13329"/>
    <cellStyle name="Vérification 2 3 11 2 2 3 5" xfId="29550"/>
    <cellStyle name="Vérification 2 3 11 2 2 4" xfId="7958"/>
    <cellStyle name="Vérification 2 3 11 2 2 4 2" xfId="24182"/>
    <cellStyle name="Vérification 2 3 11 2 2 4 2 2" xfId="36189"/>
    <cellStyle name="Vérification 2 3 11 2 2 4 3" xfId="13965"/>
    <cellStyle name="Vérification 2 3 11 2 2 4 4" xfId="30186"/>
    <cellStyle name="Vérification 2 3 11 2 2 5" xfId="19073"/>
    <cellStyle name="Vérification 2 3 11 2 2 5 2" xfId="33187"/>
    <cellStyle name="Vérification 2 3 11 2 2 6" xfId="11314"/>
    <cellStyle name="Vérification 2 3 11 2 2 7" xfId="27535"/>
    <cellStyle name="Vérification 2 3 11 2 3" xfId="5064"/>
    <cellStyle name="Vérification 2 3 11 2 3 2" xfId="7091"/>
    <cellStyle name="Vérification 2 3 11 2 3 2 2" xfId="9292"/>
    <cellStyle name="Vérification 2 3 11 2 3 2 2 2" xfId="25516"/>
    <cellStyle name="Vérification 2 3 11 2 3 2 2 2 2" xfId="37523"/>
    <cellStyle name="Vérification 2 3 11 2 3 2 2 3" xfId="15299"/>
    <cellStyle name="Vérification 2 3 11 2 3 2 2 4" xfId="31520"/>
    <cellStyle name="Vérification 2 3 11 2 3 2 3" xfId="23315"/>
    <cellStyle name="Vérification 2 3 11 2 3 2 3 2" xfId="35322"/>
    <cellStyle name="Vérification 2 3 11 2 3 2 4" xfId="12996"/>
    <cellStyle name="Vérification 2 3 11 2 3 2 5" xfId="29217"/>
    <cellStyle name="Vérification 2 3 11 2 3 3" xfId="3625"/>
    <cellStyle name="Vérification 2 3 11 2 3 3 2" xfId="19853"/>
    <cellStyle name="Vérification 2 3 11 2 3 3 2 2" xfId="33967"/>
    <cellStyle name="Vérification 2 3 11 2 3 3 3" xfId="12368"/>
    <cellStyle name="Vérification 2 3 11 2 3 3 4" xfId="28589"/>
    <cellStyle name="Vérification 2 3 11 2 3 4" xfId="21290"/>
    <cellStyle name="Vérification 2 3 11 2 3 4 2" xfId="34431"/>
    <cellStyle name="Vérification 2 3 11 2 3 5" xfId="10978"/>
    <cellStyle name="Vérification 2 3 11 2 3 6" xfId="27201"/>
    <cellStyle name="Vérification 2 3 11 2 4" xfId="3455"/>
    <cellStyle name="Vérification 2 3 11 2 4 2" xfId="8422"/>
    <cellStyle name="Vérification 2 3 11 2 4 2 2" xfId="24646"/>
    <cellStyle name="Vérification 2 3 11 2 4 2 2 2" xfId="36653"/>
    <cellStyle name="Vérification 2 3 11 2 4 2 3" xfId="14429"/>
    <cellStyle name="Vérification 2 3 11 2 4 2 4" xfId="30650"/>
    <cellStyle name="Vérification 2 3 11 2 4 3" xfId="9959"/>
    <cellStyle name="Vérification 2 3 11 2 4 3 2" xfId="26183"/>
    <cellStyle name="Vérification 2 3 11 2 4 3 2 2" xfId="38190"/>
    <cellStyle name="Vérification 2 3 11 2 4 3 3" xfId="15966"/>
    <cellStyle name="Vérification 2 3 11 2 4 3 4" xfId="32187"/>
    <cellStyle name="Vérification 2 3 11 2 4 4" xfId="19683"/>
    <cellStyle name="Vérification 2 3 11 2 4 4 2" xfId="33797"/>
    <cellStyle name="Vérification 2 3 11 2 4 5" xfId="11977"/>
    <cellStyle name="Vérification 2 3 11 2 4 6" xfId="28198"/>
    <cellStyle name="Vérification 2 3 11 2 5" xfId="3266"/>
    <cellStyle name="Vérification 2 3 11 2 5 2" xfId="8265"/>
    <cellStyle name="Vérification 2 3 11 2 5 2 2" xfId="24489"/>
    <cellStyle name="Vérification 2 3 11 2 5 2 2 2" xfId="36496"/>
    <cellStyle name="Vérification 2 3 11 2 5 2 3" xfId="14272"/>
    <cellStyle name="Vérification 2 3 11 2 5 2 4" xfId="30493"/>
    <cellStyle name="Vérification 2 3 11 2 5 3" xfId="19494"/>
    <cellStyle name="Vérification 2 3 11 2 5 3 2" xfId="33608"/>
    <cellStyle name="Vérification 2 3 11 2 5 4" xfId="11820"/>
    <cellStyle name="Vérification 2 3 11 2 5 5" xfId="28041"/>
    <cellStyle name="Vérification 2 3 11 2 6" xfId="6856"/>
    <cellStyle name="Vérification 2 3 11 2 6 2" xfId="23080"/>
    <cellStyle name="Vérification 2 3 11 2 6 2 2" xfId="35087"/>
    <cellStyle name="Vérification 2 3 11 2 6 3" xfId="12370"/>
    <cellStyle name="Vérification 2 3 11 2 6 4" xfId="28591"/>
    <cellStyle name="Vérification 2 3 11 2 7" xfId="17606"/>
    <cellStyle name="Vérification 2 3 11 2 7 2" xfId="32854"/>
    <cellStyle name="Vérification 2 3 11 2 8" xfId="10626"/>
    <cellStyle name="Vérification 2 3 11 2 9" xfId="26851"/>
    <cellStyle name="Vérification 2 3 11 3" xfId="1116"/>
    <cellStyle name="Vérification 2 3 11 3 2" xfId="2756"/>
    <cellStyle name="Vérification 2 3 11 3 2 2" xfId="6444"/>
    <cellStyle name="Vérification 2 3 11 3 2 2 2" xfId="8825"/>
    <cellStyle name="Vérification 2 3 11 3 2 2 2 2" xfId="25049"/>
    <cellStyle name="Vérification 2 3 11 3 2 2 2 2 2" xfId="37056"/>
    <cellStyle name="Vérification 2 3 11 3 2 2 2 3" xfId="14832"/>
    <cellStyle name="Vérification 2 3 11 3 2 2 2 4" xfId="31053"/>
    <cellStyle name="Vérification 2 3 11 3 2 2 3" xfId="10203"/>
    <cellStyle name="Vérification 2 3 11 3 2 2 3 2" xfId="26427"/>
    <cellStyle name="Vérification 2 3 11 3 2 2 3 2 2" xfId="38434"/>
    <cellStyle name="Vérification 2 3 11 3 2 2 3 3" xfId="16210"/>
    <cellStyle name="Vérification 2 3 11 3 2 2 3 4" xfId="32431"/>
    <cellStyle name="Vérification 2 3 11 3 2 2 4" xfId="22668"/>
    <cellStyle name="Vérification 2 3 11 3 2 2 4 2" xfId="34675"/>
    <cellStyle name="Vérification 2 3 11 3 2 2 5" xfId="12529"/>
    <cellStyle name="Vérification 2 3 11 3 2 2 6" xfId="28750"/>
    <cellStyle name="Vérification 2 3 11 3 2 3" xfId="7492"/>
    <cellStyle name="Vérification 2 3 11 3 2 3 2" xfId="9536"/>
    <cellStyle name="Vérification 2 3 11 3 2 3 2 2" xfId="25760"/>
    <cellStyle name="Vérification 2 3 11 3 2 3 2 2 2" xfId="37767"/>
    <cellStyle name="Vérification 2 3 11 3 2 3 2 3" xfId="15543"/>
    <cellStyle name="Vérification 2 3 11 3 2 3 2 4" xfId="31764"/>
    <cellStyle name="Vérification 2 3 11 3 2 3 3" xfId="23716"/>
    <cellStyle name="Vérification 2 3 11 3 2 3 3 2" xfId="35723"/>
    <cellStyle name="Vérification 2 3 11 3 2 3 4" xfId="13240"/>
    <cellStyle name="Vérification 2 3 11 3 2 3 5" xfId="29461"/>
    <cellStyle name="Vérification 2 3 11 3 2 4" xfId="7869"/>
    <cellStyle name="Vérification 2 3 11 3 2 4 2" xfId="24093"/>
    <cellStyle name="Vérification 2 3 11 3 2 4 2 2" xfId="36100"/>
    <cellStyle name="Vérification 2 3 11 3 2 4 3" xfId="13876"/>
    <cellStyle name="Vérification 2 3 11 3 2 4 4" xfId="30097"/>
    <cellStyle name="Vérification 2 3 11 3 2 5" xfId="18984"/>
    <cellStyle name="Vérification 2 3 11 3 2 5 2" xfId="33098"/>
    <cellStyle name="Vérification 2 3 11 3 2 6" xfId="11225"/>
    <cellStyle name="Vérification 2 3 11 3 2 7" xfId="27446"/>
    <cellStyle name="Vérification 2 3 11 3 3" xfId="4813"/>
    <cellStyle name="Vérification 2 3 11 3 3 2" xfId="6983"/>
    <cellStyle name="Vérification 2 3 11 3 3 2 2" xfId="9203"/>
    <cellStyle name="Vérification 2 3 11 3 3 2 2 2" xfId="25427"/>
    <cellStyle name="Vérification 2 3 11 3 3 2 2 2 2" xfId="37434"/>
    <cellStyle name="Vérification 2 3 11 3 3 2 2 3" xfId="15210"/>
    <cellStyle name="Vérification 2 3 11 3 3 2 2 4" xfId="31431"/>
    <cellStyle name="Vérification 2 3 11 3 3 2 3" xfId="23207"/>
    <cellStyle name="Vérification 2 3 11 3 3 2 3 2" xfId="35214"/>
    <cellStyle name="Vérification 2 3 11 3 3 2 4" xfId="12907"/>
    <cellStyle name="Vérification 2 3 11 3 3 2 5" xfId="29128"/>
    <cellStyle name="Vérification 2 3 11 3 3 3" xfId="6978"/>
    <cellStyle name="Vérification 2 3 11 3 3 3 2" xfId="23202"/>
    <cellStyle name="Vérification 2 3 11 3 3 3 2 2" xfId="35209"/>
    <cellStyle name="Vérification 2 3 11 3 3 3 3" xfId="12375"/>
    <cellStyle name="Vérification 2 3 11 3 3 3 4" xfId="28596"/>
    <cellStyle name="Vérification 2 3 11 3 3 4" xfId="21039"/>
    <cellStyle name="Vérification 2 3 11 3 3 4 2" xfId="34342"/>
    <cellStyle name="Vérification 2 3 11 3 3 5" xfId="10889"/>
    <cellStyle name="Vérification 2 3 11 3 3 6" xfId="27112"/>
    <cellStyle name="Vérification 2 3 11 3 4" xfId="3327"/>
    <cellStyle name="Vérification 2 3 11 3 4 2" xfId="8310"/>
    <cellStyle name="Vérification 2 3 11 3 4 2 2" xfId="24534"/>
    <cellStyle name="Vérification 2 3 11 3 4 2 2 2" xfId="36541"/>
    <cellStyle name="Vérification 2 3 11 3 4 2 3" xfId="14317"/>
    <cellStyle name="Vérification 2 3 11 3 4 2 4" xfId="30538"/>
    <cellStyle name="Vérification 2 3 11 3 4 3" xfId="9870"/>
    <cellStyle name="Vérification 2 3 11 3 4 3 2" xfId="26094"/>
    <cellStyle name="Vérification 2 3 11 3 4 3 2 2" xfId="38101"/>
    <cellStyle name="Vérification 2 3 11 3 4 3 3" xfId="15877"/>
    <cellStyle name="Vérification 2 3 11 3 4 3 4" xfId="32098"/>
    <cellStyle name="Vérification 2 3 11 3 4 4" xfId="19555"/>
    <cellStyle name="Vérification 2 3 11 3 4 4 2" xfId="33669"/>
    <cellStyle name="Vérification 2 3 11 3 4 5" xfId="11865"/>
    <cellStyle name="Vérification 2 3 11 3 4 6" xfId="28086"/>
    <cellStyle name="Vérification 2 3 11 3 5" xfId="3257"/>
    <cellStyle name="Vérification 2 3 11 3 5 2" xfId="8259"/>
    <cellStyle name="Vérification 2 3 11 3 5 2 2" xfId="24483"/>
    <cellStyle name="Vérification 2 3 11 3 5 2 2 2" xfId="36490"/>
    <cellStyle name="Vérification 2 3 11 3 5 2 3" xfId="14266"/>
    <cellStyle name="Vérification 2 3 11 3 5 2 4" xfId="30487"/>
    <cellStyle name="Vérification 2 3 11 3 5 3" xfId="19485"/>
    <cellStyle name="Vérification 2 3 11 3 5 3 2" xfId="33599"/>
    <cellStyle name="Vérification 2 3 11 3 5 4" xfId="11814"/>
    <cellStyle name="Vérification 2 3 11 3 5 5" xfId="28035"/>
    <cellStyle name="Vérification 2 3 11 3 6" xfId="7200"/>
    <cellStyle name="Vérification 2 3 11 3 6 2" xfId="23424"/>
    <cellStyle name="Vérification 2 3 11 3 6 2 2" xfId="35431"/>
    <cellStyle name="Vérification 2 3 11 3 6 3" xfId="13584"/>
    <cellStyle name="Vérification 2 3 11 3 6 4" xfId="29805"/>
    <cellStyle name="Vérification 2 3 11 3 7" xfId="17355"/>
    <cellStyle name="Vérification 2 3 11 3 7 2" xfId="32765"/>
    <cellStyle name="Vérification 2 3 11 3 8" xfId="10537"/>
    <cellStyle name="Vérification 2 3 11 3 9" xfId="26762"/>
    <cellStyle name="Vérification 2 3 11 4" xfId="2667"/>
    <cellStyle name="Vérification 2 3 11 4 2" xfId="6355"/>
    <cellStyle name="Vérification 2 3 11 4 2 2" xfId="8736"/>
    <cellStyle name="Vérification 2 3 11 4 2 2 2" xfId="24960"/>
    <cellStyle name="Vérification 2 3 11 4 2 2 2 2" xfId="36967"/>
    <cellStyle name="Vérification 2 3 11 4 2 2 3" xfId="14743"/>
    <cellStyle name="Vérification 2 3 11 4 2 2 4" xfId="30964"/>
    <cellStyle name="Vérification 2 3 11 4 2 3" xfId="10114"/>
    <cellStyle name="Vérification 2 3 11 4 2 3 2" xfId="26338"/>
    <cellStyle name="Vérification 2 3 11 4 2 3 2 2" xfId="38345"/>
    <cellStyle name="Vérification 2 3 11 4 2 3 3" xfId="16121"/>
    <cellStyle name="Vérification 2 3 11 4 2 3 4" xfId="32342"/>
    <cellStyle name="Vérification 2 3 11 4 2 4" xfId="22579"/>
    <cellStyle name="Vérification 2 3 11 4 2 4 2" xfId="34586"/>
    <cellStyle name="Vérification 2 3 11 4 2 5" xfId="12440"/>
    <cellStyle name="Vérification 2 3 11 4 2 6" xfId="28661"/>
    <cellStyle name="Vérification 2 3 11 4 3" xfId="7403"/>
    <cellStyle name="Vérification 2 3 11 4 3 2" xfId="9447"/>
    <cellStyle name="Vérification 2 3 11 4 3 2 2" xfId="25671"/>
    <cellStyle name="Vérification 2 3 11 4 3 2 2 2" xfId="37678"/>
    <cellStyle name="Vérification 2 3 11 4 3 2 3" xfId="15454"/>
    <cellStyle name="Vérification 2 3 11 4 3 2 4" xfId="31675"/>
    <cellStyle name="Vérification 2 3 11 4 3 3" xfId="23627"/>
    <cellStyle name="Vérification 2 3 11 4 3 3 2" xfId="35634"/>
    <cellStyle name="Vérification 2 3 11 4 3 4" xfId="13151"/>
    <cellStyle name="Vérification 2 3 11 4 3 5" xfId="29372"/>
    <cellStyle name="Vérification 2 3 11 4 4" xfId="7780"/>
    <cellStyle name="Vérification 2 3 11 4 4 2" xfId="24004"/>
    <cellStyle name="Vérification 2 3 11 4 4 2 2" xfId="36011"/>
    <cellStyle name="Vérification 2 3 11 4 4 3" xfId="13787"/>
    <cellStyle name="Vérification 2 3 11 4 4 4" xfId="30008"/>
    <cellStyle name="Vérification 2 3 11 4 5" xfId="18895"/>
    <cellStyle name="Vérification 2 3 11 4 5 2" xfId="33009"/>
    <cellStyle name="Vérification 2 3 11 4 6" xfId="11136"/>
    <cellStyle name="Vérification 2 3 11 4 7" xfId="27357"/>
    <cellStyle name="Vérification 2 3 11 5" xfId="4238"/>
    <cellStyle name="Vérification 2 3 11 5 2" xfId="6818"/>
    <cellStyle name="Vérification 2 3 11 5 2 2" xfId="9114"/>
    <cellStyle name="Vérification 2 3 11 5 2 2 2" xfId="25338"/>
    <cellStyle name="Vérification 2 3 11 5 2 2 2 2" xfId="37345"/>
    <cellStyle name="Vérification 2 3 11 5 2 2 3" xfId="15121"/>
    <cellStyle name="Vérification 2 3 11 5 2 2 4" xfId="31342"/>
    <cellStyle name="Vérification 2 3 11 5 2 3" xfId="23042"/>
    <cellStyle name="Vérification 2 3 11 5 2 3 2" xfId="35049"/>
    <cellStyle name="Vérification 2 3 11 5 2 4" xfId="12818"/>
    <cellStyle name="Vérification 2 3 11 5 2 5" xfId="29039"/>
    <cellStyle name="Vérification 2 3 11 5 3" xfId="3568"/>
    <cellStyle name="Vérification 2 3 11 5 3 2" xfId="19796"/>
    <cellStyle name="Vérification 2 3 11 5 3 2 2" xfId="33910"/>
    <cellStyle name="Vérification 2 3 11 5 3 3" xfId="11565"/>
    <cellStyle name="Vérification 2 3 11 5 3 4" xfId="27786"/>
    <cellStyle name="Vérification 2 3 11 5 4" xfId="20464"/>
    <cellStyle name="Vérification 2 3 11 5 4 2" xfId="34253"/>
    <cellStyle name="Vérification 2 3 11 5 5" xfId="10793"/>
    <cellStyle name="Vérification 2 3 11 5 6" xfId="27016"/>
    <cellStyle name="Vérification 2 3 11 6" xfId="3106"/>
    <cellStyle name="Vérification 2 3 11 6 2" xfId="8158"/>
    <cellStyle name="Vérification 2 3 11 6 2 2" xfId="24382"/>
    <cellStyle name="Vérification 2 3 11 6 2 2 2" xfId="36389"/>
    <cellStyle name="Vérification 2 3 11 6 2 3" xfId="14165"/>
    <cellStyle name="Vérification 2 3 11 6 2 4" xfId="30386"/>
    <cellStyle name="Vérification 2 3 11 6 3" xfId="9781"/>
    <cellStyle name="Vérification 2 3 11 6 3 2" xfId="26005"/>
    <cellStyle name="Vérification 2 3 11 6 3 2 2" xfId="38012"/>
    <cellStyle name="Vérification 2 3 11 6 3 3" xfId="15788"/>
    <cellStyle name="Vérification 2 3 11 6 3 4" xfId="32009"/>
    <cellStyle name="Vérification 2 3 11 6 4" xfId="19334"/>
    <cellStyle name="Vérification 2 3 11 6 4 2" xfId="33448"/>
    <cellStyle name="Vérification 2 3 11 6 5" xfId="11713"/>
    <cellStyle name="Vérification 2 3 11 6 6" xfId="27934"/>
    <cellStyle name="Vérification 2 3 11 7" xfId="3547"/>
    <cellStyle name="Vérification 2 3 11 7 2" xfId="8505"/>
    <cellStyle name="Vérification 2 3 11 7 2 2" xfId="24729"/>
    <cellStyle name="Vérification 2 3 11 7 2 2 2" xfId="36736"/>
    <cellStyle name="Vérification 2 3 11 7 2 3" xfId="14512"/>
    <cellStyle name="Vérification 2 3 11 7 2 4" xfId="30733"/>
    <cellStyle name="Vérification 2 3 11 7 3" xfId="19775"/>
    <cellStyle name="Vérification 2 3 11 7 3 2" xfId="33889"/>
    <cellStyle name="Vérification 2 3 11 7 4" xfId="12060"/>
    <cellStyle name="Vérification 2 3 11 7 5" xfId="28281"/>
    <cellStyle name="Vérification 2 3 11 8" xfId="3777"/>
    <cellStyle name="Vérification 2 3 11 8 2" xfId="20005"/>
    <cellStyle name="Vérification 2 3 11 8 2 2" xfId="34119"/>
    <cellStyle name="Vérification 2 3 11 8 3" xfId="11609"/>
    <cellStyle name="Vérification 2 3 11 8 4" xfId="27830"/>
    <cellStyle name="Vérification 2 3 11 9" xfId="16780"/>
    <cellStyle name="Vérification 2 3 11 9 2" xfId="32676"/>
    <cellStyle name="Vérification 2 3 12" xfId="584"/>
    <cellStyle name="Vérification 2 3 12 10" xfId="10471"/>
    <cellStyle name="Vérification 2 3 12 11" xfId="26696"/>
    <cellStyle name="Vérification 2 3 12 2" xfId="1390"/>
    <cellStyle name="Vérification 2 3 12 2 2" xfId="2868"/>
    <cellStyle name="Vérification 2 3 12 2 2 2" xfId="6556"/>
    <cellStyle name="Vérification 2 3 12 2 2 2 2" xfId="8937"/>
    <cellStyle name="Vérification 2 3 12 2 2 2 2 2" xfId="25161"/>
    <cellStyle name="Vérification 2 3 12 2 2 2 2 2 2" xfId="37168"/>
    <cellStyle name="Vérification 2 3 12 2 2 2 2 3" xfId="14944"/>
    <cellStyle name="Vérification 2 3 12 2 2 2 2 4" xfId="31165"/>
    <cellStyle name="Vérification 2 3 12 2 2 2 3" xfId="10315"/>
    <cellStyle name="Vérification 2 3 12 2 2 2 3 2" xfId="26539"/>
    <cellStyle name="Vérification 2 3 12 2 2 2 3 2 2" xfId="38546"/>
    <cellStyle name="Vérification 2 3 12 2 2 2 3 3" xfId="16322"/>
    <cellStyle name="Vérification 2 3 12 2 2 2 3 4" xfId="32543"/>
    <cellStyle name="Vérification 2 3 12 2 2 2 4" xfId="22780"/>
    <cellStyle name="Vérification 2 3 12 2 2 2 4 2" xfId="34787"/>
    <cellStyle name="Vérification 2 3 12 2 2 2 5" xfId="12641"/>
    <cellStyle name="Vérification 2 3 12 2 2 2 6" xfId="28862"/>
    <cellStyle name="Vérification 2 3 12 2 2 3" xfId="7604"/>
    <cellStyle name="Vérification 2 3 12 2 2 3 2" xfId="9648"/>
    <cellStyle name="Vérification 2 3 12 2 2 3 2 2" xfId="25872"/>
    <cellStyle name="Vérification 2 3 12 2 2 3 2 2 2" xfId="37879"/>
    <cellStyle name="Vérification 2 3 12 2 2 3 2 3" xfId="15655"/>
    <cellStyle name="Vérification 2 3 12 2 2 3 2 4" xfId="31876"/>
    <cellStyle name="Vérification 2 3 12 2 2 3 3" xfId="23828"/>
    <cellStyle name="Vérification 2 3 12 2 2 3 3 2" xfId="35835"/>
    <cellStyle name="Vérification 2 3 12 2 2 3 4" xfId="13352"/>
    <cellStyle name="Vérification 2 3 12 2 2 3 5" xfId="29573"/>
    <cellStyle name="Vérification 2 3 12 2 2 4" xfId="7981"/>
    <cellStyle name="Vérification 2 3 12 2 2 4 2" xfId="24205"/>
    <cellStyle name="Vérification 2 3 12 2 2 4 2 2" xfId="36212"/>
    <cellStyle name="Vérification 2 3 12 2 2 4 3" xfId="13988"/>
    <cellStyle name="Vérification 2 3 12 2 2 4 4" xfId="30209"/>
    <cellStyle name="Vérification 2 3 12 2 2 5" xfId="19096"/>
    <cellStyle name="Vérification 2 3 12 2 2 5 2" xfId="33210"/>
    <cellStyle name="Vérification 2 3 12 2 2 6" xfId="11337"/>
    <cellStyle name="Vérification 2 3 12 2 2 7" xfId="27558"/>
    <cellStyle name="Vérification 2 3 12 2 3" xfId="5087"/>
    <cellStyle name="Vérification 2 3 12 2 3 2" xfId="7114"/>
    <cellStyle name="Vérification 2 3 12 2 3 2 2" xfId="9315"/>
    <cellStyle name="Vérification 2 3 12 2 3 2 2 2" xfId="25539"/>
    <cellStyle name="Vérification 2 3 12 2 3 2 2 2 2" xfId="37546"/>
    <cellStyle name="Vérification 2 3 12 2 3 2 2 3" xfId="15322"/>
    <cellStyle name="Vérification 2 3 12 2 3 2 2 4" xfId="31543"/>
    <cellStyle name="Vérification 2 3 12 2 3 2 3" xfId="23338"/>
    <cellStyle name="Vérification 2 3 12 2 3 2 3 2" xfId="35345"/>
    <cellStyle name="Vérification 2 3 12 2 3 2 4" xfId="13019"/>
    <cellStyle name="Vérification 2 3 12 2 3 2 5" xfId="29240"/>
    <cellStyle name="Vérification 2 3 12 2 3 3" xfId="7017"/>
    <cellStyle name="Vérification 2 3 12 2 3 3 2" xfId="23241"/>
    <cellStyle name="Vérification 2 3 12 2 3 3 2 2" xfId="35248"/>
    <cellStyle name="Vérification 2 3 12 2 3 3 3" xfId="11476"/>
    <cellStyle name="Vérification 2 3 12 2 3 3 4" xfId="27697"/>
    <cellStyle name="Vérification 2 3 12 2 3 4" xfId="21313"/>
    <cellStyle name="Vérification 2 3 12 2 3 4 2" xfId="34454"/>
    <cellStyle name="Vérification 2 3 12 2 3 5" xfId="11001"/>
    <cellStyle name="Vérification 2 3 12 2 3 6" xfId="27224"/>
    <cellStyle name="Vérification 2 3 12 2 4" xfId="3478"/>
    <cellStyle name="Vérification 2 3 12 2 4 2" xfId="8445"/>
    <cellStyle name="Vérification 2 3 12 2 4 2 2" xfId="24669"/>
    <cellStyle name="Vérification 2 3 12 2 4 2 2 2" xfId="36676"/>
    <cellStyle name="Vérification 2 3 12 2 4 2 3" xfId="14452"/>
    <cellStyle name="Vérification 2 3 12 2 4 2 4" xfId="30673"/>
    <cellStyle name="Vérification 2 3 12 2 4 3" xfId="9982"/>
    <cellStyle name="Vérification 2 3 12 2 4 3 2" xfId="26206"/>
    <cellStyle name="Vérification 2 3 12 2 4 3 2 2" xfId="38213"/>
    <cellStyle name="Vérification 2 3 12 2 4 3 3" xfId="15989"/>
    <cellStyle name="Vérification 2 3 12 2 4 3 4" xfId="32210"/>
    <cellStyle name="Vérification 2 3 12 2 4 4" xfId="19706"/>
    <cellStyle name="Vérification 2 3 12 2 4 4 2" xfId="33820"/>
    <cellStyle name="Vérification 2 3 12 2 4 5" xfId="12000"/>
    <cellStyle name="Vérification 2 3 12 2 4 6" xfId="28221"/>
    <cellStyle name="Vérification 2 3 12 2 5" xfId="3582"/>
    <cellStyle name="Vérification 2 3 12 2 5 2" xfId="8522"/>
    <cellStyle name="Vérification 2 3 12 2 5 2 2" xfId="24746"/>
    <cellStyle name="Vérification 2 3 12 2 5 2 2 2" xfId="36753"/>
    <cellStyle name="Vérification 2 3 12 2 5 2 3" xfId="14529"/>
    <cellStyle name="Vérification 2 3 12 2 5 2 4" xfId="30750"/>
    <cellStyle name="Vérification 2 3 12 2 5 3" xfId="19810"/>
    <cellStyle name="Vérification 2 3 12 2 5 3 2" xfId="33924"/>
    <cellStyle name="Vérification 2 3 12 2 5 4" xfId="12077"/>
    <cellStyle name="Vérification 2 3 12 2 5 5" xfId="28298"/>
    <cellStyle name="Vérification 2 3 12 2 6" xfId="7228"/>
    <cellStyle name="Vérification 2 3 12 2 6 2" xfId="23452"/>
    <cellStyle name="Vérification 2 3 12 2 6 2 2" xfId="35459"/>
    <cellStyle name="Vérification 2 3 12 2 6 3" xfId="13612"/>
    <cellStyle name="Vérification 2 3 12 2 6 4" xfId="29833"/>
    <cellStyle name="Vérification 2 3 12 2 7" xfId="17629"/>
    <cellStyle name="Vérification 2 3 12 2 7 2" xfId="32877"/>
    <cellStyle name="Vérification 2 3 12 2 8" xfId="10649"/>
    <cellStyle name="Vérification 2 3 12 2 9" xfId="26874"/>
    <cellStyle name="Vérification 2 3 12 3" xfId="1181"/>
    <cellStyle name="Vérification 2 3 12 3 2" xfId="2779"/>
    <cellStyle name="Vérification 2 3 12 3 2 2" xfId="6467"/>
    <cellStyle name="Vérification 2 3 12 3 2 2 2" xfId="8848"/>
    <cellStyle name="Vérification 2 3 12 3 2 2 2 2" xfId="25072"/>
    <cellStyle name="Vérification 2 3 12 3 2 2 2 2 2" xfId="37079"/>
    <cellStyle name="Vérification 2 3 12 3 2 2 2 3" xfId="14855"/>
    <cellStyle name="Vérification 2 3 12 3 2 2 2 4" xfId="31076"/>
    <cellStyle name="Vérification 2 3 12 3 2 2 3" xfId="10226"/>
    <cellStyle name="Vérification 2 3 12 3 2 2 3 2" xfId="26450"/>
    <cellStyle name="Vérification 2 3 12 3 2 2 3 2 2" xfId="38457"/>
    <cellStyle name="Vérification 2 3 12 3 2 2 3 3" xfId="16233"/>
    <cellStyle name="Vérification 2 3 12 3 2 2 3 4" xfId="32454"/>
    <cellStyle name="Vérification 2 3 12 3 2 2 4" xfId="22691"/>
    <cellStyle name="Vérification 2 3 12 3 2 2 4 2" xfId="34698"/>
    <cellStyle name="Vérification 2 3 12 3 2 2 5" xfId="12552"/>
    <cellStyle name="Vérification 2 3 12 3 2 2 6" xfId="28773"/>
    <cellStyle name="Vérification 2 3 12 3 2 3" xfId="7515"/>
    <cellStyle name="Vérification 2 3 12 3 2 3 2" xfId="9559"/>
    <cellStyle name="Vérification 2 3 12 3 2 3 2 2" xfId="25783"/>
    <cellStyle name="Vérification 2 3 12 3 2 3 2 2 2" xfId="37790"/>
    <cellStyle name="Vérification 2 3 12 3 2 3 2 3" xfId="15566"/>
    <cellStyle name="Vérification 2 3 12 3 2 3 2 4" xfId="31787"/>
    <cellStyle name="Vérification 2 3 12 3 2 3 3" xfId="23739"/>
    <cellStyle name="Vérification 2 3 12 3 2 3 3 2" xfId="35746"/>
    <cellStyle name="Vérification 2 3 12 3 2 3 4" xfId="13263"/>
    <cellStyle name="Vérification 2 3 12 3 2 3 5" xfId="29484"/>
    <cellStyle name="Vérification 2 3 12 3 2 4" xfId="7892"/>
    <cellStyle name="Vérification 2 3 12 3 2 4 2" xfId="24116"/>
    <cellStyle name="Vérification 2 3 12 3 2 4 2 2" xfId="36123"/>
    <cellStyle name="Vérification 2 3 12 3 2 4 3" xfId="13899"/>
    <cellStyle name="Vérification 2 3 12 3 2 4 4" xfId="30120"/>
    <cellStyle name="Vérification 2 3 12 3 2 5" xfId="19007"/>
    <cellStyle name="Vérification 2 3 12 3 2 5 2" xfId="33121"/>
    <cellStyle name="Vérification 2 3 12 3 2 6" xfId="11248"/>
    <cellStyle name="Vérification 2 3 12 3 2 7" xfId="27469"/>
    <cellStyle name="Vérification 2 3 12 3 3" xfId="4878"/>
    <cellStyle name="Vérification 2 3 12 3 3 2" xfId="7012"/>
    <cellStyle name="Vérification 2 3 12 3 3 2 2" xfId="9226"/>
    <cellStyle name="Vérification 2 3 12 3 3 2 2 2" xfId="25450"/>
    <cellStyle name="Vérification 2 3 12 3 3 2 2 2 2" xfId="37457"/>
    <cellStyle name="Vérification 2 3 12 3 3 2 2 3" xfId="15233"/>
    <cellStyle name="Vérification 2 3 12 3 3 2 2 4" xfId="31454"/>
    <cellStyle name="Vérification 2 3 12 3 3 2 3" xfId="23236"/>
    <cellStyle name="Vérification 2 3 12 3 3 2 3 2" xfId="35243"/>
    <cellStyle name="Vérification 2 3 12 3 3 2 4" xfId="12930"/>
    <cellStyle name="Vérification 2 3 12 3 3 2 5" xfId="29151"/>
    <cellStyle name="Vérification 2 3 12 3 3 3" xfId="6921"/>
    <cellStyle name="Vérification 2 3 12 3 3 3 2" xfId="23145"/>
    <cellStyle name="Vérification 2 3 12 3 3 3 2 2" xfId="35152"/>
    <cellStyle name="Vérification 2 3 12 3 3 3 3" xfId="11470"/>
    <cellStyle name="Vérification 2 3 12 3 3 3 4" xfId="27691"/>
    <cellStyle name="Vérification 2 3 12 3 3 4" xfId="21104"/>
    <cellStyle name="Vérification 2 3 12 3 3 4 2" xfId="34365"/>
    <cellStyle name="Vérification 2 3 12 3 3 5" xfId="10912"/>
    <cellStyle name="Vérification 2 3 12 3 3 6" xfId="27135"/>
    <cellStyle name="Vérification 2 3 12 3 4" xfId="3364"/>
    <cellStyle name="Vérification 2 3 12 3 4 2" xfId="8340"/>
    <cellStyle name="Vérification 2 3 12 3 4 2 2" xfId="24564"/>
    <cellStyle name="Vérification 2 3 12 3 4 2 2 2" xfId="36571"/>
    <cellStyle name="Vérification 2 3 12 3 4 2 3" xfId="14347"/>
    <cellStyle name="Vérification 2 3 12 3 4 2 4" xfId="30568"/>
    <cellStyle name="Vérification 2 3 12 3 4 3" xfId="9893"/>
    <cellStyle name="Vérification 2 3 12 3 4 3 2" xfId="26117"/>
    <cellStyle name="Vérification 2 3 12 3 4 3 2 2" xfId="38124"/>
    <cellStyle name="Vérification 2 3 12 3 4 3 3" xfId="15900"/>
    <cellStyle name="Vérification 2 3 12 3 4 3 4" xfId="32121"/>
    <cellStyle name="Vérification 2 3 12 3 4 4" xfId="19592"/>
    <cellStyle name="Vérification 2 3 12 3 4 4 2" xfId="33706"/>
    <cellStyle name="Vérification 2 3 12 3 4 5" xfId="11895"/>
    <cellStyle name="Vérification 2 3 12 3 4 6" xfId="28116"/>
    <cellStyle name="Vérification 2 3 12 3 5" xfId="3643"/>
    <cellStyle name="Vérification 2 3 12 3 5 2" xfId="8556"/>
    <cellStyle name="Vérification 2 3 12 3 5 2 2" xfId="24780"/>
    <cellStyle name="Vérification 2 3 12 3 5 2 2 2" xfId="36787"/>
    <cellStyle name="Vérification 2 3 12 3 5 2 3" xfId="14563"/>
    <cellStyle name="Vérification 2 3 12 3 5 2 4" xfId="30784"/>
    <cellStyle name="Vérification 2 3 12 3 5 3" xfId="19871"/>
    <cellStyle name="Vérification 2 3 12 3 5 3 2" xfId="33985"/>
    <cellStyle name="Vérification 2 3 12 3 5 4" xfId="12111"/>
    <cellStyle name="Vérification 2 3 12 3 5 5" xfId="28332"/>
    <cellStyle name="Vérification 2 3 12 3 6" xfId="6919"/>
    <cellStyle name="Vérification 2 3 12 3 6 2" xfId="23143"/>
    <cellStyle name="Vérification 2 3 12 3 6 2 2" xfId="35150"/>
    <cellStyle name="Vérification 2 3 12 3 6 3" xfId="11503"/>
    <cellStyle name="Vérification 2 3 12 3 6 4" xfId="27724"/>
    <cellStyle name="Vérification 2 3 12 3 7" xfId="17420"/>
    <cellStyle name="Vérification 2 3 12 3 7 2" xfId="32788"/>
    <cellStyle name="Vérification 2 3 12 3 8" xfId="10560"/>
    <cellStyle name="Vérification 2 3 12 3 9" xfId="26785"/>
    <cellStyle name="Vérification 2 3 12 4" xfId="2690"/>
    <cellStyle name="Vérification 2 3 12 4 2" xfId="6378"/>
    <cellStyle name="Vérification 2 3 12 4 2 2" xfId="8759"/>
    <cellStyle name="Vérification 2 3 12 4 2 2 2" xfId="24983"/>
    <cellStyle name="Vérification 2 3 12 4 2 2 2 2" xfId="36990"/>
    <cellStyle name="Vérification 2 3 12 4 2 2 3" xfId="14766"/>
    <cellStyle name="Vérification 2 3 12 4 2 2 4" xfId="30987"/>
    <cellStyle name="Vérification 2 3 12 4 2 3" xfId="10137"/>
    <cellStyle name="Vérification 2 3 12 4 2 3 2" xfId="26361"/>
    <cellStyle name="Vérification 2 3 12 4 2 3 2 2" xfId="38368"/>
    <cellStyle name="Vérification 2 3 12 4 2 3 3" xfId="16144"/>
    <cellStyle name="Vérification 2 3 12 4 2 3 4" xfId="32365"/>
    <cellStyle name="Vérification 2 3 12 4 2 4" xfId="22602"/>
    <cellStyle name="Vérification 2 3 12 4 2 4 2" xfId="34609"/>
    <cellStyle name="Vérification 2 3 12 4 2 5" xfId="12463"/>
    <cellStyle name="Vérification 2 3 12 4 2 6" xfId="28684"/>
    <cellStyle name="Vérification 2 3 12 4 3" xfId="7426"/>
    <cellStyle name="Vérification 2 3 12 4 3 2" xfId="9470"/>
    <cellStyle name="Vérification 2 3 12 4 3 2 2" xfId="25694"/>
    <cellStyle name="Vérification 2 3 12 4 3 2 2 2" xfId="37701"/>
    <cellStyle name="Vérification 2 3 12 4 3 2 3" xfId="15477"/>
    <cellStyle name="Vérification 2 3 12 4 3 2 4" xfId="31698"/>
    <cellStyle name="Vérification 2 3 12 4 3 3" xfId="23650"/>
    <cellStyle name="Vérification 2 3 12 4 3 3 2" xfId="35657"/>
    <cellStyle name="Vérification 2 3 12 4 3 4" xfId="13174"/>
    <cellStyle name="Vérification 2 3 12 4 3 5" xfId="29395"/>
    <cellStyle name="Vérification 2 3 12 4 4" xfId="7803"/>
    <cellStyle name="Vérification 2 3 12 4 4 2" xfId="24027"/>
    <cellStyle name="Vérification 2 3 12 4 4 2 2" xfId="36034"/>
    <cellStyle name="Vérification 2 3 12 4 4 3" xfId="13810"/>
    <cellStyle name="Vérification 2 3 12 4 4 4" xfId="30031"/>
    <cellStyle name="Vérification 2 3 12 4 5" xfId="18918"/>
    <cellStyle name="Vérification 2 3 12 4 5 2" xfId="33032"/>
    <cellStyle name="Vérification 2 3 12 4 6" xfId="11159"/>
    <cellStyle name="Vérification 2 3 12 4 7" xfId="27380"/>
    <cellStyle name="Vérification 2 3 12 5" xfId="4303"/>
    <cellStyle name="Vérification 2 3 12 5 2" xfId="6851"/>
    <cellStyle name="Vérification 2 3 12 5 2 2" xfId="9137"/>
    <cellStyle name="Vérification 2 3 12 5 2 2 2" xfId="25361"/>
    <cellStyle name="Vérification 2 3 12 5 2 2 2 2" xfId="37368"/>
    <cellStyle name="Vérification 2 3 12 5 2 2 3" xfId="15144"/>
    <cellStyle name="Vérification 2 3 12 5 2 2 4" xfId="31365"/>
    <cellStyle name="Vérification 2 3 12 5 2 3" xfId="23075"/>
    <cellStyle name="Vérification 2 3 12 5 2 3 2" xfId="35082"/>
    <cellStyle name="Vérification 2 3 12 5 2 4" xfId="12841"/>
    <cellStyle name="Vérification 2 3 12 5 2 5" xfId="29062"/>
    <cellStyle name="Vérification 2 3 12 5 3" xfId="6881"/>
    <cellStyle name="Vérification 2 3 12 5 3 2" xfId="23105"/>
    <cellStyle name="Vérification 2 3 12 5 3 2 2" xfId="35112"/>
    <cellStyle name="Vérification 2 3 12 5 3 3" xfId="12297"/>
    <cellStyle name="Vérification 2 3 12 5 3 4" xfId="28518"/>
    <cellStyle name="Vérification 2 3 12 5 4" xfId="20529"/>
    <cellStyle name="Vérification 2 3 12 5 4 2" xfId="34276"/>
    <cellStyle name="Vérification 2 3 12 5 5" xfId="10818"/>
    <cellStyle name="Vérification 2 3 12 5 6" xfId="27041"/>
    <cellStyle name="Vérification 2 3 12 6" xfId="3142"/>
    <cellStyle name="Vérification 2 3 12 6 2" xfId="8186"/>
    <cellStyle name="Vérification 2 3 12 6 2 2" xfId="24410"/>
    <cellStyle name="Vérification 2 3 12 6 2 2 2" xfId="36417"/>
    <cellStyle name="Vérification 2 3 12 6 2 3" xfId="14193"/>
    <cellStyle name="Vérification 2 3 12 6 2 4" xfId="30414"/>
    <cellStyle name="Vérification 2 3 12 6 3" xfId="9804"/>
    <cellStyle name="Vérification 2 3 12 6 3 2" xfId="26028"/>
    <cellStyle name="Vérification 2 3 12 6 3 2 2" xfId="38035"/>
    <cellStyle name="Vérification 2 3 12 6 3 3" xfId="15811"/>
    <cellStyle name="Vérification 2 3 12 6 3 4" xfId="32032"/>
    <cellStyle name="Vérification 2 3 12 6 4" xfId="19370"/>
    <cellStyle name="Vérification 2 3 12 6 4 2" xfId="33484"/>
    <cellStyle name="Vérification 2 3 12 6 5" xfId="11741"/>
    <cellStyle name="Vérification 2 3 12 6 6" xfId="27962"/>
    <cellStyle name="Vérification 2 3 12 7" xfId="3590"/>
    <cellStyle name="Vérification 2 3 12 7 2" xfId="8526"/>
    <cellStyle name="Vérification 2 3 12 7 2 2" xfId="24750"/>
    <cellStyle name="Vérification 2 3 12 7 2 2 2" xfId="36757"/>
    <cellStyle name="Vérification 2 3 12 7 2 3" xfId="14533"/>
    <cellStyle name="Vérification 2 3 12 7 2 4" xfId="30754"/>
    <cellStyle name="Vérification 2 3 12 7 3" xfId="19818"/>
    <cellStyle name="Vérification 2 3 12 7 3 2" xfId="33932"/>
    <cellStyle name="Vérification 2 3 12 7 4" xfId="12081"/>
    <cellStyle name="Vérification 2 3 12 7 5" xfId="28302"/>
    <cellStyle name="Vérification 2 3 12 8" xfId="6872"/>
    <cellStyle name="Vérification 2 3 12 8 2" xfId="23096"/>
    <cellStyle name="Vérification 2 3 12 8 2 2" xfId="35103"/>
    <cellStyle name="Vérification 2 3 12 8 3" xfId="11572"/>
    <cellStyle name="Vérification 2 3 12 8 4" xfId="27793"/>
    <cellStyle name="Vérification 2 3 12 9" xfId="16845"/>
    <cellStyle name="Vérification 2 3 12 9 2" xfId="32699"/>
    <cellStyle name="Vérification 2 3 13" xfId="744"/>
    <cellStyle name="Vérification 2 3 13 10" xfId="26718"/>
    <cellStyle name="Vérification 2 3 13 2" xfId="1412"/>
    <cellStyle name="Vérification 2 3 13 2 2" xfId="2890"/>
    <cellStyle name="Vérification 2 3 13 2 2 2" xfId="6578"/>
    <cellStyle name="Vérification 2 3 13 2 2 2 2" xfId="8959"/>
    <cellStyle name="Vérification 2 3 13 2 2 2 2 2" xfId="25183"/>
    <cellStyle name="Vérification 2 3 13 2 2 2 2 2 2" xfId="37190"/>
    <cellStyle name="Vérification 2 3 13 2 2 2 2 3" xfId="14966"/>
    <cellStyle name="Vérification 2 3 13 2 2 2 2 4" xfId="31187"/>
    <cellStyle name="Vérification 2 3 13 2 2 2 3" xfId="10337"/>
    <cellStyle name="Vérification 2 3 13 2 2 2 3 2" xfId="26561"/>
    <cellStyle name="Vérification 2 3 13 2 2 2 3 2 2" xfId="38568"/>
    <cellStyle name="Vérification 2 3 13 2 2 2 3 3" xfId="16344"/>
    <cellStyle name="Vérification 2 3 13 2 2 2 3 4" xfId="32565"/>
    <cellStyle name="Vérification 2 3 13 2 2 2 4" xfId="22802"/>
    <cellStyle name="Vérification 2 3 13 2 2 2 4 2" xfId="34809"/>
    <cellStyle name="Vérification 2 3 13 2 2 2 5" xfId="12663"/>
    <cellStyle name="Vérification 2 3 13 2 2 2 6" xfId="28884"/>
    <cellStyle name="Vérification 2 3 13 2 2 3" xfId="7626"/>
    <cellStyle name="Vérification 2 3 13 2 2 3 2" xfId="9670"/>
    <cellStyle name="Vérification 2 3 13 2 2 3 2 2" xfId="25894"/>
    <cellStyle name="Vérification 2 3 13 2 2 3 2 2 2" xfId="37901"/>
    <cellStyle name="Vérification 2 3 13 2 2 3 2 3" xfId="15677"/>
    <cellStyle name="Vérification 2 3 13 2 2 3 2 4" xfId="31898"/>
    <cellStyle name="Vérification 2 3 13 2 2 3 3" xfId="23850"/>
    <cellStyle name="Vérification 2 3 13 2 2 3 3 2" xfId="35857"/>
    <cellStyle name="Vérification 2 3 13 2 2 3 4" xfId="13374"/>
    <cellStyle name="Vérification 2 3 13 2 2 3 5" xfId="29595"/>
    <cellStyle name="Vérification 2 3 13 2 2 4" xfId="8003"/>
    <cellStyle name="Vérification 2 3 13 2 2 4 2" xfId="24227"/>
    <cellStyle name="Vérification 2 3 13 2 2 4 2 2" xfId="36234"/>
    <cellStyle name="Vérification 2 3 13 2 2 4 3" xfId="14010"/>
    <cellStyle name="Vérification 2 3 13 2 2 4 4" xfId="30231"/>
    <cellStyle name="Vérification 2 3 13 2 2 5" xfId="19118"/>
    <cellStyle name="Vérification 2 3 13 2 2 5 2" xfId="33232"/>
    <cellStyle name="Vérification 2 3 13 2 2 6" xfId="11359"/>
    <cellStyle name="Vérification 2 3 13 2 2 7" xfId="27580"/>
    <cellStyle name="Vérification 2 3 13 2 3" xfId="5109"/>
    <cellStyle name="Vérification 2 3 13 2 3 2" xfId="7136"/>
    <cellStyle name="Vérification 2 3 13 2 3 2 2" xfId="9337"/>
    <cellStyle name="Vérification 2 3 13 2 3 2 2 2" xfId="25561"/>
    <cellStyle name="Vérification 2 3 13 2 3 2 2 2 2" xfId="37568"/>
    <cellStyle name="Vérification 2 3 13 2 3 2 2 3" xfId="15344"/>
    <cellStyle name="Vérification 2 3 13 2 3 2 2 4" xfId="31565"/>
    <cellStyle name="Vérification 2 3 13 2 3 2 3" xfId="23360"/>
    <cellStyle name="Vérification 2 3 13 2 3 2 3 2" xfId="35367"/>
    <cellStyle name="Vérification 2 3 13 2 3 2 4" xfId="13041"/>
    <cellStyle name="Vérification 2 3 13 2 3 2 5" xfId="29262"/>
    <cellStyle name="Vérification 2 3 13 2 3 3" xfId="3002"/>
    <cellStyle name="Vérification 2 3 13 2 3 3 2" xfId="19230"/>
    <cellStyle name="Vérification 2 3 13 2 3 3 2 2" xfId="33344"/>
    <cellStyle name="Vérification 2 3 13 2 3 3 3" xfId="12348"/>
    <cellStyle name="Vérification 2 3 13 2 3 3 4" xfId="28569"/>
    <cellStyle name="Vérification 2 3 13 2 3 4" xfId="21335"/>
    <cellStyle name="Vérification 2 3 13 2 3 4 2" xfId="34476"/>
    <cellStyle name="Vérification 2 3 13 2 3 5" xfId="11023"/>
    <cellStyle name="Vérification 2 3 13 2 3 6" xfId="27246"/>
    <cellStyle name="Vérification 2 3 13 2 4" xfId="3500"/>
    <cellStyle name="Vérification 2 3 13 2 4 2" xfId="8467"/>
    <cellStyle name="Vérification 2 3 13 2 4 2 2" xfId="24691"/>
    <cellStyle name="Vérification 2 3 13 2 4 2 2 2" xfId="36698"/>
    <cellStyle name="Vérification 2 3 13 2 4 2 3" xfId="14474"/>
    <cellStyle name="Vérification 2 3 13 2 4 2 4" xfId="30695"/>
    <cellStyle name="Vérification 2 3 13 2 4 3" xfId="10004"/>
    <cellStyle name="Vérification 2 3 13 2 4 3 2" xfId="26228"/>
    <cellStyle name="Vérification 2 3 13 2 4 3 2 2" xfId="38235"/>
    <cellStyle name="Vérification 2 3 13 2 4 3 3" xfId="16011"/>
    <cellStyle name="Vérification 2 3 13 2 4 3 4" xfId="32232"/>
    <cellStyle name="Vérification 2 3 13 2 4 4" xfId="19728"/>
    <cellStyle name="Vérification 2 3 13 2 4 4 2" xfId="33842"/>
    <cellStyle name="Vérification 2 3 13 2 4 5" xfId="12022"/>
    <cellStyle name="Vérification 2 3 13 2 4 6" xfId="28243"/>
    <cellStyle name="Vérification 2 3 13 2 5" xfId="3617"/>
    <cellStyle name="Vérification 2 3 13 2 5 2" xfId="8540"/>
    <cellStyle name="Vérification 2 3 13 2 5 2 2" xfId="24764"/>
    <cellStyle name="Vérification 2 3 13 2 5 2 2 2" xfId="36771"/>
    <cellStyle name="Vérification 2 3 13 2 5 2 3" xfId="14547"/>
    <cellStyle name="Vérification 2 3 13 2 5 2 4" xfId="30768"/>
    <cellStyle name="Vérification 2 3 13 2 5 3" xfId="19845"/>
    <cellStyle name="Vérification 2 3 13 2 5 3 2" xfId="33959"/>
    <cellStyle name="Vérification 2 3 13 2 5 4" xfId="12095"/>
    <cellStyle name="Vérification 2 3 13 2 5 5" xfId="28316"/>
    <cellStyle name="Vérification 2 3 13 2 6" xfId="6659"/>
    <cellStyle name="Vérification 2 3 13 2 6 2" xfId="22883"/>
    <cellStyle name="Vérification 2 3 13 2 6 2 2" xfId="34890"/>
    <cellStyle name="Vérification 2 3 13 2 6 3" xfId="12279"/>
    <cellStyle name="Vérification 2 3 13 2 6 4" xfId="28500"/>
    <cellStyle name="Vérification 2 3 13 2 7" xfId="17651"/>
    <cellStyle name="Vérification 2 3 13 2 7 2" xfId="32899"/>
    <cellStyle name="Vérification 2 3 13 2 8" xfId="10671"/>
    <cellStyle name="Vérification 2 3 13 2 9" xfId="26896"/>
    <cellStyle name="Vérification 2 3 13 3" xfId="2712"/>
    <cellStyle name="Vérification 2 3 13 3 2" xfId="6400"/>
    <cellStyle name="Vérification 2 3 13 3 2 2" xfId="8781"/>
    <cellStyle name="Vérification 2 3 13 3 2 2 2" xfId="25005"/>
    <cellStyle name="Vérification 2 3 13 3 2 2 2 2" xfId="37012"/>
    <cellStyle name="Vérification 2 3 13 3 2 2 3" xfId="14788"/>
    <cellStyle name="Vérification 2 3 13 3 2 2 4" xfId="31009"/>
    <cellStyle name="Vérification 2 3 13 3 2 3" xfId="10159"/>
    <cellStyle name="Vérification 2 3 13 3 2 3 2" xfId="26383"/>
    <cellStyle name="Vérification 2 3 13 3 2 3 2 2" xfId="38390"/>
    <cellStyle name="Vérification 2 3 13 3 2 3 3" xfId="16166"/>
    <cellStyle name="Vérification 2 3 13 3 2 3 4" xfId="32387"/>
    <cellStyle name="Vérification 2 3 13 3 2 4" xfId="22624"/>
    <cellStyle name="Vérification 2 3 13 3 2 4 2" xfId="34631"/>
    <cellStyle name="Vérification 2 3 13 3 2 5" xfId="12485"/>
    <cellStyle name="Vérification 2 3 13 3 2 6" xfId="28706"/>
    <cellStyle name="Vérification 2 3 13 3 3" xfId="7448"/>
    <cellStyle name="Vérification 2 3 13 3 3 2" xfId="9492"/>
    <cellStyle name="Vérification 2 3 13 3 3 2 2" xfId="25716"/>
    <cellStyle name="Vérification 2 3 13 3 3 2 2 2" xfId="37723"/>
    <cellStyle name="Vérification 2 3 13 3 3 2 3" xfId="15499"/>
    <cellStyle name="Vérification 2 3 13 3 3 2 4" xfId="31720"/>
    <cellStyle name="Vérification 2 3 13 3 3 3" xfId="23672"/>
    <cellStyle name="Vérification 2 3 13 3 3 3 2" xfId="35679"/>
    <cellStyle name="Vérification 2 3 13 3 3 4" xfId="13196"/>
    <cellStyle name="Vérification 2 3 13 3 3 5" xfId="29417"/>
    <cellStyle name="Vérification 2 3 13 3 4" xfId="7825"/>
    <cellStyle name="Vérification 2 3 13 3 4 2" xfId="24049"/>
    <cellStyle name="Vérification 2 3 13 3 4 2 2" xfId="36056"/>
    <cellStyle name="Vérification 2 3 13 3 4 3" xfId="13832"/>
    <cellStyle name="Vérification 2 3 13 3 4 4" xfId="30053"/>
    <cellStyle name="Vérification 2 3 13 3 5" xfId="18940"/>
    <cellStyle name="Vérification 2 3 13 3 5 2" xfId="33054"/>
    <cellStyle name="Vérification 2 3 13 3 6" xfId="11181"/>
    <cellStyle name="Vérification 2 3 13 3 7" xfId="27402"/>
    <cellStyle name="Vérification 2 3 13 4" xfId="4445"/>
    <cellStyle name="Vérification 2 3 13 4 2" xfId="6890"/>
    <cellStyle name="Vérification 2 3 13 4 2 2" xfId="9159"/>
    <cellStyle name="Vérification 2 3 13 4 2 2 2" xfId="25383"/>
    <cellStyle name="Vérification 2 3 13 4 2 2 2 2" xfId="37390"/>
    <cellStyle name="Vérification 2 3 13 4 2 2 3" xfId="15166"/>
    <cellStyle name="Vérification 2 3 13 4 2 2 4" xfId="31387"/>
    <cellStyle name="Vérification 2 3 13 4 2 3" xfId="23114"/>
    <cellStyle name="Vérification 2 3 13 4 2 3 2" xfId="35121"/>
    <cellStyle name="Vérification 2 3 13 4 2 4" xfId="12863"/>
    <cellStyle name="Vérification 2 3 13 4 2 5" xfId="29084"/>
    <cellStyle name="Vérification 2 3 13 4 3" xfId="3100"/>
    <cellStyle name="Vérification 2 3 13 4 3 2" xfId="19328"/>
    <cellStyle name="Vérification 2 3 13 4 3 2 2" xfId="33442"/>
    <cellStyle name="Vérification 2 3 13 4 3 3" xfId="11573"/>
    <cellStyle name="Vérification 2 3 13 4 3 4" xfId="27794"/>
    <cellStyle name="Vérification 2 3 13 4 4" xfId="20671"/>
    <cellStyle name="Vérification 2 3 13 4 4 2" xfId="34298"/>
    <cellStyle name="Vérification 2 3 13 4 5" xfId="10844"/>
    <cellStyle name="Vérification 2 3 13 4 6" xfId="27067"/>
    <cellStyle name="Vérification 2 3 13 5" xfId="3201"/>
    <cellStyle name="Vérification 2 3 13 5 2" xfId="8222"/>
    <cellStyle name="Vérification 2 3 13 5 2 2" xfId="24446"/>
    <cellStyle name="Vérification 2 3 13 5 2 2 2" xfId="36453"/>
    <cellStyle name="Vérification 2 3 13 5 2 3" xfId="14229"/>
    <cellStyle name="Vérification 2 3 13 5 2 4" xfId="30450"/>
    <cellStyle name="Vérification 2 3 13 5 3" xfId="9826"/>
    <cellStyle name="Vérification 2 3 13 5 3 2" xfId="26050"/>
    <cellStyle name="Vérification 2 3 13 5 3 2 2" xfId="38057"/>
    <cellStyle name="Vérification 2 3 13 5 3 3" xfId="15833"/>
    <cellStyle name="Vérification 2 3 13 5 3 4" xfId="32054"/>
    <cellStyle name="Vérification 2 3 13 5 4" xfId="19429"/>
    <cellStyle name="Vérification 2 3 13 5 4 2" xfId="33543"/>
    <cellStyle name="Vérification 2 3 13 5 5" xfId="11777"/>
    <cellStyle name="Vérification 2 3 13 5 6" xfId="27998"/>
    <cellStyle name="Vérification 2 3 13 6" xfId="2985"/>
    <cellStyle name="Vérification 2 3 13 6 2" xfId="8076"/>
    <cellStyle name="Vérification 2 3 13 6 2 2" xfId="24300"/>
    <cellStyle name="Vérification 2 3 13 6 2 2 2" xfId="36307"/>
    <cellStyle name="Vérification 2 3 13 6 2 3" xfId="14083"/>
    <cellStyle name="Vérification 2 3 13 6 2 4" xfId="30304"/>
    <cellStyle name="Vérification 2 3 13 6 3" xfId="19213"/>
    <cellStyle name="Vérification 2 3 13 6 3 2" xfId="33327"/>
    <cellStyle name="Vérification 2 3 13 6 4" xfId="11631"/>
    <cellStyle name="Vérification 2 3 13 6 5" xfId="27852"/>
    <cellStyle name="Vérification 2 3 13 7" xfId="3057"/>
    <cellStyle name="Vérification 2 3 13 7 2" xfId="19285"/>
    <cellStyle name="Vérification 2 3 13 7 2 2" xfId="33399"/>
    <cellStyle name="Vérification 2 3 13 7 3" xfId="12321"/>
    <cellStyle name="Vérification 2 3 13 7 4" xfId="28542"/>
    <cellStyle name="Vérification 2 3 13 8" xfId="16987"/>
    <cellStyle name="Vérification 2 3 13 8 2" xfId="32721"/>
    <cellStyle name="Vérification 2 3 13 9" xfId="10493"/>
    <cellStyle name="Vérification 2 3 14" xfId="1323"/>
    <cellStyle name="Vérification 2 3 14 2" xfId="2801"/>
    <cellStyle name="Vérification 2 3 14 2 2" xfId="6489"/>
    <cellStyle name="Vérification 2 3 14 2 2 2" xfId="8870"/>
    <cellStyle name="Vérification 2 3 14 2 2 2 2" xfId="25094"/>
    <cellStyle name="Vérification 2 3 14 2 2 2 2 2" xfId="37101"/>
    <cellStyle name="Vérification 2 3 14 2 2 2 3" xfId="14877"/>
    <cellStyle name="Vérification 2 3 14 2 2 2 4" xfId="31098"/>
    <cellStyle name="Vérification 2 3 14 2 2 3" xfId="10248"/>
    <cellStyle name="Vérification 2 3 14 2 2 3 2" xfId="26472"/>
    <cellStyle name="Vérification 2 3 14 2 2 3 2 2" xfId="38479"/>
    <cellStyle name="Vérification 2 3 14 2 2 3 3" xfId="16255"/>
    <cellStyle name="Vérification 2 3 14 2 2 3 4" xfId="32476"/>
    <cellStyle name="Vérification 2 3 14 2 2 4" xfId="22713"/>
    <cellStyle name="Vérification 2 3 14 2 2 4 2" xfId="34720"/>
    <cellStyle name="Vérification 2 3 14 2 2 5" xfId="12574"/>
    <cellStyle name="Vérification 2 3 14 2 2 6" xfId="28795"/>
    <cellStyle name="Vérification 2 3 14 2 3" xfId="7537"/>
    <cellStyle name="Vérification 2 3 14 2 3 2" xfId="9581"/>
    <cellStyle name="Vérification 2 3 14 2 3 2 2" xfId="25805"/>
    <cellStyle name="Vérification 2 3 14 2 3 2 2 2" xfId="37812"/>
    <cellStyle name="Vérification 2 3 14 2 3 2 3" xfId="15588"/>
    <cellStyle name="Vérification 2 3 14 2 3 2 4" xfId="31809"/>
    <cellStyle name="Vérification 2 3 14 2 3 3" xfId="23761"/>
    <cellStyle name="Vérification 2 3 14 2 3 3 2" xfId="35768"/>
    <cellStyle name="Vérification 2 3 14 2 3 4" xfId="13285"/>
    <cellStyle name="Vérification 2 3 14 2 3 5" xfId="29506"/>
    <cellStyle name="Vérification 2 3 14 2 4" xfId="7914"/>
    <cellStyle name="Vérification 2 3 14 2 4 2" xfId="24138"/>
    <cellStyle name="Vérification 2 3 14 2 4 2 2" xfId="36145"/>
    <cellStyle name="Vérification 2 3 14 2 4 3" xfId="13921"/>
    <cellStyle name="Vérification 2 3 14 2 4 4" xfId="30142"/>
    <cellStyle name="Vérification 2 3 14 2 5" xfId="19029"/>
    <cellStyle name="Vérification 2 3 14 2 5 2" xfId="33143"/>
    <cellStyle name="Vérification 2 3 14 2 6" xfId="11270"/>
    <cellStyle name="Vérification 2 3 14 2 7" xfId="27491"/>
    <cellStyle name="Vérification 2 3 14 3" xfId="5020"/>
    <cellStyle name="Vérification 2 3 14 3 2" xfId="7047"/>
    <cellStyle name="Vérification 2 3 14 3 2 2" xfId="9248"/>
    <cellStyle name="Vérification 2 3 14 3 2 2 2" xfId="25472"/>
    <cellStyle name="Vérification 2 3 14 3 2 2 2 2" xfId="37479"/>
    <cellStyle name="Vérification 2 3 14 3 2 2 3" xfId="15255"/>
    <cellStyle name="Vérification 2 3 14 3 2 2 4" xfId="31476"/>
    <cellStyle name="Vérification 2 3 14 3 2 3" xfId="23271"/>
    <cellStyle name="Vérification 2 3 14 3 2 3 2" xfId="35278"/>
    <cellStyle name="Vérification 2 3 14 3 2 4" xfId="12952"/>
    <cellStyle name="Vérification 2 3 14 3 2 5" xfId="29173"/>
    <cellStyle name="Vérification 2 3 14 3 3" xfId="2992"/>
    <cellStyle name="Vérification 2 3 14 3 3 2" xfId="19220"/>
    <cellStyle name="Vérification 2 3 14 3 3 2 2" xfId="33334"/>
    <cellStyle name="Vérification 2 3 14 3 3 3" xfId="13496"/>
    <cellStyle name="Vérification 2 3 14 3 3 4" xfId="29717"/>
    <cellStyle name="Vérification 2 3 14 3 4" xfId="21246"/>
    <cellStyle name="Vérification 2 3 14 3 4 2" xfId="34387"/>
    <cellStyle name="Vérification 2 3 14 3 5" xfId="10934"/>
    <cellStyle name="Vérification 2 3 14 3 6" xfId="27157"/>
    <cellStyle name="Vérification 2 3 14 4" xfId="3411"/>
    <cellStyle name="Vérification 2 3 14 4 2" xfId="8378"/>
    <cellStyle name="Vérification 2 3 14 4 2 2" xfId="24602"/>
    <cellStyle name="Vérification 2 3 14 4 2 2 2" xfId="36609"/>
    <cellStyle name="Vérification 2 3 14 4 2 3" xfId="14385"/>
    <cellStyle name="Vérification 2 3 14 4 2 4" xfId="30606"/>
    <cellStyle name="Vérification 2 3 14 4 3" xfId="9915"/>
    <cellStyle name="Vérification 2 3 14 4 3 2" xfId="26139"/>
    <cellStyle name="Vérification 2 3 14 4 3 2 2" xfId="38146"/>
    <cellStyle name="Vérification 2 3 14 4 3 3" xfId="15922"/>
    <cellStyle name="Vérification 2 3 14 4 3 4" xfId="32143"/>
    <cellStyle name="Vérification 2 3 14 4 4" xfId="19639"/>
    <cellStyle name="Vérification 2 3 14 4 4 2" xfId="33753"/>
    <cellStyle name="Vérification 2 3 14 4 5" xfId="11933"/>
    <cellStyle name="Vérification 2 3 14 4 6" xfId="28154"/>
    <cellStyle name="Vérification 2 3 14 5" xfId="3376"/>
    <cellStyle name="Vérification 2 3 14 5 2" xfId="8352"/>
    <cellStyle name="Vérification 2 3 14 5 2 2" xfId="24576"/>
    <cellStyle name="Vérification 2 3 14 5 2 2 2" xfId="36583"/>
    <cellStyle name="Vérification 2 3 14 5 2 3" xfId="14359"/>
    <cellStyle name="Vérification 2 3 14 5 2 4" xfId="30580"/>
    <cellStyle name="Vérification 2 3 14 5 3" xfId="19604"/>
    <cellStyle name="Vérification 2 3 14 5 3 2" xfId="33718"/>
    <cellStyle name="Vérification 2 3 14 5 4" xfId="11907"/>
    <cellStyle name="Vérification 2 3 14 5 5" xfId="28128"/>
    <cellStyle name="Vérification 2 3 14 6" xfId="6803"/>
    <cellStyle name="Vérification 2 3 14 6 2" xfId="23027"/>
    <cellStyle name="Vérification 2 3 14 6 2 2" xfId="35034"/>
    <cellStyle name="Vérification 2 3 14 6 3" xfId="10814"/>
    <cellStyle name="Vérification 2 3 14 6 4" xfId="27037"/>
    <cellStyle name="Vérification 2 3 14 7" xfId="17562"/>
    <cellStyle name="Vérification 2 3 14 7 2" xfId="32810"/>
    <cellStyle name="Vérification 2 3 14 8" xfId="10582"/>
    <cellStyle name="Vérification 2 3 14 9" xfId="26807"/>
    <cellStyle name="Vérification 2 3 15" xfId="2458"/>
    <cellStyle name="Vérification 2 3 15 2" xfId="2913"/>
    <cellStyle name="Vérification 2 3 15 2 2" xfId="6601"/>
    <cellStyle name="Vérification 2 3 15 2 2 2" xfId="8982"/>
    <cellStyle name="Vérification 2 3 15 2 2 2 2" xfId="25206"/>
    <cellStyle name="Vérification 2 3 15 2 2 2 2 2" xfId="37213"/>
    <cellStyle name="Vérification 2 3 15 2 2 2 3" xfId="14989"/>
    <cellStyle name="Vérification 2 3 15 2 2 2 4" xfId="31210"/>
    <cellStyle name="Vérification 2 3 15 2 2 3" xfId="10360"/>
    <cellStyle name="Vérification 2 3 15 2 2 3 2" xfId="26584"/>
    <cellStyle name="Vérification 2 3 15 2 2 3 2 2" xfId="38591"/>
    <cellStyle name="Vérification 2 3 15 2 2 3 3" xfId="16367"/>
    <cellStyle name="Vérification 2 3 15 2 2 3 4" xfId="32588"/>
    <cellStyle name="Vérification 2 3 15 2 2 4" xfId="22825"/>
    <cellStyle name="Vérification 2 3 15 2 2 4 2" xfId="34832"/>
    <cellStyle name="Vérification 2 3 15 2 2 5" xfId="12686"/>
    <cellStyle name="Vérification 2 3 15 2 2 6" xfId="28907"/>
    <cellStyle name="Vérification 2 3 15 2 3" xfId="7649"/>
    <cellStyle name="Vérification 2 3 15 2 3 2" xfId="9693"/>
    <cellStyle name="Vérification 2 3 15 2 3 2 2" xfId="25917"/>
    <cellStyle name="Vérification 2 3 15 2 3 2 2 2" xfId="37924"/>
    <cellStyle name="Vérification 2 3 15 2 3 2 3" xfId="15700"/>
    <cellStyle name="Vérification 2 3 15 2 3 2 4" xfId="31921"/>
    <cellStyle name="Vérification 2 3 15 2 3 3" xfId="23873"/>
    <cellStyle name="Vérification 2 3 15 2 3 3 2" xfId="35880"/>
    <cellStyle name="Vérification 2 3 15 2 3 4" xfId="13397"/>
    <cellStyle name="Vérification 2 3 15 2 3 5" xfId="29618"/>
    <cellStyle name="Vérification 2 3 15 2 4" xfId="8026"/>
    <cellStyle name="Vérification 2 3 15 2 4 2" xfId="24250"/>
    <cellStyle name="Vérification 2 3 15 2 4 2 2" xfId="36257"/>
    <cellStyle name="Vérification 2 3 15 2 4 3" xfId="14033"/>
    <cellStyle name="Vérification 2 3 15 2 4 4" xfId="30254"/>
    <cellStyle name="Vérification 2 3 15 2 5" xfId="19141"/>
    <cellStyle name="Vérification 2 3 15 2 5 2" xfId="33255"/>
    <cellStyle name="Vérification 2 3 15 2 6" xfId="11382"/>
    <cellStyle name="Vérification 2 3 15 2 7" xfId="27603"/>
    <cellStyle name="Vérification 2 3 15 3" xfId="6148"/>
    <cellStyle name="Vérification 2 3 15 3 2" xfId="7304"/>
    <cellStyle name="Vérification 2 3 15 3 2 2" xfId="9360"/>
    <cellStyle name="Vérification 2 3 15 3 2 2 2" xfId="25584"/>
    <cellStyle name="Vérification 2 3 15 3 2 2 2 2" xfId="37591"/>
    <cellStyle name="Vérification 2 3 15 3 2 2 3" xfId="15367"/>
    <cellStyle name="Vérification 2 3 15 3 2 2 4" xfId="31588"/>
    <cellStyle name="Vérification 2 3 15 3 2 3" xfId="23528"/>
    <cellStyle name="Vérification 2 3 15 3 2 3 2" xfId="35535"/>
    <cellStyle name="Vérification 2 3 15 3 2 4" xfId="13064"/>
    <cellStyle name="Vérification 2 3 15 3 2 5" xfId="29285"/>
    <cellStyle name="Vérification 2 3 15 3 3" xfId="7693"/>
    <cellStyle name="Vérification 2 3 15 3 3 2" xfId="23917"/>
    <cellStyle name="Vérification 2 3 15 3 3 2 2" xfId="35924"/>
    <cellStyle name="Vérification 2 3 15 3 3 3" xfId="13700"/>
    <cellStyle name="Vérification 2 3 15 3 3 4" xfId="29921"/>
    <cellStyle name="Vérification 2 3 15 3 4" xfId="22372"/>
    <cellStyle name="Vérification 2 3 15 3 4 2" xfId="34499"/>
    <cellStyle name="Vérification 2 3 15 3 5" xfId="11048"/>
    <cellStyle name="Vérification 2 3 15 3 6" xfId="27269"/>
    <cellStyle name="Vérification 2 3 15 4" xfId="3794"/>
    <cellStyle name="Vérification 2 3 15 4 2" xfId="8635"/>
    <cellStyle name="Vérification 2 3 15 4 2 2" xfId="24859"/>
    <cellStyle name="Vérification 2 3 15 4 2 2 2" xfId="36866"/>
    <cellStyle name="Vérification 2 3 15 4 2 3" xfId="14642"/>
    <cellStyle name="Vérification 2 3 15 4 2 4" xfId="30863"/>
    <cellStyle name="Vérification 2 3 15 4 3" xfId="10027"/>
    <cellStyle name="Vérification 2 3 15 4 3 2" xfId="26251"/>
    <cellStyle name="Vérification 2 3 15 4 3 2 2" xfId="38258"/>
    <cellStyle name="Vérification 2 3 15 4 3 3" xfId="16034"/>
    <cellStyle name="Vérification 2 3 15 4 3 4" xfId="32255"/>
    <cellStyle name="Vérification 2 3 15 4 4" xfId="20022"/>
    <cellStyle name="Vérification 2 3 15 4 4 2" xfId="34136"/>
    <cellStyle name="Vérification 2 3 15 4 5" xfId="12190"/>
    <cellStyle name="Vérification 2 3 15 4 6" xfId="28411"/>
    <cellStyle name="Vérification 2 3 15 5" xfId="6668"/>
    <cellStyle name="Vérification 2 3 15 5 2" xfId="9026"/>
    <cellStyle name="Vérification 2 3 15 5 2 2" xfId="25250"/>
    <cellStyle name="Vérification 2 3 15 5 2 2 2" xfId="37257"/>
    <cellStyle name="Vérification 2 3 15 5 2 3" xfId="15033"/>
    <cellStyle name="Vérification 2 3 15 5 2 4" xfId="31254"/>
    <cellStyle name="Vérification 2 3 15 5 3" xfId="22892"/>
    <cellStyle name="Vérification 2 3 15 5 3 2" xfId="34899"/>
    <cellStyle name="Vérification 2 3 15 5 4" xfId="12730"/>
    <cellStyle name="Vérification 2 3 15 5 5" xfId="28951"/>
    <cellStyle name="Vérification 2 3 15 6" xfId="3318"/>
    <cellStyle name="Vérification 2 3 15 6 2" xfId="19546"/>
    <cellStyle name="Vérification 2 3 15 6 2 2" xfId="33660"/>
    <cellStyle name="Vérification 2 3 15 6 3" xfId="13463"/>
    <cellStyle name="Vérification 2 3 15 6 4" xfId="29684"/>
    <cellStyle name="Vérification 2 3 15 7" xfId="18688"/>
    <cellStyle name="Vérification 2 3 15 7 2" xfId="32922"/>
    <cellStyle name="Vérification 2 3 15 8" xfId="10696"/>
    <cellStyle name="Vérification 2 3 15 9" xfId="26919"/>
    <cellStyle name="Vérification 2 3 16" xfId="2601"/>
    <cellStyle name="Vérification 2 3 16 2" xfId="2934"/>
    <cellStyle name="Vérification 2 3 16 2 2" xfId="6622"/>
    <cellStyle name="Vérification 2 3 16 2 2 2" xfId="9003"/>
    <cellStyle name="Vérification 2 3 16 2 2 2 2" xfId="25227"/>
    <cellStyle name="Vérification 2 3 16 2 2 2 2 2" xfId="37234"/>
    <cellStyle name="Vérification 2 3 16 2 2 2 3" xfId="15010"/>
    <cellStyle name="Vérification 2 3 16 2 2 2 4" xfId="31231"/>
    <cellStyle name="Vérification 2 3 16 2 2 3" xfId="10381"/>
    <cellStyle name="Vérification 2 3 16 2 2 3 2" xfId="26605"/>
    <cellStyle name="Vérification 2 3 16 2 2 3 2 2" xfId="38612"/>
    <cellStyle name="Vérification 2 3 16 2 2 3 3" xfId="16388"/>
    <cellStyle name="Vérification 2 3 16 2 2 3 4" xfId="32609"/>
    <cellStyle name="Vérification 2 3 16 2 2 4" xfId="22846"/>
    <cellStyle name="Vérification 2 3 16 2 2 4 2" xfId="34853"/>
    <cellStyle name="Vérification 2 3 16 2 2 5" xfId="12707"/>
    <cellStyle name="Vérification 2 3 16 2 2 6" xfId="28928"/>
    <cellStyle name="Vérification 2 3 16 2 3" xfId="7670"/>
    <cellStyle name="Vérification 2 3 16 2 3 2" xfId="9714"/>
    <cellStyle name="Vérification 2 3 16 2 3 2 2" xfId="25938"/>
    <cellStyle name="Vérification 2 3 16 2 3 2 2 2" xfId="37945"/>
    <cellStyle name="Vérification 2 3 16 2 3 2 3" xfId="15721"/>
    <cellStyle name="Vérification 2 3 16 2 3 2 4" xfId="31942"/>
    <cellStyle name="Vérification 2 3 16 2 3 3" xfId="23894"/>
    <cellStyle name="Vérification 2 3 16 2 3 3 2" xfId="35901"/>
    <cellStyle name="Vérification 2 3 16 2 3 4" xfId="13418"/>
    <cellStyle name="Vérification 2 3 16 2 3 5" xfId="29639"/>
    <cellStyle name="Vérification 2 3 16 2 4" xfId="8047"/>
    <cellStyle name="Vérification 2 3 16 2 4 2" xfId="24271"/>
    <cellStyle name="Vérification 2 3 16 2 4 2 2" xfId="36278"/>
    <cellStyle name="Vérification 2 3 16 2 4 3" xfId="14054"/>
    <cellStyle name="Vérification 2 3 16 2 4 4" xfId="30275"/>
    <cellStyle name="Vérification 2 3 16 2 5" xfId="19162"/>
    <cellStyle name="Vérification 2 3 16 2 5 2" xfId="33276"/>
    <cellStyle name="Vérification 2 3 16 2 6" xfId="11403"/>
    <cellStyle name="Vérification 2 3 16 2 7" xfId="27624"/>
    <cellStyle name="Vérification 2 3 16 3" xfId="6289"/>
    <cellStyle name="Vérification 2 3 16 3 2" xfId="7337"/>
    <cellStyle name="Vérification 2 3 16 3 2 2" xfId="9381"/>
    <cellStyle name="Vérification 2 3 16 3 2 2 2" xfId="25605"/>
    <cellStyle name="Vérification 2 3 16 3 2 2 2 2" xfId="37612"/>
    <cellStyle name="Vérification 2 3 16 3 2 2 3" xfId="15388"/>
    <cellStyle name="Vérification 2 3 16 3 2 2 4" xfId="31609"/>
    <cellStyle name="Vérification 2 3 16 3 2 3" xfId="23561"/>
    <cellStyle name="Vérification 2 3 16 3 2 3 2" xfId="35568"/>
    <cellStyle name="Vérification 2 3 16 3 2 4" xfId="13085"/>
    <cellStyle name="Vérification 2 3 16 3 2 5" xfId="29306"/>
    <cellStyle name="Vérification 2 3 16 3 3" xfId="7714"/>
    <cellStyle name="Vérification 2 3 16 3 3 2" xfId="23938"/>
    <cellStyle name="Vérification 2 3 16 3 3 2 2" xfId="35945"/>
    <cellStyle name="Vérification 2 3 16 3 3 3" xfId="13721"/>
    <cellStyle name="Vérification 2 3 16 3 3 4" xfId="29942"/>
    <cellStyle name="Vérification 2 3 16 3 4" xfId="22513"/>
    <cellStyle name="Vérification 2 3 16 3 4 2" xfId="34520"/>
    <cellStyle name="Vérification 2 3 16 3 5" xfId="11070"/>
    <cellStyle name="Vérification 2 3 16 3 6" xfId="27291"/>
    <cellStyle name="Vérification 2 3 16 4" xfId="3844"/>
    <cellStyle name="Vérification 2 3 16 4 2" xfId="8670"/>
    <cellStyle name="Vérification 2 3 16 4 2 2" xfId="24894"/>
    <cellStyle name="Vérification 2 3 16 4 2 2 2" xfId="36901"/>
    <cellStyle name="Vérification 2 3 16 4 2 3" xfId="14677"/>
    <cellStyle name="Vérification 2 3 16 4 2 4" xfId="30898"/>
    <cellStyle name="Vérification 2 3 16 4 3" xfId="10048"/>
    <cellStyle name="Vérification 2 3 16 4 3 2" xfId="26272"/>
    <cellStyle name="Vérification 2 3 16 4 3 2 2" xfId="38279"/>
    <cellStyle name="Vérification 2 3 16 4 3 3" xfId="16055"/>
    <cellStyle name="Vérification 2 3 16 4 3 4" xfId="32276"/>
    <cellStyle name="Vérification 2 3 16 4 4" xfId="20072"/>
    <cellStyle name="Vérification 2 3 16 4 4 2" xfId="34186"/>
    <cellStyle name="Vérification 2 3 16 4 5" xfId="12225"/>
    <cellStyle name="Vérification 2 3 16 4 6" xfId="28446"/>
    <cellStyle name="Vérification 2 3 16 5" xfId="6701"/>
    <cellStyle name="Vérification 2 3 16 5 2" xfId="9047"/>
    <cellStyle name="Vérification 2 3 16 5 2 2" xfId="25271"/>
    <cellStyle name="Vérification 2 3 16 5 2 2 2" xfId="37278"/>
    <cellStyle name="Vérification 2 3 16 5 2 3" xfId="15054"/>
    <cellStyle name="Vérification 2 3 16 5 2 4" xfId="31275"/>
    <cellStyle name="Vérification 2 3 16 5 3" xfId="22925"/>
    <cellStyle name="Vérification 2 3 16 5 3 2" xfId="34932"/>
    <cellStyle name="Vérification 2 3 16 5 4" xfId="12751"/>
    <cellStyle name="Vérification 2 3 16 5 5" xfId="28972"/>
    <cellStyle name="Vérification 2 3 16 6" xfId="7252"/>
    <cellStyle name="Vérification 2 3 16 6 2" xfId="23476"/>
    <cellStyle name="Vérification 2 3 16 6 2 2" xfId="35483"/>
    <cellStyle name="Vérification 2 3 16 6 3" xfId="13636"/>
    <cellStyle name="Vérification 2 3 16 6 4" xfId="29857"/>
    <cellStyle name="Vérification 2 3 16 7" xfId="18829"/>
    <cellStyle name="Vérification 2 3 16 7 2" xfId="32943"/>
    <cellStyle name="Vérification 2 3 16 8" xfId="10717"/>
    <cellStyle name="Vérification 2 3 16 9" xfId="26940"/>
    <cellStyle name="Vérification 2 3 17" xfId="2623"/>
    <cellStyle name="Vérification 2 3 17 2" xfId="6311"/>
    <cellStyle name="Vérification 2 3 17 2 2" xfId="8692"/>
    <cellStyle name="Vérification 2 3 17 2 2 2" xfId="24916"/>
    <cellStyle name="Vérification 2 3 17 2 2 2 2" xfId="36923"/>
    <cellStyle name="Vérification 2 3 17 2 2 3" xfId="14699"/>
    <cellStyle name="Vérification 2 3 17 2 2 4" xfId="30920"/>
    <cellStyle name="Vérification 2 3 17 2 3" xfId="10070"/>
    <cellStyle name="Vérification 2 3 17 2 3 2" xfId="26294"/>
    <cellStyle name="Vérification 2 3 17 2 3 2 2" xfId="38301"/>
    <cellStyle name="Vérification 2 3 17 2 3 3" xfId="16077"/>
    <cellStyle name="Vérification 2 3 17 2 3 4" xfId="32298"/>
    <cellStyle name="Vérification 2 3 17 2 4" xfId="22535"/>
    <cellStyle name="Vérification 2 3 17 2 4 2" xfId="34542"/>
    <cellStyle name="Vérification 2 3 17 2 5" xfId="12396"/>
    <cellStyle name="Vérification 2 3 17 2 6" xfId="28617"/>
    <cellStyle name="Vérification 2 3 17 3" xfId="7359"/>
    <cellStyle name="Vérification 2 3 17 3 2" xfId="9403"/>
    <cellStyle name="Vérification 2 3 17 3 2 2" xfId="25627"/>
    <cellStyle name="Vérification 2 3 17 3 2 2 2" xfId="37634"/>
    <cellStyle name="Vérification 2 3 17 3 2 3" xfId="15410"/>
    <cellStyle name="Vérification 2 3 17 3 2 4" xfId="31631"/>
    <cellStyle name="Vérification 2 3 17 3 3" xfId="23583"/>
    <cellStyle name="Vérification 2 3 17 3 3 2" xfId="35590"/>
    <cellStyle name="Vérification 2 3 17 3 4" xfId="13107"/>
    <cellStyle name="Vérification 2 3 17 3 5" xfId="29328"/>
    <cellStyle name="Vérification 2 3 17 4" xfId="7736"/>
    <cellStyle name="Vérification 2 3 17 4 2" xfId="23960"/>
    <cellStyle name="Vérification 2 3 17 4 2 2" xfId="35967"/>
    <cellStyle name="Vérification 2 3 17 4 3" xfId="13743"/>
    <cellStyle name="Vérification 2 3 17 4 4" xfId="29964"/>
    <cellStyle name="Vérification 2 3 17 5" xfId="18851"/>
    <cellStyle name="Vérification 2 3 17 5 2" xfId="32965"/>
    <cellStyle name="Vérification 2 3 17 6" xfId="11092"/>
    <cellStyle name="Vérification 2 3 17 7" xfId="27313"/>
    <cellStyle name="Vérification 2 3 18" xfId="3911"/>
    <cellStyle name="Vérification 2 3 18 2" xfId="6733"/>
    <cellStyle name="Vérification 2 3 18 2 2" xfId="9070"/>
    <cellStyle name="Vérification 2 3 18 2 2 2" xfId="25294"/>
    <cellStyle name="Vérification 2 3 18 2 2 2 2" xfId="37301"/>
    <cellStyle name="Vérification 2 3 18 2 2 3" xfId="15077"/>
    <cellStyle name="Vérification 2 3 18 2 2 4" xfId="31298"/>
    <cellStyle name="Vérification 2 3 18 2 3" xfId="22957"/>
    <cellStyle name="Vérification 2 3 18 2 3 2" xfId="34964"/>
    <cellStyle name="Vérification 2 3 18 2 4" xfId="12774"/>
    <cellStyle name="Vérification 2 3 18 2 5" xfId="28995"/>
    <cellStyle name="Vérification 2 3 18 3" xfId="7041"/>
    <cellStyle name="Vérification 2 3 18 3 2" xfId="23265"/>
    <cellStyle name="Vérification 2 3 18 3 2 2" xfId="35272"/>
    <cellStyle name="Vérification 2 3 18 3 3" xfId="13536"/>
    <cellStyle name="Vérification 2 3 18 3 4" xfId="29757"/>
    <cellStyle name="Vérification 2 3 18 4" xfId="20138"/>
    <cellStyle name="Vérification 2 3 18 4 2" xfId="34209"/>
    <cellStyle name="Vérification 2 3 18 5" xfId="10747"/>
    <cellStyle name="Vérification 2 3 18 6" xfId="26970"/>
    <cellStyle name="Vérification 2 3 19" xfId="2989"/>
    <cellStyle name="Vérification 2 3 19 2" xfId="8080"/>
    <cellStyle name="Vérification 2 3 19 2 2" xfId="24304"/>
    <cellStyle name="Vérification 2 3 19 2 2 2" xfId="36311"/>
    <cellStyle name="Vérification 2 3 19 2 3" xfId="14087"/>
    <cellStyle name="Vérification 2 3 19 2 4" xfId="30308"/>
    <cellStyle name="Vérification 2 3 19 3" xfId="9737"/>
    <cellStyle name="Vérification 2 3 19 3 2" xfId="25961"/>
    <cellStyle name="Vérification 2 3 19 3 2 2" xfId="37968"/>
    <cellStyle name="Vérification 2 3 19 3 3" xfId="15744"/>
    <cellStyle name="Vérification 2 3 19 3 4" xfId="31965"/>
    <cellStyle name="Vérification 2 3 19 4" xfId="19217"/>
    <cellStyle name="Vérification 2 3 19 4 2" xfId="33331"/>
    <cellStyle name="Vérification 2 3 19 5" xfId="11635"/>
    <cellStyle name="Vérification 2 3 19 6" xfId="27856"/>
    <cellStyle name="Vérification 2 3 2" xfId="156"/>
    <cellStyle name="Vérification 2 3 2 10" xfId="3913"/>
    <cellStyle name="Vérification 2 3 2 10 2" xfId="6735"/>
    <cellStyle name="Vérification 2 3 2 10 2 2" xfId="9072"/>
    <cellStyle name="Vérification 2 3 2 10 2 2 2" xfId="25296"/>
    <cellStyle name="Vérification 2 3 2 10 2 2 2 2" xfId="37303"/>
    <cellStyle name="Vérification 2 3 2 10 2 2 3" xfId="15079"/>
    <cellStyle name="Vérification 2 3 2 10 2 2 4" xfId="31300"/>
    <cellStyle name="Vérification 2 3 2 10 2 3" xfId="22959"/>
    <cellStyle name="Vérification 2 3 2 10 2 3 2" xfId="34966"/>
    <cellStyle name="Vérification 2 3 2 10 2 4" xfId="12776"/>
    <cellStyle name="Vérification 2 3 2 10 2 5" xfId="28997"/>
    <cellStyle name="Vérification 2 3 2 10 3" xfId="6655"/>
    <cellStyle name="Vérification 2 3 2 10 3 2" xfId="22879"/>
    <cellStyle name="Vérification 2 3 2 10 3 2 2" xfId="34886"/>
    <cellStyle name="Vérification 2 3 2 10 3 3" xfId="11591"/>
    <cellStyle name="Vérification 2 3 2 10 3 4" xfId="27812"/>
    <cellStyle name="Vérification 2 3 2 10 4" xfId="20140"/>
    <cellStyle name="Vérification 2 3 2 10 4 2" xfId="34211"/>
    <cellStyle name="Vérification 2 3 2 10 5" xfId="10749"/>
    <cellStyle name="Vérification 2 3 2 10 6" xfId="26972"/>
    <cellStyle name="Vérification 2 3 2 11" xfId="2991"/>
    <cellStyle name="Vérification 2 3 2 11 2" xfId="8082"/>
    <cellStyle name="Vérification 2 3 2 11 2 2" xfId="24306"/>
    <cellStyle name="Vérification 2 3 2 11 2 2 2" xfId="36313"/>
    <cellStyle name="Vérification 2 3 2 11 2 3" xfId="14089"/>
    <cellStyle name="Vérification 2 3 2 11 2 4" xfId="30310"/>
    <cellStyle name="Vérification 2 3 2 11 3" xfId="9739"/>
    <cellStyle name="Vérification 2 3 2 11 3 2" xfId="25963"/>
    <cellStyle name="Vérification 2 3 2 11 3 2 2" xfId="37970"/>
    <cellStyle name="Vérification 2 3 2 11 3 3" xfId="15746"/>
    <cellStyle name="Vérification 2 3 2 11 3 4" xfId="31967"/>
    <cellStyle name="Vérification 2 3 2 11 4" xfId="19219"/>
    <cellStyle name="Vérification 2 3 2 11 4 2" xfId="33333"/>
    <cellStyle name="Vérification 2 3 2 11 5" xfId="11637"/>
    <cellStyle name="Vérification 2 3 2 11 6" xfId="27858"/>
    <cellStyle name="Vérification 2 3 2 12" xfId="3389"/>
    <cellStyle name="Vérification 2 3 2 12 2" xfId="8361"/>
    <cellStyle name="Vérification 2 3 2 12 2 2" xfId="24585"/>
    <cellStyle name="Vérification 2 3 2 12 2 2 2" xfId="36592"/>
    <cellStyle name="Vérification 2 3 2 12 2 3" xfId="14368"/>
    <cellStyle name="Vérification 2 3 2 12 2 4" xfId="30589"/>
    <cellStyle name="Vérification 2 3 2 12 3" xfId="19617"/>
    <cellStyle name="Vérification 2 3 2 12 3 2" xfId="33731"/>
    <cellStyle name="Vérification 2 3 2 12 4" xfId="11916"/>
    <cellStyle name="Vérification 2 3 2 12 5" xfId="28137"/>
    <cellStyle name="Vérification 2 3 2 13" xfId="7272"/>
    <cellStyle name="Vérification 2 3 2 13 2" xfId="23496"/>
    <cellStyle name="Vérification 2 3 2 13 2 2" xfId="35503"/>
    <cellStyle name="Vérification 2 3 2 13 3" xfId="13656"/>
    <cellStyle name="Vérification 2 3 2 13 4" xfId="29877"/>
    <cellStyle name="Vérification 2 3 2 14" xfId="16456"/>
    <cellStyle name="Vérification 2 3 2 14 2" xfId="32634"/>
    <cellStyle name="Vérification 2 3 2 15" xfId="10406"/>
    <cellStyle name="Vérification 2 3 2 16" xfId="26631"/>
    <cellStyle name="Vérification 2 3 2 2" xfId="362"/>
    <cellStyle name="Vérification 2 3 2 2 10" xfId="10429"/>
    <cellStyle name="Vérification 2 3 2 2 11" xfId="26654"/>
    <cellStyle name="Vérification 2 3 2 2 2" xfId="1348"/>
    <cellStyle name="Vérification 2 3 2 2 2 2" xfId="2826"/>
    <cellStyle name="Vérification 2 3 2 2 2 2 2" xfId="6514"/>
    <cellStyle name="Vérification 2 3 2 2 2 2 2 2" xfId="8895"/>
    <cellStyle name="Vérification 2 3 2 2 2 2 2 2 2" xfId="25119"/>
    <cellStyle name="Vérification 2 3 2 2 2 2 2 2 2 2" xfId="37126"/>
    <cellStyle name="Vérification 2 3 2 2 2 2 2 2 3" xfId="14902"/>
    <cellStyle name="Vérification 2 3 2 2 2 2 2 2 4" xfId="31123"/>
    <cellStyle name="Vérification 2 3 2 2 2 2 2 3" xfId="10273"/>
    <cellStyle name="Vérification 2 3 2 2 2 2 2 3 2" xfId="26497"/>
    <cellStyle name="Vérification 2 3 2 2 2 2 2 3 2 2" xfId="38504"/>
    <cellStyle name="Vérification 2 3 2 2 2 2 2 3 3" xfId="16280"/>
    <cellStyle name="Vérification 2 3 2 2 2 2 2 3 4" xfId="32501"/>
    <cellStyle name="Vérification 2 3 2 2 2 2 2 4" xfId="22738"/>
    <cellStyle name="Vérification 2 3 2 2 2 2 2 4 2" xfId="34745"/>
    <cellStyle name="Vérification 2 3 2 2 2 2 2 5" xfId="12599"/>
    <cellStyle name="Vérification 2 3 2 2 2 2 2 6" xfId="28820"/>
    <cellStyle name="Vérification 2 3 2 2 2 2 3" xfId="7562"/>
    <cellStyle name="Vérification 2 3 2 2 2 2 3 2" xfId="9606"/>
    <cellStyle name="Vérification 2 3 2 2 2 2 3 2 2" xfId="25830"/>
    <cellStyle name="Vérification 2 3 2 2 2 2 3 2 2 2" xfId="37837"/>
    <cellStyle name="Vérification 2 3 2 2 2 2 3 2 3" xfId="15613"/>
    <cellStyle name="Vérification 2 3 2 2 2 2 3 2 4" xfId="31834"/>
    <cellStyle name="Vérification 2 3 2 2 2 2 3 3" xfId="23786"/>
    <cellStyle name="Vérification 2 3 2 2 2 2 3 3 2" xfId="35793"/>
    <cellStyle name="Vérification 2 3 2 2 2 2 3 4" xfId="13310"/>
    <cellStyle name="Vérification 2 3 2 2 2 2 3 5" xfId="29531"/>
    <cellStyle name="Vérification 2 3 2 2 2 2 4" xfId="7939"/>
    <cellStyle name="Vérification 2 3 2 2 2 2 4 2" xfId="24163"/>
    <cellStyle name="Vérification 2 3 2 2 2 2 4 2 2" xfId="36170"/>
    <cellStyle name="Vérification 2 3 2 2 2 2 4 3" xfId="13946"/>
    <cellStyle name="Vérification 2 3 2 2 2 2 4 4" xfId="30167"/>
    <cellStyle name="Vérification 2 3 2 2 2 2 5" xfId="19054"/>
    <cellStyle name="Vérification 2 3 2 2 2 2 5 2" xfId="33168"/>
    <cellStyle name="Vérification 2 3 2 2 2 2 6" xfId="11295"/>
    <cellStyle name="Vérification 2 3 2 2 2 2 7" xfId="27516"/>
    <cellStyle name="Vérification 2 3 2 2 2 3" xfId="5045"/>
    <cellStyle name="Vérification 2 3 2 2 2 3 2" xfId="7072"/>
    <cellStyle name="Vérification 2 3 2 2 2 3 2 2" xfId="9273"/>
    <cellStyle name="Vérification 2 3 2 2 2 3 2 2 2" xfId="25497"/>
    <cellStyle name="Vérification 2 3 2 2 2 3 2 2 2 2" xfId="37504"/>
    <cellStyle name="Vérification 2 3 2 2 2 3 2 2 3" xfId="15280"/>
    <cellStyle name="Vérification 2 3 2 2 2 3 2 2 4" xfId="31501"/>
    <cellStyle name="Vérification 2 3 2 2 2 3 2 3" xfId="23296"/>
    <cellStyle name="Vérification 2 3 2 2 2 3 2 3 2" xfId="35303"/>
    <cellStyle name="Vérification 2 3 2 2 2 3 2 4" xfId="12977"/>
    <cellStyle name="Vérification 2 3 2 2 2 3 2 5" xfId="29198"/>
    <cellStyle name="Vérification 2 3 2 2 2 3 3" xfId="3188"/>
    <cellStyle name="Vérification 2 3 2 2 2 3 3 2" xfId="19416"/>
    <cellStyle name="Vérification 2 3 2 2 2 3 3 2 2" xfId="33530"/>
    <cellStyle name="Vérification 2 3 2 2 2 3 3 3" xfId="13476"/>
    <cellStyle name="Vérification 2 3 2 2 2 3 3 4" xfId="29697"/>
    <cellStyle name="Vérification 2 3 2 2 2 3 4" xfId="21271"/>
    <cellStyle name="Vérification 2 3 2 2 2 3 4 2" xfId="34412"/>
    <cellStyle name="Vérification 2 3 2 2 2 3 5" xfId="10959"/>
    <cellStyle name="Vérification 2 3 2 2 2 3 6" xfId="27182"/>
    <cellStyle name="Vérification 2 3 2 2 2 4" xfId="3436"/>
    <cellStyle name="Vérification 2 3 2 2 2 4 2" xfId="8403"/>
    <cellStyle name="Vérification 2 3 2 2 2 4 2 2" xfId="24627"/>
    <cellStyle name="Vérification 2 3 2 2 2 4 2 2 2" xfId="36634"/>
    <cellStyle name="Vérification 2 3 2 2 2 4 2 3" xfId="14410"/>
    <cellStyle name="Vérification 2 3 2 2 2 4 2 4" xfId="30631"/>
    <cellStyle name="Vérification 2 3 2 2 2 4 3" xfId="9940"/>
    <cellStyle name="Vérification 2 3 2 2 2 4 3 2" xfId="26164"/>
    <cellStyle name="Vérification 2 3 2 2 2 4 3 2 2" xfId="38171"/>
    <cellStyle name="Vérification 2 3 2 2 2 4 3 3" xfId="15947"/>
    <cellStyle name="Vérification 2 3 2 2 2 4 3 4" xfId="32168"/>
    <cellStyle name="Vérification 2 3 2 2 2 4 4" xfId="19664"/>
    <cellStyle name="Vérification 2 3 2 2 2 4 4 2" xfId="33778"/>
    <cellStyle name="Vérification 2 3 2 2 2 4 5" xfId="11958"/>
    <cellStyle name="Vérification 2 3 2 2 2 4 6" xfId="28179"/>
    <cellStyle name="Vérification 2 3 2 2 2 5" xfId="3736"/>
    <cellStyle name="Vérification 2 3 2 2 2 5 2" xfId="8609"/>
    <cellStyle name="Vérification 2 3 2 2 2 5 2 2" xfId="24833"/>
    <cellStyle name="Vérification 2 3 2 2 2 5 2 2 2" xfId="36840"/>
    <cellStyle name="Vérification 2 3 2 2 2 5 2 3" xfId="14616"/>
    <cellStyle name="Vérification 2 3 2 2 2 5 2 4" xfId="30837"/>
    <cellStyle name="Vérification 2 3 2 2 2 5 3" xfId="19964"/>
    <cellStyle name="Vérification 2 3 2 2 2 5 3 2" xfId="34078"/>
    <cellStyle name="Vérification 2 3 2 2 2 5 4" xfId="12164"/>
    <cellStyle name="Vérification 2 3 2 2 2 5 5" xfId="28385"/>
    <cellStyle name="Vérification 2 3 2 2 2 6" xfId="3073"/>
    <cellStyle name="Vérification 2 3 2 2 2 6 2" xfId="19301"/>
    <cellStyle name="Vérification 2 3 2 2 2 6 2 2" xfId="33415"/>
    <cellStyle name="Vérification 2 3 2 2 2 6 3" xfId="13498"/>
    <cellStyle name="Vérification 2 3 2 2 2 6 4" xfId="29719"/>
    <cellStyle name="Vérification 2 3 2 2 2 7" xfId="17587"/>
    <cellStyle name="Vérification 2 3 2 2 2 7 2" xfId="32835"/>
    <cellStyle name="Vérification 2 3 2 2 2 8" xfId="10607"/>
    <cellStyle name="Vérification 2 3 2 2 2 9" xfId="26832"/>
    <cellStyle name="Vérification 2 3 2 2 3" xfId="977"/>
    <cellStyle name="Vérification 2 3 2 2 3 2" xfId="2737"/>
    <cellStyle name="Vérification 2 3 2 2 3 2 2" xfId="6425"/>
    <cellStyle name="Vérification 2 3 2 2 3 2 2 2" xfId="8806"/>
    <cellStyle name="Vérification 2 3 2 2 3 2 2 2 2" xfId="25030"/>
    <cellStyle name="Vérification 2 3 2 2 3 2 2 2 2 2" xfId="37037"/>
    <cellStyle name="Vérification 2 3 2 2 3 2 2 2 3" xfId="14813"/>
    <cellStyle name="Vérification 2 3 2 2 3 2 2 2 4" xfId="31034"/>
    <cellStyle name="Vérification 2 3 2 2 3 2 2 3" xfId="10184"/>
    <cellStyle name="Vérification 2 3 2 2 3 2 2 3 2" xfId="26408"/>
    <cellStyle name="Vérification 2 3 2 2 3 2 2 3 2 2" xfId="38415"/>
    <cellStyle name="Vérification 2 3 2 2 3 2 2 3 3" xfId="16191"/>
    <cellStyle name="Vérification 2 3 2 2 3 2 2 3 4" xfId="32412"/>
    <cellStyle name="Vérification 2 3 2 2 3 2 2 4" xfId="22649"/>
    <cellStyle name="Vérification 2 3 2 2 3 2 2 4 2" xfId="34656"/>
    <cellStyle name="Vérification 2 3 2 2 3 2 2 5" xfId="12510"/>
    <cellStyle name="Vérification 2 3 2 2 3 2 2 6" xfId="28731"/>
    <cellStyle name="Vérification 2 3 2 2 3 2 3" xfId="7473"/>
    <cellStyle name="Vérification 2 3 2 2 3 2 3 2" xfId="9517"/>
    <cellStyle name="Vérification 2 3 2 2 3 2 3 2 2" xfId="25741"/>
    <cellStyle name="Vérification 2 3 2 2 3 2 3 2 2 2" xfId="37748"/>
    <cellStyle name="Vérification 2 3 2 2 3 2 3 2 3" xfId="15524"/>
    <cellStyle name="Vérification 2 3 2 2 3 2 3 2 4" xfId="31745"/>
    <cellStyle name="Vérification 2 3 2 2 3 2 3 3" xfId="23697"/>
    <cellStyle name="Vérification 2 3 2 2 3 2 3 3 2" xfId="35704"/>
    <cellStyle name="Vérification 2 3 2 2 3 2 3 4" xfId="13221"/>
    <cellStyle name="Vérification 2 3 2 2 3 2 3 5" xfId="29442"/>
    <cellStyle name="Vérification 2 3 2 2 3 2 4" xfId="7850"/>
    <cellStyle name="Vérification 2 3 2 2 3 2 4 2" xfId="24074"/>
    <cellStyle name="Vérification 2 3 2 2 3 2 4 2 2" xfId="36081"/>
    <cellStyle name="Vérification 2 3 2 2 3 2 4 3" xfId="13857"/>
    <cellStyle name="Vérification 2 3 2 2 3 2 4 4" xfId="30078"/>
    <cellStyle name="Vérification 2 3 2 2 3 2 5" xfId="18965"/>
    <cellStyle name="Vérification 2 3 2 2 3 2 5 2" xfId="33079"/>
    <cellStyle name="Vérification 2 3 2 2 3 2 6" xfId="11206"/>
    <cellStyle name="Vérification 2 3 2 2 3 2 7" xfId="27427"/>
    <cellStyle name="Vérification 2 3 2 2 3 3" xfId="4674"/>
    <cellStyle name="Vérification 2 3 2 2 3 3 2" xfId="6945"/>
    <cellStyle name="Vérification 2 3 2 2 3 3 2 2" xfId="9184"/>
    <cellStyle name="Vérification 2 3 2 2 3 3 2 2 2" xfId="25408"/>
    <cellStyle name="Vérification 2 3 2 2 3 3 2 2 2 2" xfId="37415"/>
    <cellStyle name="Vérification 2 3 2 2 3 3 2 2 3" xfId="15191"/>
    <cellStyle name="Vérification 2 3 2 2 3 3 2 2 4" xfId="31412"/>
    <cellStyle name="Vérification 2 3 2 2 3 3 2 3" xfId="23169"/>
    <cellStyle name="Vérification 2 3 2 2 3 3 2 3 2" xfId="35176"/>
    <cellStyle name="Vérification 2 3 2 2 3 3 2 4" xfId="12888"/>
    <cellStyle name="Vérification 2 3 2 2 3 3 2 5" xfId="29109"/>
    <cellStyle name="Vérification 2 3 2 2 3 3 3" xfId="6967"/>
    <cellStyle name="Vérification 2 3 2 2 3 3 3 2" xfId="23191"/>
    <cellStyle name="Vérification 2 3 2 2 3 3 3 2 2" xfId="35198"/>
    <cellStyle name="Vérification 2 3 2 2 3 3 3 3" xfId="13457"/>
    <cellStyle name="Vérification 2 3 2 2 3 3 3 4" xfId="29678"/>
    <cellStyle name="Vérification 2 3 2 2 3 3 4" xfId="20900"/>
    <cellStyle name="Vérification 2 3 2 2 3 3 4 2" xfId="34323"/>
    <cellStyle name="Vérification 2 3 2 2 3 3 5" xfId="10870"/>
    <cellStyle name="Vérification 2 3 2 2 3 3 6" xfId="27093"/>
    <cellStyle name="Vérification 2 3 2 2 3 4" xfId="3276"/>
    <cellStyle name="Vérification 2 3 2 2 3 4 2" xfId="8273"/>
    <cellStyle name="Vérification 2 3 2 2 3 4 2 2" xfId="24497"/>
    <cellStyle name="Vérification 2 3 2 2 3 4 2 2 2" xfId="36504"/>
    <cellStyle name="Vérification 2 3 2 2 3 4 2 3" xfId="14280"/>
    <cellStyle name="Vérification 2 3 2 2 3 4 2 4" xfId="30501"/>
    <cellStyle name="Vérification 2 3 2 2 3 4 3" xfId="9851"/>
    <cellStyle name="Vérification 2 3 2 2 3 4 3 2" xfId="26075"/>
    <cellStyle name="Vérification 2 3 2 2 3 4 3 2 2" xfId="38082"/>
    <cellStyle name="Vérification 2 3 2 2 3 4 3 3" xfId="15858"/>
    <cellStyle name="Vérification 2 3 2 2 3 4 3 4" xfId="32079"/>
    <cellStyle name="Vérification 2 3 2 2 3 4 4" xfId="19504"/>
    <cellStyle name="Vérification 2 3 2 2 3 4 4 2" xfId="33618"/>
    <cellStyle name="Vérification 2 3 2 2 3 4 5" xfId="11828"/>
    <cellStyle name="Vérification 2 3 2 2 3 4 6" xfId="28049"/>
    <cellStyle name="Vérification 2 3 2 2 3 5" xfId="3072"/>
    <cellStyle name="Vérification 2 3 2 2 3 5 2" xfId="8136"/>
    <cellStyle name="Vérification 2 3 2 2 3 5 2 2" xfId="24360"/>
    <cellStyle name="Vérification 2 3 2 2 3 5 2 2 2" xfId="36367"/>
    <cellStyle name="Vérification 2 3 2 2 3 5 2 3" xfId="14143"/>
    <cellStyle name="Vérification 2 3 2 2 3 5 2 4" xfId="30364"/>
    <cellStyle name="Vérification 2 3 2 2 3 5 3" xfId="19300"/>
    <cellStyle name="Vérification 2 3 2 2 3 5 3 2" xfId="33414"/>
    <cellStyle name="Vérification 2 3 2 2 3 5 4" xfId="11691"/>
    <cellStyle name="Vérification 2 3 2 2 3 5 5" xfId="27912"/>
    <cellStyle name="Vérification 2 3 2 2 3 6" xfId="6928"/>
    <cellStyle name="Vérification 2 3 2 2 3 6 2" xfId="23152"/>
    <cellStyle name="Vérification 2 3 2 2 3 6 2 2" xfId="35159"/>
    <cellStyle name="Vérification 2 3 2 2 3 6 3" xfId="11493"/>
    <cellStyle name="Vérification 2 3 2 2 3 6 4" xfId="27714"/>
    <cellStyle name="Vérification 2 3 2 2 3 7" xfId="17216"/>
    <cellStyle name="Vérification 2 3 2 2 3 7 2" xfId="32746"/>
    <cellStyle name="Vérification 2 3 2 2 3 8" xfId="10518"/>
    <cellStyle name="Vérification 2 3 2 2 3 9" xfId="26743"/>
    <cellStyle name="Vérification 2 3 2 2 4" xfId="2648"/>
    <cellStyle name="Vérification 2 3 2 2 4 2" xfId="6336"/>
    <cellStyle name="Vérification 2 3 2 2 4 2 2" xfId="8717"/>
    <cellStyle name="Vérification 2 3 2 2 4 2 2 2" xfId="24941"/>
    <cellStyle name="Vérification 2 3 2 2 4 2 2 2 2" xfId="36948"/>
    <cellStyle name="Vérification 2 3 2 2 4 2 2 3" xfId="14724"/>
    <cellStyle name="Vérification 2 3 2 2 4 2 2 4" xfId="30945"/>
    <cellStyle name="Vérification 2 3 2 2 4 2 3" xfId="10095"/>
    <cellStyle name="Vérification 2 3 2 2 4 2 3 2" xfId="26319"/>
    <cellStyle name="Vérification 2 3 2 2 4 2 3 2 2" xfId="38326"/>
    <cellStyle name="Vérification 2 3 2 2 4 2 3 3" xfId="16102"/>
    <cellStyle name="Vérification 2 3 2 2 4 2 3 4" xfId="32323"/>
    <cellStyle name="Vérification 2 3 2 2 4 2 4" xfId="22560"/>
    <cellStyle name="Vérification 2 3 2 2 4 2 4 2" xfId="34567"/>
    <cellStyle name="Vérification 2 3 2 2 4 2 5" xfId="12421"/>
    <cellStyle name="Vérification 2 3 2 2 4 2 6" xfId="28642"/>
    <cellStyle name="Vérification 2 3 2 2 4 3" xfId="7384"/>
    <cellStyle name="Vérification 2 3 2 2 4 3 2" xfId="9428"/>
    <cellStyle name="Vérification 2 3 2 2 4 3 2 2" xfId="25652"/>
    <cellStyle name="Vérification 2 3 2 2 4 3 2 2 2" xfId="37659"/>
    <cellStyle name="Vérification 2 3 2 2 4 3 2 3" xfId="15435"/>
    <cellStyle name="Vérification 2 3 2 2 4 3 2 4" xfId="31656"/>
    <cellStyle name="Vérification 2 3 2 2 4 3 3" xfId="23608"/>
    <cellStyle name="Vérification 2 3 2 2 4 3 3 2" xfId="35615"/>
    <cellStyle name="Vérification 2 3 2 2 4 3 4" xfId="13132"/>
    <cellStyle name="Vérification 2 3 2 2 4 3 5" xfId="29353"/>
    <cellStyle name="Vérification 2 3 2 2 4 4" xfId="7761"/>
    <cellStyle name="Vérification 2 3 2 2 4 4 2" xfId="23985"/>
    <cellStyle name="Vérification 2 3 2 2 4 4 2 2" xfId="35992"/>
    <cellStyle name="Vérification 2 3 2 2 4 4 3" xfId="13768"/>
    <cellStyle name="Vérification 2 3 2 2 4 4 4" xfId="29989"/>
    <cellStyle name="Vérification 2 3 2 2 4 5" xfId="18876"/>
    <cellStyle name="Vérification 2 3 2 2 4 5 2" xfId="32990"/>
    <cellStyle name="Vérification 2 3 2 2 4 6" xfId="11117"/>
    <cellStyle name="Vérification 2 3 2 2 4 7" xfId="27338"/>
    <cellStyle name="Vérification 2 3 2 2 5" xfId="4099"/>
    <cellStyle name="Vérification 2 3 2 2 5 2" xfId="6783"/>
    <cellStyle name="Vérification 2 3 2 2 5 2 2" xfId="9095"/>
    <cellStyle name="Vérification 2 3 2 2 5 2 2 2" xfId="25319"/>
    <cellStyle name="Vérification 2 3 2 2 5 2 2 2 2" xfId="37326"/>
    <cellStyle name="Vérification 2 3 2 2 5 2 2 3" xfId="15102"/>
    <cellStyle name="Vérification 2 3 2 2 5 2 2 4" xfId="31323"/>
    <cellStyle name="Vérification 2 3 2 2 5 2 3" xfId="23007"/>
    <cellStyle name="Vérification 2 3 2 2 5 2 3 2" xfId="35014"/>
    <cellStyle name="Vérification 2 3 2 2 5 2 4" xfId="12799"/>
    <cellStyle name="Vérification 2 3 2 2 5 2 5" xfId="29020"/>
    <cellStyle name="Vérification 2 3 2 2 5 3" xfId="6886"/>
    <cellStyle name="Vérification 2 3 2 2 5 3 2" xfId="23110"/>
    <cellStyle name="Vérification 2 3 2 2 5 3 2 2" xfId="35117"/>
    <cellStyle name="Vérification 2 3 2 2 5 3 3" xfId="11523"/>
    <cellStyle name="Vérification 2 3 2 2 5 3 4" xfId="27744"/>
    <cellStyle name="Vérification 2 3 2 2 5 4" xfId="20325"/>
    <cellStyle name="Vérification 2 3 2 2 5 4 2" xfId="34234"/>
    <cellStyle name="Vérification 2 3 2 2 5 5" xfId="10774"/>
    <cellStyle name="Vérification 2 3 2 2 5 6" xfId="26997"/>
    <cellStyle name="Vérification 2 3 2 2 6" xfId="3056"/>
    <cellStyle name="Vérification 2 3 2 2 6 2" xfId="8126"/>
    <cellStyle name="Vérification 2 3 2 2 6 2 2" xfId="24350"/>
    <cellStyle name="Vérification 2 3 2 2 6 2 2 2" xfId="36357"/>
    <cellStyle name="Vérification 2 3 2 2 6 2 3" xfId="14133"/>
    <cellStyle name="Vérification 2 3 2 2 6 2 4" xfId="30354"/>
    <cellStyle name="Vérification 2 3 2 2 6 3" xfId="9762"/>
    <cellStyle name="Vérification 2 3 2 2 6 3 2" xfId="25986"/>
    <cellStyle name="Vérification 2 3 2 2 6 3 2 2" xfId="37993"/>
    <cellStyle name="Vérification 2 3 2 2 6 3 3" xfId="15769"/>
    <cellStyle name="Vérification 2 3 2 2 6 3 4" xfId="31990"/>
    <cellStyle name="Vérification 2 3 2 2 6 4" xfId="19284"/>
    <cellStyle name="Vérification 2 3 2 2 6 4 2" xfId="33398"/>
    <cellStyle name="Vérification 2 3 2 2 6 5" xfId="11681"/>
    <cellStyle name="Vérification 2 3 2 2 6 6" xfId="27902"/>
    <cellStyle name="Vérification 2 3 2 2 7" xfId="3355"/>
    <cellStyle name="Vérification 2 3 2 2 7 2" xfId="8335"/>
    <cellStyle name="Vérification 2 3 2 2 7 2 2" xfId="24559"/>
    <cellStyle name="Vérification 2 3 2 2 7 2 2 2" xfId="36566"/>
    <cellStyle name="Vérification 2 3 2 2 7 2 3" xfId="14342"/>
    <cellStyle name="Vérification 2 3 2 2 7 2 4" xfId="30563"/>
    <cellStyle name="Vérification 2 3 2 2 7 3" xfId="19583"/>
    <cellStyle name="Vérification 2 3 2 2 7 3 2" xfId="33697"/>
    <cellStyle name="Vérification 2 3 2 2 7 4" xfId="11890"/>
    <cellStyle name="Vérification 2 3 2 2 7 5" xfId="28111"/>
    <cellStyle name="Vérification 2 3 2 2 8" xfId="7266"/>
    <cellStyle name="Vérification 2 3 2 2 8 2" xfId="23490"/>
    <cellStyle name="Vérification 2 3 2 2 8 2 2" xfId="35497"/>
    <cellStyle name="Vérification 2 3 2 2 8 3" xfId="13650"/>
    <cellStyle name="Vérification 2 3 2 2 8 4" xfId="29871"/>
    <cellStyle name="Vérification 2 3 2 2 9" xfId="16641"/>
    <cellStyle name="Vérification 2 3 2 2 9 2" xfId="32657"/>
    <cellStyle name="Vérification 2 3 2 3" xfId="503"/>
    <cellStyle name="Vérification 2 3 2 3 10" xfId="10450"/>
    <cellStyle name="Vérification 2 3 2 3 11" xfId="26675"/>
    <cellStyle name="Vérification 2 3 2 3 2" xfId="1369"/>
    <cellStyle name="Vérification 2 3 2 3 2 2" xfId="2847"/>
    <cellStyle name="Vérification 2 3 2 3 2 2 2" xfId="6535"/>
    <cellStyle name="Vérification 2 3 2 3 2 2 2 2" xfId="8916"/>
    <cellStyle name="Vérification 2 3 2 3 2 2 2 2 2" xfId="25140"/>
    <cellStyle name="Vérification 2 3 2 3 2 2 2 2 2 2" xfId="37147"/>
    <cellStyle name="Vérification 2 3 2 3 2 2 2 2 3" xfId="14923"/>
    <cellStyle name="Vérification 2 3 2 3 2 2 2 2 4" xfId="31144"/>
    <cellStyle name="Vérification 2 3 2 3 2 2 2 3" xfId="10294"/>
    <cellStyle name="Vérification 2 3 2 3 2 2 2 3 2" xfId="26518"/>
    <cellStyle name="Vérification 2 3 2 3 2 2 2 3 2 2" xfId="38525"/>
    <cellStyle name="Vérification 2 3 2 3 2 2 2 3 3" xfId="16301"/>
    <cellStyle name="Vérification 2 3 2 3 2 2 2 3 4" xfId="32522"/>
    <cellStyle name="Vérification 2 3 2 3 2 2 2 4" xfId="22759"/>
    <cellStyle name="Vérification 2 3 2 3 2 2 2 4 2" xfId="34766"/>
    <cellStyle name="Vérification 2 3 2 3 2 2 2 5" xfId="12620"/>
    <cellStyle name="Vérification 2 3 2 3 2 2 2 6" xfId="28841"/>
    <cellStyle name="Vérification 2 3 2 3 2 2 3" xfId="7583"/>
    <cellStyle name="Vérification 2 3 2 3 2 2 3 2" xfId="9627"/>
    <cellStyle name="Vérification 2 3 2 3 2 2 3 2 2" xfId="25851"/>
    <cellStyle name="Vérification 2 3 2 3 2 2 3 2 2 2" xfId="37858"/>
    <cellStyle name="Vérification 2 3 2 3 2 2 3 2 3" xfId="15634"/>
    <cellStyle name="Vérification 2 3 2 3 2 2 3 2 4" xfId="31855"/>
    <cellStyle name="Vérification 2 3 2 3 2 2 3 3" xfId="23807"/>
    <cellStyle name="Vérification 2 3 2 3 2 2 3 3 2" xfId="35814"/>
    <cellStyle name="Vérification 2 3 2 3 2 2 3 4" xfId="13331"/>
    <cellStyle name="Vérification 2 3 2 3 2 2 3 5" xfId="29552"/>
    <cellStyle name="Vérification 2 3 2 3 2 2 4" xfId="7960"/>
    <cellStyle name="Vérification 2 3 2 3 2 2 4 2" xfId="24184"/>
    <cellStyle name="Vérification 2 3 2 3 2 2 4 2 2" xfId="36191"/>
    <cellStyle name="Vérification 2 3 2 3 2 2 4 3" xfId="13967"/>
    <cellStyle name="Vérification 2 3 2 3 2 2 4 4" xfId="30188"/>
    <cellStyle name="Vérification 2 3 2 3 2 2 5" xfId="19075"/>
    <cellStyle name="Vérification 2 3 2 3 2 2 5 2" xfId="33189"/>
    <cellStyle name="Vérification 2 3 2 3 2 2 6" xfId="11316"/>
    <cellStyle name="Vérification 2 3 2 3 2 2 7" xfId="27537"/>
    <cellStyle name="Vérification 2 3 2 3 2 3" xfId="5066"/>
    <cellStyle name="Vérification 2 3 2 3 2 3 2" xfId="7093"/>
    <cellStyle name="Vérification 2 3 2 3 2 3 2 2" xfId="9294"/>
    <cellStyle name="Vérification 2 3 2 3 2 3 2 2 2" xfId="25518"/>
    <cellStyle name="Vérification 2 3 2 3 2 3 2 2 2 2" xfId="37525"/>
    <cellStyle name="Vérification 2 3 2 3 2 3 2 2 3" xfId="15301"/>
    <cellStyle name="Vérification 2 3 2 3 2 3 2 2 4" xfId="31522"/>
    <cellStyle name="Vérification 2 3 2 3 2 3 2 3" xfId="23317"/>
    <cellStyle name="Vérification 2 3 2 3 2 3 2 3 2" xfId="35324"/>
    <cellStyle name="Vérification 2 3 2 3 2 3 2 4" xfId="12998"/>
    <cellStyle name="Vérification 2 3 2 3 2 3 2 5" xfId="29219"/>
    <cellStyle name="Vérification 2 3 2 3 2 3 3" xfId="6796"/>
    <cellStyle name="Vérification 2 3 2 3 2 3 3 2" xfId="23020"/>
    <cellStyle name="Vérification 2 3 2 3 2 3 3 2 2" xfId="35027"/>
    <cellStyle name="Vérification 2 3 2 3 2 3 3 3" xfId="13475"/>
    <cellStyle name="Vérification 2 3 2 3 2 3 3 4" xfId="29696"/>
    <cellStyle name="Vérification 2 3 2 3 2 3 4" xfId="21292"/>
    <cellStyle name="Vérification 2 3 2 3 2 3 4 2" xfId="34433"/>
    <cellStyle name="Vérification 2 3 2 3 2 3 5" xfId="10980"/>
    <cellStyle name="Vérification 2 3 2 3 2 3 6" xfId="27203"/>
    <cellStyle name="Vérification 2 3 2 3 2 4" xfId="3457"/>
    <cellStyle name="Vérification 2 3 2 3 2 4 2" xfId="8424"/>
    <cellStyle name="Vérification 2 3 2 3 2 4 2 2" xfId="24648"/>
    <cellStyle name="Vérification 2 3 2 3 2 4 2 2 2" xfId="36655"/>
    <cellStyle name="Vérification 2 3 2 3 2 4 2 3" xfId="14431"/>
    <cellStyle name="Vérification 2 3 2 3 2 4 2 4" xfId="30652"/>
    <cellStyle name="Vérification 2 3 2 3 2 4 3" xfId="9961"/>
    <cellStyle name="Vérification 2 3 2 3 2 4 3 2" xfId="26185"/>
    <cellStyle name="Vérification 2 3 2 3 2 4 3 2 2" xfId="38192"/>
    <cellStyle name="Vérification 2 3 2 3 2 4 3 3" xfId="15968"/>
    <cellStyle name="Vérification 2 3 2 3 2 4 3 4" xfId="32189"/>
    <cellStyle name="Vérification 2 3 2 3 2 4 4" xfId="19685"/>
    <cellStyle name="Vérification 2 3 2 3 2 4 4 2" xfId="33799"/>
    <cellStyle name="Vérification 2 3 2 3 2 4 5" xfId="11979"/>
    <cellStyle name="Vérification 2 3 2 3 2 4 6" xfId="28200"/>
    <cellStyle name="Vérification 2 3 2 3 2 5" xfId="3838"/>
    <cellStyle name="Vérification 2 3 2 3 2 5 2" xfId="8665"/>
    <cellStyle name="Vérification 2 3 2 3 2 5 2 2" xfId="24889"/>
    <cellStyle name="Vérification 2 3 2 3 2 5 2 2 2" xfId="36896"/>
    <cellStyle name="Vérification 2 3 2 3 2 5 2 3" xfId="14672"/>
    <cellStyle name="Vérification 2 3 2 3 2 5 2 4" xfId="30893"/>
    <cellStyle name="Vérification 2 3 2 3 2 5 3" xfId="20066"/>
    <cellStyle name="Vérification 2 3 2 3 2 5 3 2" xfId="34180"/>
    <cellStyle name="Vérification 2 3 2 3 2 5 4" xfId="12220"/>
    <cellStyle name="Vérification 2 3 2 3 2 5 5" xfId="28441"/>
    <cellStyle name="Vérification 2 3 2 3 2 6" xfId="3548"/>
    <cellStyle name="Vérification 2 3 2 3 2 6 2" xfId="19776"/>
    <cellStyle name="Vérification 2 3 2 3 2 6 2 2" xfId="33890"/>
    <cellStyle name="Vérification 2 3 2 3 2 6 3" xfId="11555"/>
    <cellStyle name="Vérification 2 3 2 3 2 6 4" xfId="27776"/>
    <cellStyle name="Vérification 2 3 2 3 2 7" xfId="17608"/>
    <cellStyle name="Vérification 2 3 2 3 2 7 2" xfId="32856"/>
    <cellStyle name="Vérification 2 3 2 3 2 8" xfId="10628"/>
    <cellStyle name="Vérification 2 3 2 3 2 9" xfId="26853"/>
    <cellStyle name="Vérification 2 3 2 3 3" xfId="1118"/>
    <cellStyle name="Vérification 2 3 2 3 3 2" xfId="2758"/>
    <cellStyle name="Vérification 2 3 2 3 3 2 2" xfId="6446"/>
    <cellStyle name="Vérification 2 3 2 3 3 2 2 2" xfId="8827"/>
    <cellStyle name="Vérification 2 3 2 3 3 2 2 2 2" xfId="25051"/>
    <cellStyle name="Vérification 2 3 2 3 3 2 2 2 2 2" xfId="37058"/>
    <cellStyle name="Vérification 2 3 2 3 3 2 2 2 3" xfId="14834"/>
    <cellStyle name="Vérification 2 3 2 3 3 2 2 2 4" xfId="31055"/>
    <cellStyle name="Vérification 2 3 2 3 3 2 2 3" xfId="10205"/>
    <cellStyle name="Vérification 2 3 2 3 3 2 2 3 2" xfId="26429"/>
    <cellStyle name="Vérification 2 3 2 3 3 2 2 3 2 2" xfId="38436"/>
    <cellStyle name="Vérification 2 3 2 3 3 2 2 3 3" xfId="16212"/>
    <cellStyle name="Vérification 2 3 2 3 3 2 2 3 4" xfId="32433"/>
    <cellStyle name="Vérification 2 3 2 3 3 2 2 4" xfId="22670"/>
    <cellStyle name="Vérification 2 3 2 3 3 2 2 4 2" xfId="34677"/>
    <cellStyle name="Vérification 2 3 2 3 3 2 2 5" xfId="12531"/>
    <cellStyle name="Vérification 2 3 2 3 3 2 2 6" xfId="28752"/>
    <cellStyle name="Vérification 2 3 2 3 3 2 3" xfId="7494"/>
    <cellStyle name="Vérification 2 3 2 3 3 2 3 2" xfId="9538"/>
    <cellStyle name="Vérification 2 3 2 3 3 2 3 2 2" xfId="25762"/>
    <cellStyle name="Vérification 2 3 2 3 3 2 3 2 2 2" xfId="37769"/>
    <cellStyle name="Vérification 2 3 2 3 3 2 3 2 3" xfId="15545"/>
    <cellStyle name="Vérification 2 3 2 3 3 2 3 2 4" xfId="31766"/>
    <cellStyle name="Vérification 2 3 2 3 3 2 3 3" xfId="23718"/>
    <cellStyle name="Vérification 2 3 2 3 3 2 3 3 2" xfId="35725"/>
    <cellStyle name="Vérification 2 3 2 3 3 2 3 4" xfId="13242"/>
    <cellStyle name="Vérification 2 3 2 3 3 2 3 5" xfId="29463"/>
    <cellStyle name="Vérification 2 3 2 3 3 2 4" xfId="7871"/>
    <cellStyle name="Vérification 2 3 2 3 3 2 4 2" xfId="24095"/>
    <cellStyle name="Vérification 2 3 2 3 3 2 4 2 2" xfId="36102"/>
    <cellStyle name="Vérification 2 3 2 3 3 2 4 3" xfId="13878"/>
    <cellStyle name="Vérification 2 3 2 3 3 2 4 4" xfId="30099"/>
    <cellStyle name="Vérification 2 3 2 3 3 2 5" xfId="18986"/>
    <cellStyle name="Vérification 2 3 2 3 3 2 5 2" xfId="33100"/>
    <cellStyle name="Vérification 2 3 2 3 3 2 6" xfId="11227"/>
    <cellStyle name="Vérification 2 3 2 3 3 2 7" xfId="27448"/>
    <cellStyle name="Vérification 2 3 2 3 3 3" xfId="4815"/>
    <cellStyle name="Vérification 2 3 2 3 3 3 2" xfId="6985"/>
    <cellStyle name="Vérification 2 3 2 3 3 3 2 2" xfId="9205"/>
    <cellStyle name="Vérification 2 3 2 3 3 3 2 2 2" xfId="25429"/>
    <cellStyle name="Vérification 2 3 2 3 3 3 2 2 2 2" xfId="37436"/>
    <cellStyle name="Vérification 2 3 2 3 3 3 2 2 3" xfId="15212"/>
    <cellStyle name="Vérification 2 3 2 3 3 3 2 2 4" xfId="31433"/>
    <cellStyle name="Vérification 2 3 2 3 3 3 2 3" xfId="23209"/>
    <cellStyle name="Vérification 2 3 2 3 3 3 2 3 2" xfId="35216"/>
    <cellStyle name="Vérification 2 3 2 3 3 3 2 4" xfId="12909"/>
    <cellStyle name="Vérification 2 3 2 3 3 3 2 5" xfId="29130"/>
    <cellStyle name="Vérification 2 3 2 3 3 3 3" xfId="3129"/>
    <cellStyle name="Vérification 2 3 2 3 3 3 3 2" xfId="19357"/>
    <cellStyle name="Vérification 2 3 2 3 3 3 3 2 2" xfId="33471"/>
    <cellStyle name="Vérification 2 3 2 3 3 3 3 3" xfId="11449"/>
    <cellStyle name="Vérification 2 3 2 3 3 3 3 4" xfId="27670"/>
    <cellStyle name="Vérification 2 3 2 3 3 3 4" xfId="21041"/>
    <cellStyle name="Vérification 2 3 2 3 3 3 4 2" xfId="34344"/>
    <cellStyle name="Vérification 2 3 2 3 3 3 5" xfId="10891"/>
    <cellStyle name="Vérification 2 3 2 3 3 3 6" xfId="27114"/>
    <cellStyle name="Vérification 2 3 2 3 3 4" xfId="3329"/>
    <cellStyle name="Vérification 2 3 2 3 3 4 2" xfId="8312"/>
    <cellStyle name="Vérification 2 3 2 3 3 4 2 2" xfId="24536"/>
    <cellStyle name="Vérification 2 3 2 3 3 4 2 2 2" xfId="36543"/>
    <cellStyle name="Vérification 2 3 2 3 3 4 2 3" xfId="14319"/>
    <cellStyle name="Vérification 2 3 2 3 3 4 2 4" xfId="30540"/>
    <cellStyle name="Vérification 2 3 2 3 3 4 3" xfId="9872"/>
    <cellStyle name="Vérification 2 3 2 3 3 4 3 2" xfId="26096"/>
    <cellStyle name="Vérification 2 3 2 3 3 4 3 2 2" xfId="38103"/>
    <cellStyle name="Vérification 2 3 2 3 3 4 3 3" xfId="15879"/>
    <cellStyle name="Vérification 2 3 2 3 3 4 3 4" xfId="32100"/>
    <cellStyle name="Vérification 2 3 2 3 3 4 4" xfId="19557"/>
    <cellStyle name="Vérification 2 3 2 3 3 4 4 2" xfId="33671"/>
    <cellStyle name="Vérification 2 3 2 3 3 4 5" xfId="11867"/>
    <cellStyle name="Vérification 2 3 2 3 3 4 6" xfId="28088"/>
    <cellStyle name="Vérification 2 3 2 3 3 5" xfId="3768"/>
    <cellStyle name="Vérification 2 3 2 3 3 5 2" xfId="8621"/>
    <cellStyle name="Vérification 2 3 2 3 3 5 2 2" xfId="24845"/>
    <cellStyle name="Vérification 2 3 2 3 3 5 2 2 2" xfId="36852"/>
    <cellStyle name="Vérification 2 3 2 3 3 5 2 3" xfId="14628"/>
    <cellStyle name="Vérification 2 3 2 3 3 5 2 4" xfId="30849"/>
    <cellStyle name="Vérification 2 3 2 3 3 5 3" xfId="19996"/>
    <cellStyle name="Vérification 2 3 2 3 3 5 3 2" xfId="34110"/>
    <cellStyle name="Vérification 2 3 2 3 3 5 4" xfId="12176"/>
    <cellStyle name="Vérification 2 3 2 3 3 5 5" xfId="28397"/>
    <cellStyle name="Vérification 2 3 2 3 3 6" xfId="6973"/>
    <cellStyle name="Vérification 2 3 2 3 3 6 2" xfId="23197"/>
    <cellStyle name="Vérification 2 3 2 3 3 6 2 2" xfId="35204"/>
    <cellStyle name="Vérification 2 3 2 3 3 6 3" xfId="13449"/>
    <cellStyle name="Vérification 2 3 2 3 3 6 4" xfId="29670"/>
    <cellStyle name="Vérification 2 3 2 3 3 7" xfId="17357"/>
    <cellStyle name="Vérification 2 3 2 3 3 7 2" xfId="32767"/>
    <cellStyle name="Vérification 2 3 2 3 3 8" xfId="10539"/>
    <cellStyle name="Vérification 2 3 2 3 3 9" xfId="26764"/>
    <cellStyle name="Vérification 2 3 2 3 4" xfId="2669"/>
    <cellStyle name="Vérification 2 3 2 3 4 2" xfId="6357"/>
    <cellStyle name="Vérification 2 3 2 3 4 2 2" xfId="8738"/>
    <cellStyle name="Vérification 2 3 2 3 4 2 2 2" xfId="24962"/>
    <cellStyle name="Vérification 2 3 2 3 4 2 2 2 2" xfId="36969"/>
    <cellStyle name="Vérification 2 3 2 3 4 2 2 3" xfId="14745"/>
    <cellStyle name="Vérification 2 3 2 3 4 2 2 4" xfId="30966"/>
    <cellStyle name="Vérification 2 3 2 3 4 2 3" xfId="10116"/>
    <cellStyle name="Vérification 2 3 2 3 4 2 3 2" xfId="26340"/>
    <cellStyle name="Vérification 2 3 2 3 4 2 3 2 2" xfId="38347"/>
    <cellStyle name="Vérification 2 3 2 3 4 2 3 3" xfId="16123"/>
    <cellStyle name="Vérification 2 3 2 3 4 2 3 4" xfId="32344"/>
    <cellStyle name="Vérification 2 3 2 3 4 2 4" xfId="22581"/>
    <cellStyle name="Vérification 2 3 2 3 4 2 4 2" xfId="34588"/>
    <cellStyle name="Vérification 2 3 2 3 4 2 5" xfId="12442"/>
    <cellStyle name="Vérification 2 3 2 3 4 2 6" xfId="28663"/>
    <cellStyle name="Vérification 2 3 2 3 4 3" xfId="7405"/>
    <cellStyle name="Vérification 2 3 2 3 4 3 2" xfId="9449"/>
    <cellStyle name="Vérification 2 3 2 3 4 3 2 2" xfId="25673"/>
    <cellStyle name="Vérification 2 3 2 3 4 3 2 2 2" xfId="37680"/>
    <cellStyle name="Vérification 2 3 2 3 4 3 2 3" xfId="15456"/>
    <cellStyle name="Vérification 2 3 2 3 4 3 2 4" xfId="31677"/>
    <cellStyle name="Vérification 2 3 2 3 4 3 3" xfId="23629"/>
    <cellStyle name="Vérification 2 3 2 3 4 3 3 2" xfId="35636"/>
    <cellStyle name="Vérification 2 3 2 3 4 3 4" xfId="13153"/>
    <cellStyle name="Vérification 2 3 2 3 4 3 5" xfId="29374"/>
    <cellStyle name="Vérification 2 3 2 3 4 4" xfId="7782"/>
    <cellStyle name="Vérification 2 3 2 3 4 4 2" xfId="24006"/>
    <cellStyle name="Vérification 2 3 2 3 4 4 2 2" xfId="36013"/>
    <cellStyle name="Vérification 2 3 2 3 4 4 3" xfId="13789"/>
    <cellStyle name="Vérification 2 3 2 3 4 4 4" xfId="30010"/>
    <cellStyle name="Vérification 2 3 2 3 4 5" xfId="18897"/>
    <cellStyle name="Vérification 2 3 2 3 4 5 2" xfId="33011"/>
    <cellStyle name="Vérification 2 3 2 3 4 6" xfId="11138"/>
    <cellStyle name="Vérification 2 3 2 3 4 7" xfId="27359"/>
    <cellStyle name="Vérification 2 3 2 3 5" xfId="4240"/>
    <cellStyle name="Vérification 2 3 2 3 5 2" xfId="6820"/>
    <cellStyle name="Vérification 2 3 2 3 5 2 2" xfId="9116"/>
    <cellStyle name="Vérification 2 3 2 3 5 2 2 2" xfId="25340"/>
    <cellStyle name="Vérification 2 3 2 3 5 2 2 2 2" xfId="37347"/>
    <cellStyle name="Vérification 2 3 2 3 5 2 2 3" xfId="15123"/>
    <cellStyle name="Vérification 2 3 2 3 5 2 2 4" xfId="31344"/>
    <cellStyle name="Vérification 2 3 2 3 5 2 3" xfId="23044"/>
    <cellStyle name="Vérification 2 3 2 3 5 2 3 2" xfId="35051"/>
    <cellStyle name="Vérification 2 3 2 3 5 2 4" xfId="12820"/>
    <cellStyle name="Vérification 2 3 2 3 5 2 5" xfId="29041"/>
    <cellStyle name="Vérification 2 3 2 3 5 3" xfId="7182"/>
    <cellStyle name="Vérification 2 3 2 3 5 3 2" xfId="23406"/>
    <cellStyle name="Vérification 2 3 2 3 5 3 2 2" xfId="35413"/>
    <cellStyle name="Vérification 2 3 2 3 5 3 3" xfId="13566"/>
    <cellStyle name="Vérification 2 3 2 3 5 3 4" xfId="29787"/>
    <cellStyle name="Vérification 2 3 2 3 5 4" xfId="20466"/>
    <cellStyle name="Vérification 2 3 2 3 5 4 2" xfId="34255"/>
    <cellStyle name="Vérification 2 3 2 3 5 5" xfId="10795"/>
    <cellStyle name="Vérification 2 3 2 3 5 6" xfId="27018"/>
    <cellStyle name="Vérification 2 3 2 3 6" xfId="3108"/>
    <cellStyle name="Vérification 2 3 2 3 6 2" xfId="8160"/>
    <cellStyle name="Vérification 2 3 2 3 6 2 2" xfId="24384"/>
    <cellStyle name="Vérification 2 3 2 3 6 2 2 2" xfId="36391"/>
    <cellStyle name="Vérification 2 3 2 3 6 2 3" xfId="14167"/>
    <cellStyle name="Vérification 2 3 2 3 6 2 4" xfId="30388"/>
    <cellStyle name="Vérification 2 3 2 3 6 3" xfId="9783"/>
    <cellStyle name="Vérification 2 3 2 3 6 3 2" xfId="26007"/>
    <cellStyle name="Vérification 2 3 2 3 6 3 2 2" xfId="38014"/>
    <cellStyle name="Vérification 2 3 2 3 6 3 3" xfId="15790"/>
    <cellStyle name="Vérification 2 3 2 3 6 3 4" xfId="32011"/>
    <cellStyle name="Vérification 2 3 2 3 6 4" xfId="19336"/>
    <cellStyle name="Vérification 2 3 2 3 6 4 2" xfId="33450"/>
    <cellStyle name="Vérification 2 3 2 3 6 5" xfId="11715"/>
    <cellStyle name="Vérification 2 3 2 3 6 6" xfId="27936"/>
    <cellStyle name="Vérification 2 3 2 3 7" xfId="3262"/>
    <cellStyle name="Vérification 2 3 2 3 7 2" xfId="8262"/>
    <cellStyle name="Vérification 2 3 2 3 7 2 2" xfId="24486"/>
    <cellStyle name="Vérification 2 3 2 3 7 2 2 2" xfId="36493"/>
    <cellStyle name="Vérification 2 3 2 3 7 2 3" xfId="14269"/>
    <cellStyle name="Vérification 2 3 2 3 7 2 4" xfId="30490"/>
    <cellStyle name="Vérification 2 3 2 3 7 3" xfId="19490"/>
    <cellStyle name="Vérification 2 3 2 3 7 3 2" xfId="33604"/>
    <cellStyle name="Vérification 2 3 2 3 7 4" xfId="11817"/>
    <cellStyle name="Vérification 2 3 2 3 7 5" xfId="28038"/>
    <cellStyle name="Vérification 2 3 2 3 8" xfId="7226"/>
    <cellStyle name="Vérification 2 3 2 3 8 2" xfId="23450"/>
    <cellStyle name="Vérification 2 3 2 3 8 2 2" xfId="35457"/>
    <cellStyle name="Vérification 2 3 2 3 8 3" xfId="13610"/>
    <cellStyle name="Vérification 2 3 2 3 8 4" xfId="29831"/>
    <cellStyle name="Vérification 2 3 2 3 9" xfId="16782"/>
    <cellStyle name="Vérification 2 3 2 3 9 2" xfId="32678"/>
    <cellStyle name="Vérification 2 3 2 4" xfId="586"/>
    <cellStyle name="Vérification 2 3 2 4 10" xfId="10473"/>
    <cellStyle name="Vérification 2 3 2 4 11" xfId="26698"/>
    <cellStyle name="Vérification 2 3 2 4 2" xfId="1392"/>
    <cellStyle name="Vérification 2 3 2 4 2 2" xfId="2870"/>
    <cellStyle name="Vérification 2 3 2 4 2 2 2" xfId="6558"/>
    <cellStyle name="Vérification 2 3 2 4 2 2 2 2" xfId="8939"/>
    <cellStyle name="Vérification 2 3 2 4 2 2 2 2 2" xfId="25163"/>
    <cellStyle name="Vérification 2 3 2 4 2 2 2 2 2 2" xfId="37170"/>
    <cellStyle name="Vérification 2 3 2 4 2 2 2 2 3" xfId="14946"/>
    <cellStyle name="Vérification 2 3 2 4 2 2 2 2 4" xfId="31167"/>
    <cellStyle name="Vérification 2 3 2 4 2 2 2 3" xfId="10317"/>
    <cellStyle name="Vérification 2 3 2 4 2 2 2 3 2" xfId="26541"/>
    <cellStyle name="Vérification 2 3 2 4 2 2 2 3 2 2" xfId="38548"/>
    <cellStyle name="Vérification 2 3 2 4 2 2 2 3 3" xfId="16324"/>
    <cellStyle name="Vérification 2 3 2 4 2 2 2 3 4" xfId="32545"/>
    <cellStyle name="Vérification 2 3 2 4 2 2 2 4" xfId="22782"/>
    <cellStyle name="Vérification 2 3 2 4 2 2 2 4 2" xfId="34789"/>
    <cellStyle name="Vérification 2 3 2 4 2 2 2 5" xfId="12643"/>
    <cellStyle name="Vérification 2 3 2 4 2 2 2 6" xfId="28864"/>
    <cellStyle name="Vérification 2 3 2 4 2 2 3" xfId="7606"/>
    <cellStyle name="Vérification 2 3 2 4 2 2 3 2" xfId="9650"/>
    <cellStyle name="Vérification 2 3 2 4 2 2 3 2 2" xfId="25874"/>
    <cellStyle name="Vérification 2 3 2 4 2 2 3 2 2 2" xfId="37881"/>
    <cellStyle name="Vérification 2 3 2 4 2 2 3 2 3" xfId="15657"/>
    <cellStyle name="Vérification 2 3 2 4 2 2 3 2 4" xfId="31878"/>
    <cellStyle name="Vérification 2 3 2 4 2 2 3 3" xfId="23830"/>
    <cellStyle name="Vérification 2 3 2 4 2 2 3 3 2" xfId="35837"/>
    <cellStyle name="Vérification 2 3 2 4 2 2 3 4" xfId="13354"/>
    <cellStyle name="Vérification 2 3 2 4 2 2 3 5" xfId="29575"/>
    <cellStyle name="Vérification 2 3 2 4 2 2 4" xfId="7983"/>
    <cellStyle name="Vérification 2 3 2 4 2 2 4 2" xfId="24207"/>
    <cellStyle name="Vérification 2 3 2 4 2 2 4 2 2" xfId="36214"/>
    <cellStyle name="Vérification 2 3 2 4 2 2 4 3" xfId="13990"/>
    <cellStyle name="Vérification 2 3 2 4 2 2 4 4" xfId="30211"/>
    <cellStyle name="Vérification 2 3 2 4 2 2 5" xfId="19098"/>
    <cellStyle name="Vérification 2 3 2 4 2 2 5 2" xfId="33212"/>
    <cellStyle name="Vérification 2 3 2 4 2 2 6" xfId="11339"/>
    <cellStyle name="Vérification 2 3 2 4 2 2 7" xfId="27560"/>
    <cellStyle name="Vérification 2 3 2 4 2 3" xfId="5089"/>
    <cellStyle name="Vérification 2 3 2 4 2 3 2" xfId="7116"/>
    <cellStyle name="Vérification 2 3 2 4 2 3 2 2" xfId="9317"/>
    <cellStyle name="Vérification 2 3 2 4 2 3 2 2 2" xfId="25541"/>
    <cellStyle name="Vérification 2 3 2 4 2 3 2 2 2 2" xfId="37548"/>
    <cellStyle name="Vérification 2 3 2 4 2 3 2 2 3" xfId="15324"/>
    <cellStyle name="Vérification 2 3 2 4 2 3 2 2 4" xfId="31545"/>
    <cellStyle name="Vérification 2 3 2 4 2 3 2 3" xfId="23340"/>
    <cellStyle name="Vérification 2 3 2 4 2 3 2 3 2" xfId="35347"/>
    <cellStyle name="Vérification 2 3 2 4 2 3 2 4" xfId="13021"/>
    <cellStyle name="Vérification 2 3 2 4 2 3 2 5" xfId="29242"/>
    <cellStyle name="Vérification 2 3 2 4 2 3 3" xfId="6645"/>
    <cellStyle name="Vérification 2 3 2 4 2 3 3 2" xfId="22869"/>
    <cellStyle name="Vérification 2 3 2 4 2 3 3 2 2" xfId="34876"/>
    <cellStyle name="Vérification 2 3 2 4 2 3 3 3" xfId="11535"/>
    <cellStyle name="Vérification 2 3 2 4 2 3 3 4" xfId="27756"/>
    <cellStyle name="Vérification 2 3 2 4 2 3 4" xfId="21315"/>
    <cellStyle name="Vérification 2 3 2 4 2 3 4 2" xfId="34456"/>
    <cellStyle name="Vérification 2 3 2 4 2 3 5" xfId="11003"/>
    <cellStyle name="Vérification 2 3 2 4 2 3 6" xfId="27226"/>
    <cellStyle name="Vérification 2 3 2 4 2 4" xfId="3480"/>
    <cellStyle name="Vérification 2 3 2 4 2 4 2" xfId="8447"/>
    <cellStyle name="Vérification 2 3 2 4 2 4 2 2" xfId="24671"/>
    <cellStyle name="Vérification 2 3 2 4 2 4 2 2 2" xfId="36678"/>
    <cellStyle name="Vérification 2 3 2 4 2 4 2 3" xfId="14454"/>
    <cellStyle name="Vérification 2 3 2 4 2 4 2 4" xfId="30675"/>
    <cellStyle name="Vérification 2 3 2 4 2 4 3" xfId="9984"/>
    <cellStyle name="Vérification 2 3 2 4 2 4 3 2" xfId="26208"/>
    <cellStyle name="Vérification 2 3 2 4 2 4 3 2 2" xfId="38215"/>
    <cellStyle name="Vérification 2 3 2 4 2 4 3 3" xfId="15991"/>
    <cellStyle name="Vérification 2 3 2 4 2 4 3 4" xfId="32212"/>
    <cellStyle name="Vérification 2 3 2 4 2 4 4" xfId="19708"/>
    <cellStyle name="Vérification 2 3 2 4 2 4 4 2" xfId="33822"/>
    <cellStyle name="Vérification 2 3 2 4 2 4 5" xfId="12002"/>
    <cellStyle name="Vérification 2 3 2 4 2 4 6" xfId="28223"/>
    <cellStyle name="Vérification 2 3 2 4 2 5" xfId="3310"/>
    <cellStyle name="Vérification 2 3 2 4 2 5 2" xfId="8296"/>
    <cellStyle name="Vérification 2 3 2 4 2 5 2 2" xfId="24520"/>
    <cellStyle name="Vérification 2 3 2 4 2 5 2 2 2" xfId="36527"/>
    <cellStyle name="Vérification 2 3 2 4 2 5 2 3" xfId="14303"/>
    <cellStyle name="Vérification 2 3 2 4 2 5 2 4" xfId="30524"/>
    <cellStyle name="Vérification 2 3 2 4 2 5 3" xfId="19538"/>
    <cellStyle name="Vérification 2 3 2 4 2 5 3 2" xfId="33652"/>
    <cellStyle name="Vérification 2 3 2 4 2 5 4" xfId="11851"/>
    <cellStyle name="Vérification 2 3 2 4 2 5 5" xfId="28072"/>
    <cellStyle name="Vérification 2 3 2 4 2 6" xfId="3167"/>
    <cellStyle name="Vérification 2 3 2 4 2 6 2" xfId="19395"/>
    <cellStyle name="Vérification 2 3 2 4 2 6 2 2" xfId="33509"/>
    <cellStyle name="Vérification 2 3 2 4 2 6 3" xfId="12344"/>
    <cellStyle name="Vérification 2 3 2 4 2 6 4" xfId="28565"/>
    <cellStyle name="Vérification 2 3 2 4 2 7" xfId="17631"/>
    <cellStyle name="Vérification 2 3 2 4 2 7 2" xfId="32879"/>
    <cellStyle name="Vérification 2 3 2 4 2 8" xfId="10651"/>
    <cellStyle name="Vérification 2 3 2 4 2 9" xfId="26876"/>
    <cellStyle name="Vérification 2 3 2 4 3" xfId="1183"/>
    <cellStyle name="Vérification 2 3 2 4 3 2" xfId="2781"/>
    <cellStyle name="Vérification 2 3 2 4 3 2 2" xfId="6469"/>
    <cellStyle name="Vérification 2 3 2 4 3 2 2 2" xfId="8850"/>
    <cellStyle name="Vérification 2 3 2 4 3 2 2 2 2" xfId="25074"/>
    <cellStyle name="Vérification 2 3 2 4 3 2 2 2 2 2" xfId="37081"/>
    <cellStyle name="Vérification 2 3 2 4 3 2 2 2 3" xfId="14857"/>
    <cellStyle name="Vérification 2 3 2 4 3 2 2 2 4" xfId="31078"/>
    <cellStyle name="Vérification 2 3 2 4 3 2 2 3" xfId="10228"/>
    <cellStyle name="Vérification 2 3 2 4 3 2 2 3 2" xfId="26452"/>
    <cellStyle name="Vérification 2 3 2 4 3 2 2 3 2 2" xfId="38459"/>
    <cellStyle name="Vérification 2 3 2 4 3 2 2 3 3" xfId="16235"/>
    <cellStyle name="Vérification 2 3 2 4 3 2 2 3 4" xfId="32456"/>
    <cellStyle name="Vérification 2 3 2 4 3 2 2 4" xfId="22693"/>
    <cellStyle name="Vérification 2 3 2 4 3 2 2 4 2" xfId="34700"/>
    <cellStyle name="Vérification 2 3 2 4 3 2 2 5" xfId="12554"/>
    <cellStyle name="Vérification 2 3 2 4 3 2 2 6" xfId="28775"/>
    <cellStyle name="Vérification 2 3 2 4 3 2 3" xfId="7517"/>
    <cellStyle name="Vérification 2 3 2 4 3 2 3 2" xfId="9561"/>
    <cellStyle name="Vérification 2 3 2 4 3 2 3 2 2" xfId="25785"/>
    <cellStyle name="Vérification 2 3 2 4 3 2 3 2 2 2" xfId="37792"/>
    <cellStyle name="Vérification 2 3 2 4 3 2 3 2 3" xfId="15568"/>
    <cellStyle name="Vérification 2 3 2 4 3 2 3 2 4" xfId="31789"/>
    <cellStyle name="Vérification 2 3 2 4 3 2 3 3" xfId="23741"/>
    <cellStyle name="Vérification 2 3 2 4 3 2 3 3 2" xfId="35748"/>
    <cellStyle name="Vérification 2 3 2 4 3 2 3 4" xfId="13265"/>
    <cellStyle name="Vérification 2 3 2 4 3 2 3 5" xfId="29486"/>
    <cellStyle name="Vérification 2 3 2 4 3 2 4" xfId="7894"/>
    <cellStyle name="Vérification 2 3 2 4 3 2 4 2" xfId="24118"/>
    <cellStyle name="Vérification 2 3 2 4 3 2 4 2 2" xfId="36125"/>
    <cellStyle name="Vérification 2 3 2 4 3 2 4 3" xfId="13901"/>
    <cellStyle name="Vérification 2 3 2 4 3 2 4 4" xfId="30122"/>
    <cellStyle name="Vérification 2 3 2 4 3 2 5" xfId="19009"/>
    <cellStyle name="Vérification 2 3 2 4 3 2 5 2" xfId="33123"/>
    <cellStyle name="Vérification 2 3 2 4 3 2 6" xfId="11250"/>
    <cellStyle name="Vérification 2 3 2 4 3 2 7" xfId="27471"/>
    <cellStyle name="Vérification 2 3 2 4 3 3" xfId="4880"/>
    <cellStyle name="Vérification 2 3 2 4 3 3 2" xfId="7014"/>
    <cellStyle name="Vérification 2 3 2 4 3 3 2 2" xfId="9228"/>
    <cellStyle name="Vérification 2 3 2 4 3 3 2 2 2" xfId="25452"/>
    <cellStyle name="Vérification 2 3 2 4 3 3 2 2 2 2" xfId="37459"/>
    <cellStyle name="Vérification 2 3 2 4 3 3 2 2 3" xfId="15235"/>
    <cellStyle name="Vérification 2 3 2 4 3 3 2 2 4" xfId="31456"/>
    <cellStyle name="Vérification 2 3 2 4 3 3 2 3" xfId="23238"/>
    <cellStyle name="Vérification 2 3 2 4 3 3 2 3 2" xfId="35245"/>
    <cellStyle name="Vérification 2 3 2 4 3 3 2 4" xfId="12932"/>
    <cellStyle name="Vérification 2 3 2 4 3 3 2 5" xfId="29153"/>
    <cellStyle name="Vérification 2 3 2 4 3 3 3" xfId="3588"/>
    <cellStyle name="Vérification 2 3 2 4 3 3 3 2" xfId="19816"/>
    <cellStyle name="Vérification 2 3 2 4 3 3 3 2 2" xfId="33930"/>
    <cellStyle name="Vérification 2 3 2 4 3 3 3 3" xfId="11447"/>
    <cellStyle name="Vérification 2 3 2 4 3 3 3 4" xfId="27668"/>
    <cellStyle name="Vérification 2 3 2 4 3 3 4" xfId="21106"/>
    <cellStyle name="Vérification 2 3 2 4 3 3 4 2" xfId="34367"/>
    <cellStyle name="Vérification 2 3 2 4 3 3 5" xfId="10914"/>
    <cellStyle name="Vérification 2 3 2 4 3 3 6" xfId="27137"/>
    <cellStyle name="Vérification 2 3 2 4 3 4" xfId="3366"/>
    <cellStyle name="Vérification 2 3 2 4 3 4 2" xfId="8342"/>
    <cellStyle name="Vérification 2 3 2 4 3 4 2 2" xfId="24566"/>
    <cellStyle name="Vérification 2 3 2 4 3 4 2 2 2" xfId="36573"/>
    <cellStyle name="Vérification 2 3 2 4 3 4 2 3" xfId="14349"/>
    <cellStyle name="Vérification 2 3 2 4 3 4 2 4" xfId="30570"/>
    <cellStyle name="Vérification 2 3 2 4 3 4 3" xfId="9895"/>
    <cellStyle name="Vérification 2 3 2 4 3 4 3 2" xfId="26119"/>
    <cellStyle name="Vérification 2 3 2 4 3 4 3 2 2" xfId="38126"/>
    <cellStyle name="Vérification 2 3 2 4 3 4 3 3" xfId="15902"/>
    <cellStyle name="Vérification 2 3 2 4 3 4 3 4" xfId="32123"/>
    <cellStyle name="Vérification 2 3 2 4 3 4 4" xfId="19594"/>
    <cellStyle name="Vérification 2 3 2 4 3 4 4 2" xfId="33708"/>
    <cellStyle name="Vérification 2 3 2 4 3 4 5" xfId="11897"/>
    <cellStyle name="Vérification 2 3 2 4 3 4 6" xfId="28118"/>
    <cellStyle name="Vérification 2 3 2 4 3 5" xfId="3599"/>
    <cellStyle name="Vérification 2 3 2 4 3 5 2" xfId="8532"/>
    <cellStyle name="Vérification 2 3 2 4 3 5 2 2" xfId="24756"/>
    <cellStyle name="Vérification 2 3 2 4 3 5 2 2 2" xfId="36763"/>
    <cellStyle name="Vérification 2 3 2 4 3 5 2 3" xfId="14539"/>
    <cellStyle name="Vérification 2 3 2 4 3 5 2 4" xfId="30760"/>
    <cellStyle name="Vérification 2 3 2 4 3 5 3" xfId="19827"/>
    <cellStyle name="Vérification 2 3 2 4 3 5 3 2" xfId="33941"/>
    <cellStyle name="Vérification 2 3 2 4 3 5 4" xfId="12087"/>
    <cellStyle name="Vérification 2 3 2 4 3 5 5" xfId="28308"/>
    <cellStyle name="Vérification 2 3 2 4 3 6" xfId="3840"/>
    <cellStyle name="Vérification 2 3 2 4 3 6 2" xfId="20068"/>
    <cellStyle name="Vérification 2 3 2 4 3 6 2 2" xfId="34182"/>
    <cellStyle name="Vérification 2 3 2 4 3 6 3" xfId="13456"/>
    <cellStyle name="Vérification 2 3 2 4 3 6 4" xfId="29677"/>
    <cellStyle name="Vérification 2 3 2 4 3 7" xfId="17422"/>
    <cellStyle name="Vérification 2 3 2 4 3 7 2" xfId="32790"/>
    <cellStyle name="Vérification 2 3 2 4 3 8" xfId="10562"/>
    <cellStyle name="Vérification 2 3 2 4 3 9" xfId="26787"/>
    <cellStyle name="Vérification 2 3 2 4 4" xfId="2692"/>
    <cellStyle name="Vérification 2 3 2 4 4 2" xfId="6380"/>
    <cellStyle name="Vérification 2 3 2 4 4 2 2" xfId="8761"/>
    <cellStyle name="Vérification 2 3 2 4 4 2 2 2" xfId="24985"/>
    <cellStyle name="Vérification 2 3 2 4 4 2 2 2 2" xfId="36992"/>
    <cellStyle name="Vérification 2 3 2 4 4 2 2 3" xfId="14768"/>
    <cellStyle name="Vérification 2 3 2 4 4 2 2 4" xfId="30989"/>
    <cellStyle name="Vérification 2 3 2 4 4 2 3" xfId="10139"/>
    <cellStyle name="Vérification 2 3 2 4 4 2 3 2" xfId="26363"/>
    <cellStyle name="Vérification 2 3 2 4 4 2 3 2 2" xfId="38370"/>
    <cellStyle name="Vérification 2 3 2 4 4 2 3 3" xfId="16146"/>
    <cellStyle name="Vérification 2 3 2 4 4 2 3 4" xfId="32367"/>
    <cellStyle name="Vérification 2 3 2 4 4 2 4" xfId="22604"/>
    <cellStyle name="Vérification 2 3 2 4 4 2 4 2" xfId="34611"/>
    <cellStyle name="Vérification 2 3 2 4 4 2 5" xfId="12465"/>
    <cellStyle name="Vérification 2 3 2 4 4 2 6" xfId="28686"/>
    <cellStyle name="Vérification 2 3 2 4 4 3" xfId="7428"/>
    <cellStyle name="Vérification 2 3 2 4 4 3 2" xfId="9472"/>
    <cellStyle name="Vérification 2 3 2 4 4 3 2 2" xfId="25696"/>
    <cellStyle name="Vérification 2 3 2 4 4 3 2 2 2" xfId="37703"/>
    <cellStyle name="Vérification 2 3 2 4 4 3 2 3" xfId="15479"/>
    <cellStyle name="Vérification 2 3 2 4 4 3 2 4" xfId="31700"/>
    <cellStyle name="Vérification 2 3 2 4 4 3 3" xfId="23652"/>
    <cellStyle name="Vérification 2 3 2 4 4 3 3 2" xfId="35659"/>
    <cellStyle name="Vérification 2 3 2 4 4 3 4" xfId="13176"/>
    <cellStyle name="Vérification 2 3 2 4 4 3 5" xfId="29397"/>
    <cellStyle name="Vérification 2 3 2 4 4 4" xfId="7805"/>
    <cellStyle name="Vérification 2 3 2 4 4 4 2" xfId="24029"/>
    <cellStyle name="Vérification 2 3 2 4 4 4 2 2" xfId="36036"/>
    <cellStyle name="Vérification 2 3 2 4 4 4 3" xfId="13812"/>
    <cellStyle name="Vérification 2 3 2 4 4 4 4" xfId="30033"/>
    <cellStyle name="Vérification 2 3 2 4 4 5" xfId="18920"/>
    <cellStyle name="Vérification 2 3 2 4 4 5 2" xfId="33034"/>
    <cellStyle name="Vérification 2 3 2 4 4 6" xfId="11161"/>
    <cellStyle name="Vérification 2 3 2 4 4 7" xfId="27382"/>
    <cellStyle name="Vérification 2 3 2 4 5" xfId="4305"/>
    <cellStyle name="Vérification 2 3 2 4 5 2" xfId="6853"/>
    <cellStyle name="Vérification 2 3 2 4 5 2 2" xfId="9139"/>
    <cellStyle name="Vérification 2 3 2 4 5 2 2 2" xfId="25363"/>
    <cellStyle name="Vérification 2 3 2 4 5 2 2 2 2" xfId="37370"/>
    <cellStyle name="Vérification 2 3 2 4 5 2 2 3" xfId="15146"/>
    <cellStyle name="Vérification 2 3 2 4 5 2 2 4" xfId="31367"/>
    <cellStyle name="Vérification 2 3 2 4 5 2 3" xfId="23077"/>
    <cellStyle name="Vérification 2 3 2 4 5 2 3 2" xfId="35084"/>
    <cellStyle name="Vérification 2 3 2 4 5 2 4" xfId="12843"/>
    <cellStyle name="Vérification 2 3 2 4 5 2 5" xfId="29064"/>
    <cellStyle name="Vérification 2 3 2 4 5 3" xfId="3269"/>
    <cellStyle name="Vérification 2 3 2 4 5 3 2" xfId="19497"/>
    <cellStyle name="Vérification 2 3 2 4 5 3 2 2" xfId="33611"/>
    <cellStyle name="Vérification 2 3 2 4 5 3 3" xfId="11569"/>
    <cellStyle name="Vérification 2 3 2 4 5 3 4" xfId="27790"/>
    <cellStyle name="Vérification 2 3 2 4 5 4" xfId="20531"/>
    <cellStyle name="Vérification 2 3 2 4 5 4 2" xfId="34278"/>
    <cellStyle name="Vérification 2 3 2 4 5 5" xfId="10820"/>
    <cellStyle name="Vérification 2 3 2 4 5 6" xfId="27043"/>
    <cellStyle name="Vérification 2 3 2 4 6" xfId="3144"/>
    <cellStyle name="Vérification 2 3 2 4 6 2" xfId="8188"/>
    <cellStyle name="Vérification 2 3 2 4 6 2 2" xfId="24412"/>
    <cellStyle name="Vérification 2 3 2 4 6 2 2 2" xfId="36419"/>
    <cellStyle name="Vérification 2 3 2 4 6 2 3" xfId="14195"/>
    <cellStyle name="Vérification 2 3 2 4 6 2 4" xfId="30416"/>
    <cellStyle name="Vérification 2 3 2 4 6 3" xfId="9806"/>
    <cellStyle name="Vérification 2 3 2 4 6 3 2" xfId="26030"/>
    <cellStyle name="Vérification 2 3 2 4 6 3 2 2" xfId="38037"/>
    <cellStyle name="Vérification 2 3 2 4 6 3 3" xfId="15813"/>
    <cellStyle name="Vérification 2 3 2 4 6 3 4" xfId="32034"/>
    <cellStyle name="Vérification 2 3 2 4 6 4" xfId="19372"/>
    <cellStyle name="Vérification 2 3 2 4 6 4 2" xfId="33486"/>
    <cellStyle name="Vérification 2 3 2 4 6 5" xfId="11743"/>
    <cellStyle name="Vérification 2 3 2 4 6 6" xfId="27964"/>
    <cellStyle name="Vérification 2 3 2 4 7" xfId="3323"/>
    <cellStyle name="Vérification 2 3 2 4 7 2" xfId="8306"/>
    <cellStyle name="Vérification 2 3 2 4 7 2 2" xfId="24530"/>
    <cellStyle name="Vérification 2 3 2 4 7 2 2 2" xfId="36537"/>
    <cellStyle name="Vérification 2 3 2 4 7 2 3" xfId="14313"/>
    <cellStyle name="Vérification 2 3 2 4 7 2 4" xfId="30534"/>
    <cellStyle name="Vérification 2 3 2 4 7 3" xfId="19551"/>
    <cellStyle name="Vérification 2 3 2 4 7 3 2" xfId="33665"/>
    <cellStyle name="Vérification 2 3 2 4 7 4" xfId="11861"/>
    <cellStyle name="Vérification 2 3 2 4 7 5" xfId="28082"/>
    <cellStyle name="Vérification 2 3 2 4 8" xfId="3078"/>
    <cellStyle name="Vérification 2 3 2 4 8 2" xfId="19306"/>
    <cellStyle name="Vérification 2 3 2 4 8 2 2" xfId="33420"/>
    <cellStyle name="Vérification 2 3 2 4 8 3" xfId="13446"/>
    <cellStyle name="Vérification 2 3 2 4 8 4" xfId="29667"/>
    <cellStyle name="Vérification 2 3 2 4 9" xfId="16847"/>
    <cellStyle name="Vérification 2 3 2 4 9 2" xfId="32701"/>
    <cellStyle name="Vérification 2 3 2 5" xfId="746"/>
    <cellStyle name="Vérification 2 3 2 5 10" xfId="26720"/>
    <cellStyle name="Vérification 2 3 2 5 2" xfId="1414"/>
    <cellStyle name="Vérification 2 3 2 5 2 2" xfId="2892"/>
    <cellStyle name="Vérification 2 3 2 5 2 2 2" xfId="6580"/>
    <cellStyle name="Vérification 2 3 2 5 2 2 2 2" xfId="8961"/>
    <cellStyle name="Vérification 2 3 2 5 2 2 2 2 2" xfId="25185"/>
    <cellStyle name="Vérification 2 3 2 5 2 2 2 2 2 2" xfId="37192"/>
    <cellStyle name="Vérification 2 3 2 5 2 2 2 2 3" xfId="14968"/>
    <cellStyle name="Vérification 2 3 2 5 2 2 2 2 4" xfId="31189"/>
    <cellStyle name="Vérification 2 3 2 5 2 2 2 3" xfId="10339"/>
    <cellStyle name="Vérification 2 3 2 5 2 2 2 3 2" xfId="26563"/>
    <cellStyle name="Vérification 2 3 2 5 2 2 2 3 2 2" xfId="38570"/>
    <cellStyle name="Vérification 2 3 2 5 2 2 2 3 3" xfId="16346"/>
    <cellStyle name="Vérification 2 3 2 5 2 2 2 3 4" xfId="32567"/>
    <cellStyle name="Vérification 2 3 2 5 2 2 2 4" xfId="22804"/>
    <cellStyle name="Vérification 2 3 2 5 2 2 2 4 2" xfId="34811"/>
    <cellStyle name="Vérification 2 3 2 5 2 2 2 5" xfId="12665"/>
    <cellStyle name="Vérification 2 3 2 5 2 2 2 6" xfId="28886"/>
    <cellStyle name="Vérification 2 3 2 5 2 2 3" xfId="7628"/>
    <cellStyle name="Vérification 2 3 2 5 2 2 3 2" xfId="9672"/>
    <cellStyle name="Vérification 2 3 2 5 2 2 3 2 2" xfId="25896"/>
    <cellStyle name="Vérification 2 3 2 5 2 2 3 2 2 2" xfId="37903"/>
    <cellStyle name="Vérification 2 3 2 5 2 2 3 2 3" xfId="15679"/>
    <cellStyle name="Vérification 2 3 2 5 2 2 3 2 4" xfId="31900"/>
    <cellStyle name="Vérification 2 3 2 5 2 2 3 3" xfId="23852"/>
    <cellStyle name="Vérification 2 3 2 5 2 2 3 3 2" xfId="35859"/>
    <cellStyle name="Vérification 2 3 2 5 2 2 3 4" xfId="13376"/>
    <cellStyle name="Vérification 2 3 2 5 2 2 3 5" xfId="29597"/>
    <cellStyle name="Vérification 2 3 2 5 2 2 4" xfId="8005"/>
    <cellStyle name="Vérification 2 3 2 5 2 2 4 2" xfId="24229"/>
    <cellStyle name="Vérification 2 3 2 5 2 2 4 2 2" xfId="36236"/>
    <cellStyle name="Vérification 2 3 2 5 2 2 4 3" xfId="14012"/>
    <cellStyle name="Vérification 2 3 2 5 2 2 4 4" xfId="30233"/>
    <cellStyle name="Vérification 2 3 2 5 2 2 5" xfId="19120"/>
    <cellStyle name="Vérification 2 3 2 5 2 2 5 2" xfId="33234"/>
    <cellStyle name="Vérification 2 3 2 5 2 2 6" xfId="11361"/>
    <cellStyle name="Vérification 2 3 2 5 2 2 7" xfId="27582"/>
    <cellStyle name="Vérification 2 3 2 5 2 3" xfId="5111"/>
    <cellStyle name="Vérification 2 3 2 5 2 3 2" xfId="7138"/>
    <cellStyle name="Vérification 2 3 2 5 2 3 2 2" xfId="9339"/>
    <cellStyle name="Vérification 2 3 2 5 2 3 2 2 2" xfId="25563"/>
    <cellStyle name="Vérification 2 3 2 5 2 3 2 2 2 2" xfId="37570"/>
    <cellStyle name="Vérification 2 3 2 5 2 3 2 2 3" xfId="15346"/>
    <cellStyle name="Vérification 2 3 2 5 2 3 2 2 4" xfId="31567"/>
    <cellStyle name="Vérification 2 3 2 5 2 3 2 3" xfId="23362"/>
    <cellStyle name="Vérification 2 3 2 5 2 3 2 3 2" xfId="35369"/>
    <cellStyle name="Vérification 2 3 2 5 2 3 2 4" xfId="13043"/>
    <cellStyle name="Vérification 2 3 2 5 2 3 2 5" xfId="29264"/>
    <cellStyle name="Vérification 2 3 2 5 2 3 3" xfId="7270"/>
    <cellStyle name="Vérification 2 3 2 5 2 3 3 2" xfId="23494"/>
    <cellStyle name="Vérification 2 3 2 5 2 3 3 2 2" xfId="35501"/>
    <cellStyle name="Vérification 2 3 2 5 2 3 3 3" xfId="13654"/>
    <cellStyle name="Vérification 2 3 2 5 2 3 3 4" xfId="29875"/>
    <cellStyle name="Vérification 2 3 2 5 2 3 4" xfId="21337"/>
    <cellStyle name="Vérification 2 3 2 5 2 3 4 2" xfId="34478"/>
    <cellStyle name="Vérification 2 3 2 5 2 3 5" xfId="11025"/>
    <cellStyle name="Vérification 2 3 2 5 2 3 6" xfId="27248"/>
    <cellStyle name="Vérification 2 3 2 5 2 4" xfId="3502"/>
    <cellStyle name="Vérification 2 3 2 5 2 4 2" xfId="8469"/>
    <cellStyle name="Vérification 2 3 2 5 2 4 2 2" xfId="24693"/>
    <cellStyle name="Vérification 2 3 2 5 2 4 2 2 2" xfId="36700"/>
    <cellStyle name="Vérification 2 3 2 5 2 4 2 3" xfId="14476"/>
    <cellStyle name="Vérification 2 3 2 5 2 4 2 4" xfId="30697"/>
    <cellStyle name="Vérification 2 3 2 5 2 4 3" xfId="10006"/>
    <cellStyle name="Vérification 2 3 2 5 2 4 3 2" xfId="26230"/>
    <cellStyle name="Vérification 2 3 2 5 2 4 3 2 2" xfId="38237"/>
    <cellStyle name="Vérification 2 3 2 5 2 4 3 3" xfId="16013"/>
    <cellStyle name="Vérification 2 3 2 5 2 4 3 4" xfId="32234"/>
    <cellStyle name="Vérification 2 3 2 5 2 4 4" xfId="19730"/>
    <cellStyle name="Vérification 2 3 2 5 2 4 4 2" xfId="33844"/>
    <cellStyle name="Vérification 2 3 2 5 2 4 5" xfId="12024"/>
    <cellStyle name="Vérification 2 3 2 5 2 4 6" xfId="28245"/>
    <cellStyle name="Vérification 2 3 2 5 2 5" xfId="3374"/>
    <cellStyle name="Vérification 2 3 2 5 2 5 2" xfId="8350"/>
    <cellStyle name="Vérification 2 3 2 5 2 5 2 2" xfId="24574"/>
    <cellStyle name="Vérification 2 3 2 5 2 5 2 2 2" xfId="36581"/>
    <cellStyle name="Vérification 2 3 2 5 2 5 2 3" xfId="14357"/>
    <cellStyle name="Vérification 2 3 2 5 2 5 2 4" xfId="30578"/>
    <cellStyle name="Vérification 2 3 2 5 2 5 3" xfId="19602"/>
    <cellStyle name="Vérification 2 3 2 5 2 5 3 2" xfId="33716"/>
    <cellStyle name="Vérification 2 3 2 5 2 5 4" xfId="11905"/>
    <cellStyle name="Vérification 2 3 2 5 2 5 5" xfId="28126"/>
    <cellStyle name="Vérification 2 3 2 5 2 6" xfId="2984"/>
    <cellStyle name="Vérification 2 3 2 5 2 6 2" xfId="19212"/>
    <cellStyle name="Vérification 2 3 2 5 2 6 2 2" xfId="33326"/>
    <cellStyle name="Vérification 2 3 2 5 2 6 3" xfId="13528"/>
    <cellStyle name="Vérification 2 3 2 5 2 6 4" xfId="29749"/>
    <cellStyle name="Vérification 2 3 2 5 2 7" xfId="17653"/>
    <cellStyle name="Vérification 2 3 2 5 2 7 2" xfId="32901"/>
    <cellStyle name="Vérification 2 3 2 5 2 8" xfId="10673"/>
    <cellStyle name="Vérification 2 3 2 5 2 9" xfId="26898"/>
    <cellStyle name="Vérification 2 3 2 5 3" xfId="2714"/>
    <cellStyle name="Vérification 2 3 2 5 3 2" xfId="6402"/>
    <cellStyle name="Vérification 2 3 2 5 3 2 2" xfId="8783"/>
    <cellStyle name="Vérification 2 3 2 5 3 2 2 2" xfId="25007"/>
    <cellStyle name="Vérification 2 3 2 5 3 2 2 2 2" xfId="37014"/>
    <cellStyle name="Vérification 2 3 2 5 3 2 2 3" xfId="14790"/>
    <cellStyle name="Vérification 2 3 2 5 3 2 2 4" xfId="31011"/>
    <cellStyle name="Vérification 2 3 2 5 3 2 3" xfId="10161"/>
    <cellStyle name="Vérification 2 3 2 5 3 2 3 2" xfId="26385"/>
    <cellStyle name="Vérification 2 3 2 5 3 2 3 2 2" xfId="38392"/>
    <cellStyle name="Vérification 2 3 2 5 3 2 3 3" xfId="16168"/>
    <cellStyle name="Vérification 2 3 2 5 3 2 3 4" xfId="32389"/>
    <cellStyle name="Vérification 2 3 2 5 3 2 4" xfId="22626"/>
    <cellStyle name="Vérification 2 3 2 5 3 2 4 2" xfId="34633"/>
    <cellStyle name="Vérification 2 3 2 5 3 2 5" xfId="12487"/>
    <cellStyle name="Vérification 2 3 2 5 3 2 6" xfId="28708"/>
    <cellStyle name="Vérification 2 3 2 5 3 3" xfId="7450"/>
    <cellStyle name="Vérification 2 3 2 5 3 3 2" xfId="9494"/>
    <cellStyle name="Vérification 2 3 2 5 3 3 2 2" xfId="25718"/>
    <cellStyle name="Vérification 2 3 2 5 3 3 2 2 2" xfId="37725"/>
    <cellStyle name="Vérification 2 3 2 5 3 3 2 3" xfId="15501"/>
    <cellStyle name="Vérification 2 3 2 5 3 3 2 4" xfId="31722"/>
    <cellStyle name="Vérification 2 3 2 5 3 3 3" xfId="23674"/>
    <cellStyle name="Vérification 2 3 2 5 3 3 3 2" xfId="35681"/>
    <cellStyle name="Vérification 2 3 2 5 3 3 4" xfId="13198"/>
    <cellStyle name="Vérification 2 3 2 5 3 3 5" xfId="29419"/>
    <cellStyle name="Vérification 2 3 2 5 3 4" xfId="7827"/>
    <cellStyle name="Vérification 2 3 2 5 3 4 2" xfId="24051"/>
    <cellStyle name="Vérification 2 3 2 5 3 4 2 2" xfId="36058"/>
    <cellStyle name="Vérification 2 3 2 5 3 4 3" xfId="13834"/>
    <cellStyle name="Vérification 2 3 2 5 3 4 4" xfId="30055"/>
    <cellStyle name="Vérification 2 3 2 5 3 5" xfId="18942"/>
    <cellStyle name="Vérification 2 3 2 5 3 5 2" xfId="33056"/>
    <cellStyle name="Vérification 2 3 2 5 3 6" xfId="11183"/>
    <cellStyle name="Vérification 2 3 2 5 3 7" xfId="27404"/>
    <cellStyle name="Vérification 2 3 2 5 4" xfId="4447"/>
    <cellStyle name="Vérification 2 3 2 5 4 2" xfId="6892"/>
    <cellStyle name="Vérification 2 3 2 5 4 2 2" xfId="9161"/>
    <cellStyle name="Vérification 2 3 2 5 4 2 2 2" xfId="25385"/>
    <cellStyle name="Vérification 2 3 2 5 4 2 2 2 2" xfId="37392"/>
    <cellStyle name="Vérification 2 3 2 5 4 2 2 3" xfId="15168"/>
    <cellStyle name="Vérification 2 3 2 5 4 2 2 4" xfId="31389"/>
    <cellStyle name="Vérification 2 3 2 5 4 2 3" xfId="23116"/>
    <cellStyle name="Vérification 2 3 2 5 4 2 3 2" xfId="35123"/>
    <cellStyle name="Vérification 2 3 2 5 4 2 4" xfId="12865"/>
    <cellStyle name="Vérification 2 3 2 5 4 2 5" xfId="29086"/>
    <cellStyle name="Vérification 2 3 2 5 4 3" xfId="7329"/>
    <cellStyle name="Vérification 2 3 2 5 4 3 2" xfId="23553"/>
    <cellStyle name="Vérification 2 3 2 5 4 3 2 2" xfId="35560"/>
    <cellStyle name="Vérification 2 3 2 5 4 3 3" xfId="13693"/>
    <cellStyle name="Vérification 2 3 2 5 4 3 4" xfId="29914"/>
    <cellStyle name="Vérification 2 3 2 5 4 4" xfId="20673"/>
    <cellStyle name="Vérification 2 3 2 5 4 4 2" xfId="34300"/>
    <cellStyle name="Vérification 2 3 2 5 4 5" xfId="10846"/>
    <cellStyle name="Vérification 2 3 2 5 4 6" xfId="27069"/>
    <cellStyle name="Vérification 2 3 2 5 5" xfId="3203"/>
    <cellStyle name="Vérification 2 3 2 5 5 2" xfId="8224"/>
    <cellStyle name="Vérification 2 3 2 5 5 2 2" xfId="24448"/>
    <cellStyle name="Vérification 2 3 2 5 5 2 2 2" xfId="36455"/>
    <cellStyle name="Vérification 2 3 2 5 5 2 3" xfId="14231"/>
    <cellStyle name="Vérification 2 3 2 5 5 2 4" xfId="30452"/>
    <cellStyle name="Vérification 2 3 2 5 5 3" xfId="9828"/>
    <cellStyle name="Vérification 2 3 2 5 5 3 2" xfId="26052"/>
    <cellStyle name="Vérification 2 3 2 5 5 3 2 2" xfId="38059"/>
    <cellStyle name="Vérification 2 3 2 5 5 3 3" xfId="15835"/>
    <cellStyle name="Vérification 2 3 2 5 5 3 4" xfId="32056"/>
    <cellStyle name="Vérification 2 3 2 5 5 4" xfId="19431"/>
    <cellStyle name="Vérification 2 3 2 5 5 4 2" xfId="33545"/>
    <cellStyle name="Vérification 2 3 2 5 5 5" xfId="11779"/>
    <cellStyle name="Vérification 2 3 2 5 5 6" xfId="28000"/>
    <cellStyle name="Vérification 2 3 2 5 6" xfId="3522"/>
    <cellStyle name="Vérification 2 3 2 5 6 2" xfId="8488"/>
    <cellStyle name="Vérification 2 3 2 5 6 2 2" xfId="24712"/>
    <cellStyle name="Vérification 2 3 2 5 6 2 2 2" xfId="36719"/>
    <cellStyle name="Vérification 2 3 2 5 6 2 3" xfId="14495"/>
    <cellStyle name="Vérification 2 3 2 5 6 2 4" xfId="30716"/>
    <cellStyle name="Vérification 2 3 2 5 6 3" xfId="19750"/>
    <cellStyle name="Vérification 2 3 2 5 6 3 2" xfId="33864"/>
    <cellStyle name="Vérification 2 3 2 5 6 4" xfId="12043"/>
    <cellStyle name="Vérification 2 3 2 5 6 5" xfId="28264"/>
    <cellStyle name="Vérification 2 3 2 5 7" xfId="2973"/>
    <cellStyle name="Vérification 2 3 2 5 7 2" xfId="19201"/>
    <cellStyle name="Vérification 2 3 2 5 7 2 2" xfId="33315"/>
    <cellStyle name="Vérification 2 3 2 5 7 3" xfId="12281"/>
    <cellStyle name="Vérification 2 3 2 5 7 4" xfId="28502"/>
    <cellStyle name="Vérification 2 3 2 5 8" xfId="16989"/>
    <cellStyle name="Vérification 2 3 2 5 8 2" xfId="32723"/>
    <cellStyle name="Vérification 2 3 2 5 9" xfId="10495"/>
    <cellStyle name="Vérification 2 3 2 6" xfId="1325"/>
    <cellStyle name="Vérification 2 3 2 6 2" xfId="2803"/>
    <cellStyle name="Vérification 2 3 2 6 2 2" xfId="6491"/>
    <cellStyle name="Vérification 2 3 2 6 2 2 2" xfId="8872"/>
    <cellStyle name="Vérification 2 3 2 6 2 2 2 2" xfId="25096"/>
    <cellStyle name="Vérification 2 3 2 6 2 2 2 2 2" xfId="37103"/>
    <cellStyle name="Vérification 2 3 2 6 2 2 2 3" xfId="14879"/>
    <cellStyle name="Vérification 2 3 2 6 2 2 2 4" xfId="31100"/>
    <cellStyle name="Vérification 2 3 2 6 2 2 3" xfId="10250"/>
    <cellStyle name="Vérification 2 3 2 6 2 2 3 2" xfId="26474"/>
    <cellStyle name="Vérification 2 3 2 6 2 2 3 2 2" xfId="38481"/>
    <cellStyle name="Vérification 2 3 2 6 2 2 3 3" xfId="16257"/>
    <cellStyle name="Vérification 2 3 2 6 2 2 3 4" xfId="32478"/>
    <cellStyle name="Vérification 2 3 2 6 2 2 4" xfId="22715"/>
    <cellStyle name="Vérification 2 3 2 6 2 2 4 2" xfId="34722"/>
    <cellStyle name="Vérification 2 3 2 6 2 2 5" xfId="12576"/>
    <cellStyle name="Vérification 2 3 2 6 2 2 6" xfId="28797"/>
    <cellStyle name="Vérification 2 3 2 6 2 3" xfId="7539"/>
    <cellStyle name="Vérification 2 3 2 6 2 3 2" xfId="9583"/>
    <cellStyle name="Vérification 2 3 2 6 2 3 2 2" xfId="25807"/>
    <cellStyle name="Vérification 2 3 2 6 2 3 2 2 2" xfId="37814"/>
    <cellStyle name="Vérification 2 3 2 6 2 3 2 3" xfId="15590"/>
    <cellStyle name="Vérification 2 3 2 6 2 3 2 4" xfId="31811"/>
    <cellStyle name="Vérification 2 3 2 6 2 3 3" xfId="23763"/>
    <cellStyle name="Vérification 2 3 2 6 2 3 3 2" xfId="35770"/>
    <cellStyle name="Vérification 2 3 2 6 2 3 4" xfId="13287"/>
    <cellStyle name="Vérification 2 3 2 6 2 3 5" xfId="29508"/>
    <cellStyle name="Vérification 2 3 2 6 2 4" xfId="7916"/>
    <cellStyle name="Vérification 2 3 2 6 2 4 2" xfId="24140"/>
    <cellStyle name="Vérification 2 3 2 6 2 4 2 2" xfId="36147"/>
    <cellStyle name="Vérification 2 3 2 6 2 4 3" xfId="13923"/>
    <cellStyle name="Vérification 2 3 2 6 2 4 4" xfId="30144"/>
    <cellStyle name="Vérification 2 3 2 6 2 5" xfId="19031"/>
    <cellStyle name="Vérification 2 3 2 6 2 5 2" xfId="33145"/>
    <cellStyle name="Vérification 2 3 2 6 2 6" xfId="11272"/>
    <cellStyle name="Vérification 2 3 2 6 2 7" xfId="27493"/>
    <cellStyle name="Vérification 2 3 2 6 3" xfId="5022"/>
    <cellStyle name="Vérification 2 3 2 6 3 2" xfId="7049"/>
    <cellStyle name="Vérification 2 3 2 6 3 2 2" xfId="9250"/>
    <cellStyle name="Vérification 2 3 2 6 3 2 2 2" xfId="25474"/>
    <cellStyle name="Vérification 2 3 2 6 3 2 2 2 2" xfId="37481"/>
    <cellStyle name="Vérification 2 3 2 6 3 2 2 3" xfId="15257"/>
    <cellStyle name="Vérification 2 3 2 6 3 2 2 4" xfId="31478"/>
    <cellStyle name="Vérification 2 3 2 6 3 2 3" xfId="23273"/>
    <cellStyle name="Vérification 2 3 2 6 3 2 3 2" xfId="35280"/>
    <cellStyle name="Vérification 2 3 2 6 3 2 4" xfId="12954"/>
    <cellStyle name="Vérification 2 3 2 6 3 2 5" xfId="29175"/>
    <cellStyle name="Vérification 2 3 2 6 3 3" xfId="3523"/>
    <cellStyle name="Vérification 2 3 2 6 3 3 2" xfId="19751"/>
    <cellStyle name="Vérification 2 3 2 6 3 3 2 2" xfId="33865"/>
    <cellStyle name="Vérification 2 3 2 6 3 3 3" xfId="11442"/>
    <cellStyle name="Vérification 2 3 2 6 3 3 4" xfId="27663"/>
    <cellStyle name="Vérification 2 3 2 6 3 4" xfId="21248"/>
    <cellStyle name="Vérification 2 3 2 6 3 4 2" xfId="34389"/>
    <cellStyle name="Vérification 2 3 2 6 3 5" xfId="10936"/>
    <cellStyle name="Vérification 2 3 2 6 3 6" xfId="27159"/>
    <cellStyle name="Vérification 2 3 2 6 4" xfId="3413"/>
    <cellStyle name="Vérification 2 3 2 6 4 2" xfId="8380"/>
    <cellStyle name="Vérification 2 3 2 6 4 2 2" xfId="24604"/>
    <cellStyle name="Vérification 2 3 2 6 4 2 2 2" xfId="36611"/>
    <cellStyle name="Vérification 2 3 2 6 4 2 3" xfId="14387"/>
    <cellStyle name="Vérification 2 3 2 6 4 2 4" xfId="30608"/>
    <cellStyle name="Vérification 2 3 2 6 4 3" xfId="9917"/>
    <cellStyle name="Vérification 2 3 2 6 4 3 2" xfId="26141"/>
    <cellStyle name="Vérification 2 3 2 6 4 3 2 2" xfId="38148"/>
    <cellStyle name="Vérification 2 3 2 6 4 3 3" xfId="15924"/>
    <cellStyle name="Vérification 2 3 2 6 4 3 4" xfId="32145"/>
    <cellStyle name="Vérification 2 3 2 6 4 4" xfId="19641"/>
    <cellStyle name="Vérification 2 3 2 6 4 4 2" xfId="33755"/>
    <cellStyle name="Vérification 2 3 2 6 4 5" xfId="11935"/>
    <cellStyle name="Vérification 2 3 2 6 4 6" xfId="28156"/>
    <cellStyle name="Vérification 2 3 2 6 5" xfId="3575"/>
    <cellStyle name="Vérification 2 3 2 6 5 2" xfId="8518"/>
    <cellStyle name="Vérification 2 3 2 6 5 2 2" xfId="24742"/>
    <cellStyle name="Vérification 2 3 2 6 5 2 2 2" xfId="36749"/>
    <cellStyle name="Vérification 2 3 2 6 5 2 3" xfId="14525"/>
    <cellStyle name="Vérification 2 3 2 6 5 2 4" xfId="30746"/>
    <cellStyle name="Vérification 2 3 2 6 5 3" xfId="19803"/>
    <cellStyle name="Vérification 2 3 2 6 5 3 2" xfId="33917"/>
    <cellStyle name="Vérification 2 3 2 6 5 4" xfId="12073"/>
    <cellStyle name="Vérification 2 3 2 6 5 5" xfId="28294"/>
    <cellStyle name="Vérification 2 3 2 6 6" xfId="3227"/>
    <cellStyle name="Vérification 2 3 2 6 6 2" xfId="19455"/>
    <cellStyle name="Vérification 2 3 2 6 6 2 2" xfId="33569"/>
    <cellStyle name="Vérification 2 3 2 6 6 3" xfId="11462"/>
    <cellStyle name="Vérification 2 3 2 6 6 4" xfId="27683"/>
    <cellStyle name="Vérification 2 3 2 6 7" xfId="17564"/>
    <cellStyle name="Vérification 2 3 2 6 7 2" xfId="32812"/>
    <cellStyle name="Vérification 2 3 2 6 8" xfId="10584"/>
    <cellStyle name="Vérification 2 3 2 6 9" xfId="26809"/>
    <cellStyle name="Vérification 2 3 2 7" xfId="2460"/>
    <cellStyle name="Vérification 2 3 2 7 2" xfId="2915"/>
    <cellStyle name="Vérification 2 3 2 7 2 2" xfId="6603"/>
    <cellStyle name="Vérification 2 3 2 7 2 2 2" xfId="8984"/>
    <cellStyle name="Vérification 2 3 2 7 2 2 2 2" xfId="25208"/>
    <cellStyle name="Vérification 2 3 2 7 2 2 2 2 2" xfId="37215"/>
    <cellStyle name="Vérification 2 3 2 7 2 2 2 3" xfId="14991"/>
    <cellStyle name="Vérification 2 3 2 7 2 2 2 4" xfId="31212"/>
    <cellStyle name="Vérification 2 3 2 7 2 2 3" xfId="10362"/>
    <cellStyle name="Vérification 2 3 2 7 2 2 3 2" xfId="26586"/>
    <cellStyle name="Vérification 2 3 2 7 2 2 3 2 2" xfId="38593"/>
    <cellStyle name="Vérification 2 3 2 7 2 2 3 3" xfId="16369"/>
    <cellStyle name="Vérification 2 3 2 7 2 2 3 4" xfId="32590"/>
    <cellStyle name="Vérification 2 3 2 7 2 2 4" xfId="22827"/>
    <cellStyle name="Vérification 2 3 2 7 2 2 4 2" xfId="34834"/>
    <cellStyle name="Vérification 2 3 2 7 2 2 5" xfId="12688"/>
    <cellStyle name="Vérification 2 3 2 7 2 2 6" xfId="28909"/>
    <cellStyle name="Vérification 2 3 2 7 2 3" xfId="7651"/>
    <cellStyle name="Vérification 2 3 2 7 2 3 2" xfId="9695"/>
    <cellStyle name="Vérification 2 3 2 7 2 3 2 2" xfId="25919"/>
    <cellStyle name="Vérification 2 3 2 7 2 3 2 2 2" xfId="37926"/>
    <cellStyle name="Vérification 2 3 2 7 2 3 2 3" xfId="15702"/>
    <cellStyle name="Vérification 2 3 2 7 2 3 2 4" xfId="31923"/>
    <cellStyle name="Vérification 2 3 2 7 2 3 3" xfId="23875"/>
    <cellStyle name="Vérification 2 3 2 7 2 3 3 2" xfId="35882"/>
    <cellStyle name="Vérification 2 3 2 7 2 3 4" xfId="13399"/>
    <cellStyle name="Vérification 2 3 2 7 2 3 5" xfId="29620"/>
    <cellStyle name="Vérification 2 3 2 7 2 4" xfId="8028"/>
    <cellStyle name="Vérification 2 3 2 7 2 4 2" xfId="24252"/>
    <cellStyle name="Vérification 2 3 2 7 2 4 2 2" xfId="36259"/>
    <cellStyle name="Vérification 2 3 2 7 2 4 3" xfId="14035"/>
    <cellStyle name="Vérification 2 3 2 7 2 4 4" xfId="30256"/>
    <cellStyle name="Vérification 2 3 2 7 2 5" xfId="19143"/>
    <cellStyle name="Vérification 2 3 2 7 2 5 2" xfId="33257"/>
    <cellStyle name="Vérification 2 3 2 7 2 6" xfId="11384"/>
    <cellStyle name="Vérification 2 3 2 7 2 7" xfId="27605"/>
    <cellStyle name="Vérification 2 3 2 7 3" xfId="6150"/>
    <cellStyle name="Vérification 2 3 2 7 3 2" xfId="7306"/>
    <cellStyle name="Vérification 2 3 2 7 3 2 2" xfId="9362"/>
    <cellStyle name="Vérification 2 3 2 7 3 2 2 2" xfId="25586"/>
    <cellStyle name="Vérification 2 3 2 7 3 2 2 2 2" xfId="37593"/>
    <cellStyle name="Vérification 2 3 2 7 3 2 2 3" xfId="15369"/>
    <cellStyle name="Vérification 2 3 2 7 3 2 2 4" xfId="31590"/>
    <cellStyle name="Vérification 2 3 2 7 3 2 3" xfId="23530"/>
    <cellStyle name="Vérification 2 3 2 7 3 2 3 2" xfId="35537"/>
    <cellStyle name="Vérification 2 3 2 7 3 2 4" xfId="13066"/>
    <cellStyle name="Vérification 2 3 2 7 3 2 5" xfId="29287"/>
    <cellStyle name="Vérification 2 3 2 7 3 3" xfId="7695"/>
    <cellStyle name="Vérification 2 3 2 7 3 3 2" xfId="23919"/>
    <cellStyle name="Vérification 2 3 2 7 3 3 2 2" xfId="35926"/>
    <cellStyle name="Vérification 2 3 2 7 3 3 3" xfId="13702"/>
    <cellStyle name="Vérification 2 3 2 7 3 3 4" xfId="29923"/>
    <cellStyle name="Vérification 2 3 2 7 3 4" xfId="22374"/>
    <cellStyle name="Vérification 2 3 2 7 3 4 2" xfId="34501"/>
    <cellStyle name="Vérification 2 3 2 7 3 5" xfId="11050"/>
    <cellStyle name="Vérification 2 3 2 7 3 6" xfId="27271"/>
    <cellStyle name="Vérification 2 3 2 7 4" xfId="3796"/>
    <cellStyle name="Vérification 2 3 2 7 4 2" xfId="8637"/>
    <cellStyle name="Vérification 2 3 2 7 4 2 2" xfId="24861"/>
    <cellStyle name="Vérification 2 3 2 7 4 2 2 2" xfId="36868"/>
    <cellStyle name="Vérification 2 3 2 7 4 2 3" xfId="14644"/>
    <cellStyle name="Vérification 2 3 2 7 4 2 4" xfId="30865"/>
    <cellStyle name="Vérification 2 3 2 7 4 3" xfId="10029"/>
    <cellStyle name="Vérification 2 3 2 7 4 3 2" xfId="26253"/>
    <cellStyle name="Vérification 2 3 2 7 4 3 2 2" xfId="38260"/>
    <cellStyle name="Vérification 2 3 2 7 4 3 3" xfId="16036"/>
    <cellStyle name="Vérification 2 3 2 7 4 3 4" xfId="32257"/>
    <cellStyle name="Vérification 2 3 2 7 4 4" xfId="20024"/>
    <cellStyle name="Vérification 2 3 2 7 4 4 2" xfId="34138"/>
    <cellStyle name="Vérification 2 3 2 7 4 5" xfId="12192"/>
    <cellStyle name="Vérification 2 3 2 7 4 6" xfId="28413"/>
    <cellStyle name="Vérification 2 3 2 7 5" xfId="6670"/>
    <cellStyle name="Vérification 2 3 2 7 5 2" xfId="9028"/>
    <cellStyle name="Vérification 2 3 2 7 5 2 2" xfId="25252"/>
    <cellStyle name="Vérification 2 3 2 7 5 2 2 2" xfId="37259"/>
    <cellStyle name="Vérification 2 3 2 7 5 2 3" xfId="15035"/>
    <cellStyle name="Vérification 2 3 2 7 5 2 4" xfId="31256"/>
    <cellStyle name="Vérification 2 3 2 7 5 3" xfId="22894"/>
    <cellStyle name="Vérification 2 3 2 7 5 3 2" xfId="34901"/>
    <cellStyle name="Vérification 2 3 2 7 5 4" xfId="12732"/>
    <cellStyle name="Vérification 2 3 2 7 5 5" xfId="28953"/>
    <cellStyle name="Vérification 2 3 2 7 6" xfId="6843"/>
    <cellStyle name="Vérification 2 3 2 7 6 2" xfId="23067"/>
    <cellStyle name="Vérification 2 3 2 7 6 2 2" xfId="35074"/>
    <cellStyle name="Vérification 2 3 2 7 6 3" xfId="12380"/>
    <cellStyle name="Vérification 2 3 2 7 6 4" xfId="28601"/>
    <cellStyle name="Vérification 2 3 2 7 7" xfId="18690"/>
    <cellStyle name="Vérification 2 3 2 7 7 2" xfId="32924"/>
    <cellStyle name="Vérification 2 3 2 7 8" xfId="10698"/>
    <cellStyle name="Vérification 2 3 2 7 9" xfId="26921"/>
    <cellStyle name="Vérification 2 3 2 8" xfId="2603"/>
    <cellStyle name="Vérification 2 3 2 8 2" xfId="2936"/>
    <cellStyle name="Vérification 2 3 2 8 2 2" xfId="6624"/>
    <cellStyle name="Vérification 2 3 2 8 2 2 2" xfId="9005"/>
    <cellStyle name="Vérification 2 3 2 8 2 2 2 2" xfId="25229"/>
    <cellStyle name="Vérification 2 3 2 8 2 2 2 2 2" xfId="37236"/>
    <cellStyle name="Vérification 2 3 2 8 2 2 2 3" xfId="15012"/>
    <cellStyle name="Vérification 2 3 2 8 2 2 2 4" xfId="31233"/>
    <cellStyle name="Vérification 2 3 2 8 2 2 3" xfId="10383"/>
    <cellStyle name="Vérification 2 3 2 8 2 2 3 2" xfId="26607"/>
    <cellStyle name="Vérification 2 3 2 8 2 2 3 2 2" xfId="38614"/>
    <cellStyle name="Vérification 2 3 2 8 2 2 3 3" xfId="16390"/>
    <cellStyle name="Vérification 2 3 2 8 2 2 3 4" xfId="32611"/>
    <cellStyle name="Vérification 2 3 2 8 2 2 4" xfId="22848"/>
    <cellStyle name="Vérification 2 3 2 8 2 2 4 2" xfId="34855"/>
    <cellStyle name="Vérification 2 3 2 8 2 2 5" xfId="12709"/>
    <cellStyle name="Vérification 2 3 2 8 2 2 6" xfId="28930"/>
    <cellStyle name="Vérification 2 3 2 8 2 3" xfId="7672"/>
    <cellStyle name="Vérification 2 3 2 8 2 3 2" xfId="9716"/>
    <cellStyle name="Vérification 2 3 2 8 2 3 2 2" xfId="25940"/>
    <cellStyle name="Vérification 2 3 2 8 2 3 2 2 2" xfId="37947"/>
    <cellStyle name="Vérification 2 3 2 8 2 3 2 3" xfId="15723"/>
    <cellStyle name="Vérification 2 3 2 8 2 3 2 4" xfId="31944"/>
    <cellStyle name="Vérification 2 3 2 8 2 3 3" xfId="23896"/>
    <cellStyle name="Vérification 2 3 2 8 2 3 3 2" xfId="35903"/>
    <cellStyle name="Vérification 2 3 2 8 2 3 4" xfId="13420"/>
    <cellStyle name="Vérification 2 3 2 8 2 3 5" xfId="29641"/>
    <cellStyle name="Vérification 2 3 2 8 2 4" xfId="8049"/>
    <cellStyle name="Vérification 2 3 2 8 2 4 2" xfId="24273"/>
    <cellStyle name="Vérification 2 3 2 8 2 4 2 2" xfId="36280"/>
    <cellStyle name="Vérification 2 3 2 8 2 4 3" xfId="14056"/>
    <cellStyle name="Vérification 2 3 2 8 2 4 4" xfId="30277"/>
    <cellStyle name="Vérification 2 3 2 8 2 5" xfId="19164"/>
    <cellStyle name="Vérification 2 3 2 8 2 5 2" xfId="33278"/>
    <cellStyle name="Vérification 2 3 2 8 2 6" xfId="11405"/>
    <cellStyle name="Vérification 2 3 2 8 2 7" xfId="27626"/>
    <cellStyle name="Vérification 2 3 2 8 3" xfId="6291"/>
    <cellStyle name="Vérification 2 3 2 8 3 2" xfId="7339"/>
    <cellStyle name="Vérification 2 3 2 8 3 2 2" xfId="9383"/>
    <cellStyle name="Vérification 2 3 2 8 3 2 2 2" xfId="25607"/>
    <cellStyle name="Vérification 2 3 2 8 3 2 2 2 2" xfId="37614"/>
    <cellStyle name="Vérification 2 3 2 8 3 2 2 3" xfId="15390"/>
    <cellStyle name="Vérification 2 3 2 8 3 2 2 4" xfId="31611"/>
    <cellStyle name="Vérification 2 3 2 8 3 2 3" xfId="23563"/>
    <cellStyle name="Vérification 2 3 2 8 3 2 3 2" xfId="35570"/>
    <cellStyle name="Vérification 2 3 2 8 3 2 4" xfId="13087"/>
    <cellStyle name="Vérification 2 3 2 8 3 2 5" xfId="29308"/>
    <cellStyle name="Vérification 2 3 2 8 3 3" xfId="7716"/>
    <cellStyle name="Vérification 2 3 2 8 3 3 2" xfId="23940"/>
    <cellStyle name="Vérification 2 3 2 8 3 3 2 2" xfId="35947"/>
    <cellStyle name="Vérification 2 3 2 8 3 3 3" xfId="13723"/>
    <cellStyle name="Vérification 2 3 2 8 3 3 4" xfId="29944"/>
    <cellStyle name="Vérification 2 3 2 8 3 4" xfId="22515"/>
    <cellStyle name="Vérification 2 3 2 8 3 4 2" xfId="34522"/>
    <cellStyle name="Vérification 2 3 2 8 3 5" xfId="11072"/>
    <cellStyle name="Vérification 2 3 2 8 3 6" xfId="27293"/>
    <cellStyle name="Vérification 2 3 2 8 4" xfId="3846"/>
    <cellStyle name="Vérification 2 3 2 8 4 2" xfId="8672"/>
    <cellStyle name="Vérification 2 3 2 8 4 2 2" xfId="24896"/>
    <cellStyle name="Vérification 2 3 2 8 4 2 2 2" xfId="36903"/>
    <cellStyle name="Vérification 2 3 2 8 4 2 3" xfId="14679"/>
    <cellStyle name="Vérification 2 3 2 8 4 2 4" xfId="30900"/>
    <cellStyle name="Vérification 2 3 2 8 4 3" xfId="10050"/>
    <cellStyle name="Vérification 2 3 2 8 4 3 2" xfId="26274"/>
    <cellStyle name="Vérification 2 3 2 8 4 3 2 2" xfId="38281"/>
    <cellStyle name="Vérification 2 3 2 8 4 3 3" xfId="16057"/>
    <cellStyle name="Vérification 2 3 2 8 4 3 4" xfId="32278"/>
    <cellStyle name="Vérification 2 3 2 8 4 4" xfId="20074"/>
    <cellStyle name="Vérification 2 3 2 8 4 4 2" xfId="34188"/>
    <cellStyle name="Vérification 2 3 2 8 4 5" xfId="12227"/>
    <cellStyle name="Vérification 2 3 2 8 4 6" xfId="28448"/>
    <cellStyle name="Vérification 2 3 2 8 5" xfId="6703"/>
    <cellStyle name="Vérification 2 3 2 8 5 2" xfId="9049"/>
    <cellStyle name="Vérification 2 3 2 8 5 2 2" xfId="25273"/>
    <cellStyle name="Vérification 2 3 2 8 5 2 2 2" xfId="37280"/>
    <cellStyle name="Vérification 2 3 2 8 5 2 3" xfId="15056"/>
    <cellStyle name="Vérification 2 3 2 8 5 2 4" xfId="31277"/>
    <cellStyle name="Vérification 2 3 2 8 5 3" xfId="22927"/>
    <cellStyle name="Vérification 2 3 2 8 5 3 2" xfId="34934"/>
    <cellStyle name="Vérification 2 3 2 8 5 4" xfId="12753"/>
    <cellStyle name="Vérification 2 3 2 8 5 5" xfId="28974"/>
    <cellStyle name="Vérification 2 3 2 8 6" xfId="3648"/>
    <cellStyle name="Vérification 2 3 2 8 6 2" xfId="19876"/>
    <cellStyle name="Vérification 2 3 2 8 6 2 2" xfId="33990"/>
    <cellStyle name="Vérification 2 3 2 8 6 3" xfId="11559"/>
    <cellStyle name="Vérification 2 3 2 8 6 4" xfId="27780"/>
    <cellStyle name="Vérification 2 3 2 8 7" xfId="18831"/>
    <cellStyle name="Vérification 2 3 2 8 7 2" xfId="32945"/>
    <cellStyle name="Vérification 2 3 2 8 8" xfId="10719"/>
    <cellStyle name="Vérification 2 3 2 8 9" xfId="26942"/>
    <cellStyle name="Vérification 2 3 2 9" xfId="2625"/>
    <cellStyle name="Vérification 2 3 2 9 2" xfId="6313"/>
    <cellStyle name="Vérification 2 3 2 9 2 2" xfId="8694"/>
    <cellStyle name="Vérification 2 3 2 9 2 2 2" xfId="24918"/>
    <cellStyle name="Vérification 2 3 2 9 2 2 2 2" xfId="36925"/>
    <cellStyle name="Vérification 2 3 2 9 2 2 3" xfId="14701"/>
    <cellStyle name="Vérification 2 3 2 9 2 2 4" xfId="30922"/>
    <cellStyle name="Vérification 2 3 2 9 2 3" xfId="10072"/>
    <cellStyle name="Vérification 2 3 2 9 2 3 2" xfId="26296"/>
    <cellStyle name="Vérification 2 3 2 9 2 3 2 2" xfId="38303"/>
    <cellStyle name="Vérification 2 3 2 9 2 3 3" xfId="16079"/>
    <cellStyle name="Vérification 2 3 2 9 2 3 4" xfId="32300"/>
    <cellStyle name="Vérification 2 3 2 9 2 4" xfId="22537"/>
    <cellStyle name="Vérification 2 3 2 9 2 4 2" xfId="34544"/>
    <cellStyle name="Vérification 2 3 2 9 2 5" xfId="12398"/>
    <cellStyle name="Vérification 2 3 2 9 2 6" xfId="28619"/>
    <cellStyle name="Vérification 2 3 2 9 3" xfId="7361"/>
    <cellStyle name="Vérification 2 3 2 9 3 2" xfId="9405"/>
    <cellStyle name="Vérification 2 3 2 9 3 2 2" xfId="25629"/>
    <cellStyle name="Vérification 2 3 2 9 3 2 2 2" xfId="37636"/>
    <cellStyle name="Vérification 2 3 2 9 3 2 3" xfId="15412"/>
    <cellStyle name="Vérification 2 3 2 9 3 2 4" xfId="31633"/>
    <cellStyle name="Vérification 2 3 2 9 3 3" xfId="23585"/>
    <cellStyle name="Vérification 2 3 2 9 3 3 2" xfId="35592"/>
    <cellStyle name="Vérification 2 3 2 9 3 4" xfId="13109"/>
    <cellStyle name="Vérification 2 3 2 9 3 5" xfId="29330"/>
    <cellStyle name="Vérification 2 3 2 9 4" xfId="7738"/>
    <cellStyle name="Vérification 2 3 2 9 4 2" xfId="23962"/>
    <cellStyle name="Vérification 2 3 2 9 4 2 2" xfId="35969"/>
    <cellStyle name="Vérification 2 3 2 9 4 3" xfId="13745"/>
    <cellStyle name="Vérification 2 3 2 9 4 4" xfId="29966"/>
    <cellStyle name="Vérification 2 3 2 9 5" xfId="18853"/>
    <cellStyle name="Vérification 2 3 2 9 5 2" xfId="32967"/>
    <cellStyle name="Vérification 2 3 2 9 6" xfId="11094"/>
    <cellStyle name="Vérification 2 3 2 9 7" xfId="27315"/>
    <cellStyle name="Vérification 2 3 20" xfId="3624"/>
    <cellStyle name="Vérification 2 3 20 2" xfId="8544"/>
    <cellStyle name="Vérification 2 3 20 2 2" xfId="24768"/>
    <cellStyle name="Vérification 2 3 20 2 2 2" xfId="36775"/>
    <cellStyle name="Vérification 2 3 20 2 3" xfId="14551"/>
    <cellStyle name="Vérification 2 3 20 2 4" xfId="30772"/>
    <cellStyle name="Vérification 2 3 20 3" xfId="19852"/>
    <cellStyle name="Vérification 2 3 20 3 2" xfId="33966"/>
    <cellStyle name="Vérification 2 3 20 4" xfId="12099"/>
    <cellStyle name="Vérification 2 3 20 5" xfId="28320"/>
    <cellStyle name="Vérification 2 3 21" xfId="3609"/>
    <cellStyle name="Vérification 2 3 21 2" xfId="19837"/>
    <cellStyle name="Vérification 2 3 21 2 2" xfId="33951"/>
    <cellStyle name="Vérification 2 3 21 3" xfId="11430"/>
    <cellStyle name="Vérification 2 3 21 4" xfId="27651"/>
    <cellStyle name="Vérification 2 3 22" xfId="16454"/>
    <cellStyle name="Vérification 2 3 22 2" xfId="32632"/>
    <cellStyle name="Vérification 2 3 23" xfId="10404"/>
    <cellStyle name="Vérification 2 3 24" xfId="26629"/>
    <cellStyle name="Vérification 2 3 3" xfId="182"/>
    <cellStyle name="Vérification 2 3 3 10" xfId="3939"/>
    <cellStyle name="Vérification 2 3 3 10 2" xfId="6742"/>
    <cellStyle name="Vérification 2 3 3 10 2 2" xfId="9074"/>
    <cellStyle name="Vérification 2 3 3 10 2 2 2" xfId="25298"/>
    <cellStyle name="Vérification 2 3 3 10 2 2 2 2" xfId="37305"/>
    <cellStyle name="Vérification 2 3 3 10 2 2 3" xfId="15081"/>
    <cellStyle name="Vérification 2 3 3 10 2 2 4" xfId="31302"/>
    <cellStyle name="Vérification 2 3 3 10 2 3" xfId="22966"/>
    <cellStyle name="Vérification 2 3 3 10 2 3 2" xfId="34973"/>
    <cellStyle name="Vérification 2 3 3 10 2 4" xfId="12778"/>
    <cellStyle name="Vérification 2 3 3 10 2 5" xfId="28999"/>
    <cellStyle name="Vérification 2 3 3 10 3" xfId="6651"/>
    <cellStyle name="Vérification 2 3 3 10 3 2" xfId="22875"/>
    <cellStyle name="Vérification 2 3 3 10 3 2 2" xfId="34882"/>
    <cellStyle name="Vérification 2 3 3 10 3 3" xfId="13513"/>
    <cellStyle name="Vérification 2 3 3 10 3 4" xfId="29734"/>
    <cellStyle name="Vérification 2 3 3 10 4" xfId="20166"/>
    <cellStyle name="Vérification 2 3 3 10 4 2" xfId="34213"/>
    <cellStyle name="Vérification 2 3 3 10 5" xfId="10751"/>
    <cellStyle name="Vérification 2 3 3 10 6" xfId="26974"/>
    <cellStyle name="Vérification 2 3 3 11" xfId="2998"/>
    <cellStyle name="Vérification 2 3 3 11 2" xfId="8088"/>
    <cellStyle name="Vérification 2 3 3 11 2 2" xfId="24312"/>
    <cellStyle name="Vérification 2 3 3 11 2 2 2" xfId="36319"/>
    <cellStyle name="Vérification 2 3 3 11 2 3" xfId="14095"/>
    <cellStyle name="Vérification 2 3 3 11 2 4" xfId="30316"/>
    <cellStyle name="Vérification 2 3 3 11 3" xfId="9741"/>
    <cellStyle name="Vérification 2 3 3 11 3 2" xfId="25965"/>
    <cellStyle name="Vérification 2 3 3 11 3 2 2" xfId="37972"/>
    <cellStyle name="Vérification 2 3 3 11 3 3" xfId="15748"/>
    <cellStyle name="Vérification 2 3 3 11 3 4" xfId="31969"/>
    <cellStyle name="Vérification 2 3 3 11 4" xfId="19226"/>
    <cellStyle name="Vérification 2 3 3 11 4 2" xfId="33340"/>
    <cellStyle name="Vérification 2 3 3 11 5" xfId="11643"/>
    <cellStyle name="Vérification 2 3 3 11 6" xfId="27864"/>
    <cellStyle name="Vérification 2 3 3 12" xfId="3370"/>
    <cellStyle name="Vérification 2 3 3 12 2" xfId="8346"/>
    <cellStyle name="Vérification 2 3 3 12 2 2" xfId="24570"/>
    <cellStyle name="Vérification 2 3 3 12 2 2 2" xfId="36577"/>
    <cellStyle name="Vérification 2 3 3 12 2 3" xfId="14353"/>
    <cellStyle name="Vérification 2 3 3 12 2 4" xfId="30574"/>
    <cellStyle name="Vérification 2 3 3 12 3" xfId="19598"/>
    <cellStyle name="Vérification 2 3 3 12 3 2" xfId="33712"/>
    <cellStyle name="Vérification 2 3 3 12 4" xfId="11901"/>
    <cellStyle name="Vérification 2 3 3 12 5" xfId="28122"/>
    <cellStyle name="Vérification 2 3 3 13" xfId="7184"/>
    <cellStyle name="Vérification 2 3 3 13 2" xfId="23408"/>
    <cellStyle name="Vérification 2 3 3 13 2 2" xfId="35415"/>
    <cellStyle name="Vérification 2 3 3 13 3" xfId="13568"/>
    <cellStyle name="Vérification 2 3 3 13 4" xfId="29789"/>
    <cellStyle name="Vérification 2 3 3 14" xfId="16482"/>
    <cellStyle name="Vérification 2 3 3 14 2" xfId="32636"/>
    <cellStyle name="Vérification 2 3 3 15" xfId="10408"/>
    <cellStyle name="Vérification 2 3 3 16" xfId="26633"/>
    <cellStyle name="Vérification 2 3 3 2" xfId="388"/>
    <cellStyle name="Vérification 2 3 3 2 10" xfId="10431"/>
    <cellStyle name="Vérification 2 3 3 2 11" xfId="26656"/>
    <cellStyle name="Vérification 2 3 3 2 2" xfId="1350"/>
    <cellStyle name="Vérification 2 3 3 2 2 2" xfId="2828"/>
    <cellStyle name="Vérification 2 3 3 2 2 2 2" xfId="6516"/>
    <cellStyle name="Vérification 2 3 3 2 2 2 2 2" xfId="8897"/>
    <cellStyle name="Vérification 2 3 3 2 2 2 2 2 2" xfId="25121"/>
    <cellStyle name="Vérification 2 3 3 2 2 2 2 2 2 2" xfId="37128"/>
    <cellStyle name="Vérification 2 3 3 2 2 2 2 2 3" xfId="14904"/>
    <cellStyle name="Vérification 2 3 3 2 2 2 2 2 4" xfId="31125"/>
    <cellStyle name="Vérification 2 3 3 2 2 2 2 3" xfId="10275"/>
    <cellStyle name="Vérification 2 3 3 2 2 2 2 3 2" xfId="26499"/>
    <cellStyle name="Vérification 2 3 3 2 2 2 2 3 2 2" xfId="38506"/>
    <cellStyle name="Vérification 2 3 3 2 2 2 2 3 3" xfId="16282"/>
    <cellStyle name="Vérification 2 3 3 2 2 2 2 3 4" xfId="32503"/>
    <cellStyle name="Vérification 2 3 3 2 2 2 2 4" xfId="22740"/>
    <cellStyle name="Vérification 2 3 3 2 2 2 2 4 2" xfId="34747"/>
    <cellStyle name="Vérification 2 3 3 2 2 2 2 5" xfId="12601"/>
    <cellStyle name="Vérification 2 3 3 2 2 2 2 6" xfId="28822"/>
    <cellStyle name="Vérification 2 3 3 2 2 2 3" xfId="7564"/>
    <cellStyle name="Vérification 2 3 3 2 2 2 3 2" xfId="9608"/>
    <cellStyle name="Vérification 2 3 3 2 2 2 3 2 2" xfId="25832"/>
    <cellStyle name="Vérification 2 3 3 2 2 2 3 2 2 2" xfId="37839"/>
    <cellStyle name="Vérification 2 3 3 2 2 2 3 2 3" xfId="15615"/>
    <cellStyle name="Vérification 2 3 3 2 2 2 3 2 4" xfId="31836"/>
    <cellStyle name="Vérification 2 3 3 2 2 2 3 3" xfId="23788"/>
    <cellStyle name="Vérification 2 3 3 2 2 2 3 3 2" xfId="35795"/>
    <cellStyle name="Vérification 2 3 3 2 2 2 3 4" xfId="13312"/>
    <cellStyle name="Vérification 2 3 3 2 2 2 3 5" xfId="29533"/>
    <cellStyle name="Vérification 2 3 3 2 2 2 4" xfId="7941"/>
    <cellStyle name="Vérification 2 3 3 2 2 2 4 2" xfId="24165"/>
    <cellStyle name="Vérification 2 3 3 2 2 2 4 2 2" xfId="36172"/>
    <cellStyle name="Vérification 2 3 3 2 2 2 4 3" xfId="13948"/>
    <cellStyle name="Vérification 2 3 3 2 2 2 4 4" xfId="30169"/>
    <cellStyle name="Vérification 2 3 3 2 2 2 5" xfId="19056"/>
    <cellStyle name="Vérification 2 3 3 2 2 2 5 2" xfId="33170"/>
    <cellStyle name="Vérification 2 3 3 2 2 2 6" xfId="11297"/>
    <cellStyle name="Vérification 2 3 3 2 2 2 7" xfId="27518"/>
    <cellStyle name="Vérification 2 3 3 2 2 3" xfId="5047"/>
    <cellStyle name="Vérification 2 3 3 2 2 3 2" xfId="7074"/>
    <cellStyle name="Vérification 2 3 3 2 2 3 2 2" xfId="9275"/>
    <cellStyle name="Vérification 2 3 3 2 2 3 2 2 2" xfId="25499"/>
    <cellStyle name="Vérification 2 3 3 2 2 3 2 2 2 2" xfId="37506"/>
    <cellStyle name="Vérification 2 3 3 2 2 3 2 2 3" xfId="15282"/>
    <cellStyle name="Vérification 2 3 3 2 2 3 2 2 4" xfId="31503"/>
    <cellStyle name="Vérification 2 3 3 2 2 3 2 3" xfId="23298"/>
    <cellStyle name="Vérification 2 3 3 2 2 3 2 3 2" xfId="35305"/>
    <cellStyle name="Vérification 2 3 3 2 2 3 2 4" xfId="12979"/>
    <cellStyle name="Vérification 2 3 3 2 2 3 2 5" xfId="29200"/>
    <cellStyle name="Vérification 2 3 3 2 2 3 3" xfId="3660"/>
    <cellStyle name="Vérification 2 3 3 2 2 3 3 2" xfId="19888"/>
    <cellStyle name="Vérification 2 3 3 2 2 3 3 2 2" xfId="34002"/>
    <cellStyle name="Vérification 2 3 3 2 2 3 3 3" xfId="11507"/>
    <cellStyle name="Vérification 2 3 3 2 2 3 3 4" xfId="27728"/>
    <cellStyle name="Vérification 2 3 3 2 2 3 4" xfId="21273"/>
    <cellStyle name="Vérification 2 3 3 2 2 3 4 2" xfId="34414"/>
    <cellStyle name="Vérification 2 3 3 2 2 3 5" xfId="10961"/>
    <cellStyle name="Vérification 2 3 3 2 2 3 6" xfId="27184"/>
    <cellStyle name="Vérification 2 3 3 2 2 4" xfId="3438"/>
    <cellStyle name="Vérification 2 3 3 2 2 4 2" xfId="8405"/>
    <cellStyle name="Vérification 2 3 3 2 2 4 2 2" xfId="24629"/>
    <cellStyle name="Vérification 2 3 3 2 2 4 2 2 2" xfId="36636"/>
    <cellStyle name="Vérification 2 3 3 2 2 4 2 3" xfId="14412"/>
    <cellStyle name="Vérification 2 3 3 2 2 4 2 4" xfId="30633"/>
    <cellStyle name="Vérification 2 3 3 2 2 4 3" xfId="9942"/>
    <cellStyle name="Vérification 2 3 3 2 2 4 3 2" xfId="26166"/>
    <cellStyle name="Vérification 2 3 3 2 2 4 3 2 2" xfId="38173"/>
    <cellStyle name="Vérification 2 3 3 2 2 4 3 3" xfId="15949"/>
    <cellStyle name="Vérification 2 3 3 2 2 4 3 4" xfId="32170"/>
    <cellStyle name="Vérification 2 3 3 2 2 4 4" xfId="19666"/>
    <cellStyle name="Vérification 2 3 3 2 2 4 4 2" xfId="33780"/>
    <cellStyle name="Vérification 2 3 3 2 2 4 5" xfId="11960"/>
    <cellStyle name="Vérification 2 3 3 2 2 4 6" xfId="28181"/>
    <cellStyle name="Vérification 2 3 3 2 2 5" xfId="3141"/>
    <cellStyle name="Vérification 2 3 3 2 2 5 2" xfId="8185"/>
    <cellStyle name="Vérification 2 3 3 2 2 5 2 2" xfId="24409"/>
    <cellStyle name="Vérification 2 3 3 2 2 5 2 2 2" xfId="36416"/>
    <cellStyle name="Vérification 2 3 3 2 2 5 2 3" xfId="14192"/>
    <cellStyle name="Vérification 2 3 3 2 2 5 2 4" xfId="30413"/>
    <cellStyle name="Vérification 2 3 3 2 2 5 3" xfId="19369"/>
    <cellStyle name="Vérification 2 3 3 2 2 5 3 2" xfId="33483"/>
    <cellStyle name="Vérification 2 3 3 2 2 5 4" xfId="11740"/>
    <cellStyle name="Vérification 2 3 3 2 2 5 5" xfId="27961"/>
    <cellStyle name="Vérification 2 3 3 2 2 6" xfId="7188"/>
    <cellStyle name="Vérification 2 3 3 2 2 6 2" xfId="23412"/>
    <cellStyle name="Vérification 2 3 3 2 2 6 2 2" xfId="35419"/>
    <cellStyle name="Vérification 2 3 3 2 2 6 3" xfId="13572"/>
    <cellStyle name="Vérification 2 3 3 2 2 6 4" xfId="29793"/>
    <cellStyle name="Vérification 2 3 3 2 2 7" xfId="17589"/>
    <cellStyle name="Vérification 2 3 3 2 2 7 2" xfId="32837"/>
    <cellStyle name="Vérification 2 3 3 2 2 8" xfId="10609"/>
    <cellStyle name="Vérification 2 3 3 2 2 9" xfId="26834"/>
    <cellStyle name="Vérification 2 3 3 2 3" xfId="1003"/>
    <cellStyle name="Vérification 2 3 3 2 3 2" xfId="2739"/>
    <cellStyle name="Vérification 2 3 3 2 3 2 2" xfId="6427"/>
    <cellStyle name="Vérification 2 3 3 2 3 2 2 2" xfId="8808"/>
    <cellStyle name="Vérification 2 3 3 2 3 2 2 2 2" xfId="25032"/>
    <cellStyle name="Vérification 2 3 3 2 3 2 2 2 2 2" xfId="37039"/>
    <cellStyle name="Vérification 2 3 3 2 3 2 2 2 3" xfId="14815"/>
    <cellStyle name="Vérification 2 3 3 2 3 2 2 2 4" xfId="31036"/>
    <cellStyle name="Vérification 2 3 3 2 3 2 2 3" xfId="10186"/>
    <cellStyle name="Vérification 2 3 3 2 3 2 2 3 2" xfId="26410"/>
    <cellStyle name="Vérification 2 3 3 2 3 2 2 3 2 2" xfId="38417"/>
    <cellStyle name="Vérification 2 3 3 2 3 2 2 3 3" xfId="16193"/>
    <cellStyle name="Vérification 2 3 3 2 3 2 2 3 4" xfId="32414"/>
    <cellStyle name="Vérification 2 3 3 2 3 2 2 4" xfId="22651"/>
    <cellStyle name="Vérification 2 3 3 2 3 2 2 4 2" xfId="34658"/>
    <cellStyle name="Vérification 2 3 3 2 3 2 2 5" xfId="12512"/>
    <cellStyle name="Vérification 2 3 3 2 3 2 2 6" xfId="28733"/>
    <cellStyle name="Vérification 2 3 3 2 3 2 3" xfId="7475"/>
    <cellStyle name="Vérification 2 3 3 2 3 2 3 2" xfId="9519"/>
    <cellStyle name="Vérification 2 3 3 2 3 2 3 2 2" xfId="25743"/>
    <cellStyle name="Vérification 2 3 3 2 3 2 3 2 2 2" xfId="37750"/>
    <cellStyle name="Vérification 2 3 3 2 3 2 3 2 3" xfId="15526"/>
    <cellStyle name="Vérification 2 3 3 2 3 2 3 2 4" xfId="31747"/>
    <cellStyle name="Vérification 2 3 3 2 3 2 3 3" xfId="23699"/>
    <cellStyle name="Vérification 2 3 3 2 3 2 3 3 2" xfId="35706"/>
    <cellStyle name="Vérification 2 3 3 2 3 2 3 4" xfId="13223"/>
    <cellStyle name="Vérification 2 3 3 2 3 2 3 5" xfId="29444"/>
    <cellStyle name="Vérification 2 3 3 2 3 2 4" xfId="7852"/>
    <cellStyle name="Vérification 2 3 3 2 3 2 4 2" xfId="24076"/>
    <cellStyle name="Vérification 2 3 3 2 3 2 4 2 2" xfId="36083"/>
    <cellStyle name="Vérification 2 3 3 2 3 2 4 3" xfId="13859"/>
    <cellStyle name="Vérification 2 3 3 2 3 2 4 4" xfId="30080"/>
    <cellStyle name="Vérification 2 3 3 2 3 2 5" xfId="18967"/>
    <cellStyle name="Vérification 2 3 3 2 3 2 5 2" xfId="33081"/>
    <cellStyle name="Vérification 2 3 3 2 3 2 6" xfId="11208"/>
    <cellStyle name="Vérification 2 3 3 2 3 2 7" xfId="27429"/>
    <cellStyle name="Vérification 2 3 3 2 3 3" xfId="4700"/>
    <cellStyle name="Vérification 2 3 3 2 3 3 2" xfId="6952"/>
    <cellStyle name="Vérification 2 3 3 2 3 3 2 2" xfId="9186"/>
    <cellStyle name="Vérification 2 3 3 2 3 3 2 2 2" xfId="25410"/>
    <cellStyle name="Vérification 2 3 3 2 3 3 2 2 2 2" xfId="37417"/>
    <cellStyle name="Vérification 2 3 3 2 3 3 2 2 3" xfId="15193"/>
    <cellStyle name="Vérification 2 3 3 2 3 3 2 2 4" xfId="31414"/>
    <cellStyle name="Vérification 2 3 3 2 3 3 2 3" xfId="23176"/>
    <cellStyle name="Vérification 2 3 3 2 3 3 2 3 2" xfId="35183"/>
    <cellStyle name="Vérification 2 3 3 2 3 3 2 4" xfId="12890"/>
    <cellStyle name="Vérification 2 3 3 2 3 3 2 5" xfId="29111"/>
    <cellStyle name="Vérification 2 3 3 2 3 3 3" xfId="6956"/>
    <cellStyle name="Vérification 2 3 3 2 3 3 3 2" xfId="23180"/>
    <cellStyle name="Vérification 2 3 3 2 3 3 3 2 2" xfId="35187"/>
    <cellStyle name="Vérification 2 3 3 2 3 3 3 3" xfId="12263"/>
    <cellStyle name="Vérification 2 3 3 2 3 3 3 4" xfId="28484"/>
    <cellStyle name="Vérification 2 3 3 2 3 3 4" xfId="20926"/>
    <cellStyle name="Vérification 2 3 3 2 3 3 4 2" xfId="34325"/>
    <cellStyle name="Vérification 2 3 3 2 3 3 5" xfId="10872"/>
    <cellStyle name="Vérification 2 3 3 2 3 3 6" xfId="27095"/>
    <cellStyle name="Vérification 2 3 3 2 3 4" xfId="3287"/>
    <cellStyle name="Vérification 2 3 3 2 3 4 2" xfId="8278"/>
    <cellStyle name="Vérification 2 3 3 2 3 4 2 2" xfId="24502"/>
    <cellStyle name="Vérification 2 3 3 2 3 4 2 2 2" xfId="36509"/>
    <cellStyle name="Vérification 2 3 3 2 3 4 2 3" xfId="14285"/>
    <cellStyle name="Vérification 2 3 3 2 3 4 2 4" xfId="30506"/>
    <cellStyle name="Vérification 2 3 3 2 3 4 3" xfId="9853"/>
    <cellStyle name="Vérification 2 3 3 2 3 4 3 2" xfId="26077"/>
    <cellStyle name="Vérification 2 3 3 2 3 4 3 2 2" xfId="38084"/>
    <cellStyle name="Vérification 2 3 3 2 3 4 3 3" xfId="15860"/>
    <cellStyle name="Vérification 2 3 3 2 3 4 3 4" xfId="32081"/>
    <cellStyle name="Vérification 2 3 3 2 3 4 4" xfId="19515"/>
    <cellStyle name="Vérification 2 3 3 2 3 4 4 2" xfId="33629"/>
    <cellStyle name="Vérification 2 3 3 2 3 4 5" xfId="11833"/>
    <cellStyle name="Vérification 2 3 3 2 3 4 6" xfId="28054"/>
    <cellStyle name="Vérification 2 3 3 2 3 5" xfId="3052"/>
    <cellStyle name="Vérification 2 3 3 2 3 5 2" xfId="8122"/>
    <cellStyle name="Vérification 2 3 3 2 3 5 2 2" xfId="24346"/>
    <cellStyle name="Vérification 2 3 3 2 3 5 2 2 2" xfId="36353"/>
    <cellStyle name="Vérification 2 3 3 2 3 5 2 3" xfId="14129"/>
    <cellStyle name="Vérification 2 3 3 2 3 5 2 4" xfId="30350"/>
    <cellStyle name="Vérification 2 3 3 2 3 5 3" xfId="19280"/>
    <cellStyle name="Vérification 2 3 3 2 3 5 3 2" xfId="33394"/>
    <cellStyle name="Vérification 2 3 3 2 3 5 4" xfId="11677"/>
    <cellStyle name="Vérification 2 3 3 2 3 5 5" xfId="27898"/>
    <cellStyle name="Vérification 2 3 3 2 3 6" xfId="6924"/>
    <cellStyle name="Vérification 2 3 3 2 3 6 2" xfId="23148"/>
    <cellStyle name="Vérification 2 3 3 2 3 6 2 2" xfId="35155"/>
    <cellStyle name="Vérification 2 3 3 2 3 6 3" xfId="11520"/>
    <cellStyle name="Vérification 2 3 3 2 3 6 4" xfId="27741"/>
    <cellStyle name="Vérification 2 3 3 2 3 7" xfId="17242"/>
    <cellStyle name="Vérification 2 3 3 2 3 7 2" xfId="32748"/>
    <cellStyle name="Vérification 2 3 3 2 3 8" xfId="10520"/>
    <cellStyle name="Vérification 2 3 3 2 3 9" xfId="26745"/>
    <cellStyle name="Vérification 2 3 3 2 4" xfId="2650"/>
    <cellStyle name="Vérification 2 3 3 2 4 2" xfId="6338"/>
    <cellStyle name="Vérification 2 3 3 2 4 2 2" xfId="8719"/>
    <cellStyle name="Vérification 2 3 3 2 4 2 2 2" xfId="24943"/>
    <cellStyle name="Vérification 2 3 3 2 4 2 2 2 2" xfId="36950"/>
    <cellStyle name="Vérification 2 3 3 2 4 2 2 3" xfId="14726"/>
    <cellStyle name="Vérification 2 3 3 2 4 2 2 4" xfId="30947"/>
    <cellStyle name="Vérification 2 3 3 2 4 2 3" xfId="10097"/>
    <cellStyle name="Vérification 2 3 3 2 4 2 3 2" xfId="26321"/>
    <cellStyle name="Vérification 2 3 3 2 4 2 3 2 2" xfId="38328"/>
    <cellStyle name="Vérification 2 3 3 2 4 2 3 3" xfId="16104"/>
    <cellStyle name="Vérification 2 3 3 2 4 2 3 4" xfId="32325"/>
    <cellStyle name="Vérification 2 3 3 2 4 2 4" xfId="22562"/>
    <cellStyle name="Vérification 2 3 3 2 4 2 4 2" xfId="34569"/>
    <cellStyle name="Vérification 2 3 3 2 4 2 5" xfId="12423"/>
    <cellStyle name="Vérification 2 3 3 2 4 2 6" xfId="28644"/>
    <cellStyle name="Vérification 2 3 3 2 4 3" xfId="7386"/>
    <cellStyle name="Vérification 2 3 3 2 4 3 2" xfId="9430"/>
    <cellStyle name="Vérification 2 3 3 2 4 3 2 2" xfId="25654"/>
    <cellStyle name="Vérification 2 3 3 2 4 3 2 2 2" xfId="37661"/>
    <cellStyle name="Vérification 2 3 3 2 4 3 2 3" xfId="15437"/>
    <cellStyle name="Vérification 2 3 3 2 4 3 2 4" xfId="31658"/>
    <cellStyle name="Vérification 2 3 3 2 4 3 3" xfId="23610"/>
    <cellStyle name="Vérification 2 3 3 2 4 3 3 2" xfId="35617"/>
    <cellStyle name="Vérification 2 3 3 2 4 3 4" xfId="13134"/>
    <cellStyle name="Vérification 2 3 3 2 4 3 5" xfId="29355"/>
    <cellStyle name="Vérification 2 3 3 2 4 4" xfId="7763"/>
    <cellStyle name="Vérification 2 3 3 2 4 4 2" xfId="23987"/>
    <cellStyle name="Vérification 2 3 3 2 4 4 2 2" xfId="35994"/>
    <cellStyle name="Vérification 2 3 3 2 4 4 3" xfId="13770"/>
    <cellStyle name="Vérification 2 3 3 2 4 4 4" xfId="29991"/>
    <cellStyle name="Vérification 2 3 3 2 4 5" xfId="18878"/>
    <cellStyle name="Vérification 2 3 3 2 4 5 2" xfId="32992"/>
    <cellStyle name="Vérification 2 3 3 2 4 6" xfId="11119"/>
    <cellStyle name="Vérification 2 3 3 2 4 7" xfId="27340"/>
    <cellStyle name="Vérification 2 3 3 2 5" xfId="4125"/>
    <cellStyle name="Vérification 2 3 3 2 5 2" xfId="6789"/>
    <cellStyle name="Vérification 2 3 3 2 5 2 2" xfId="9097"/>
    <cellStyle name="Vérification 2 3 3 2 5 2 2 2" xfId="25321"/>
    <cellStyle name="Vérification 2 3 3 2 5 2 2 2 2" xfId="37328"/>
    <cellStyle name="Vérification 2 3 3 2 5 2 2 3" xfId="15104"/>
    <cellStyle name="Vérification 2 3 3 2 5 2 2 4" xfId="31325"/>
    <cellStyle name="Vérification 2 3 3 2 5 2 3" xfId="23013"/>
    <cellStyle name="Vérification 2 3 3 2 5 2 3 2" xfId="35020"/>
    <cellStyle name="Vérification 2 3 3 2 5 2 4" xfId="12801"/>
    <cellStyle name="Vérification 2 3 3 2 5 2 5" xfId="29022"/>
    <cellStyle name="Vérification 2 3 3 2 5 3" xfId="3743"/>
    <cellStyle name="Vérification 2 3 3 2 5 3 2" xfId="19971"/>
    <cellStyle name="Vérification 2 3 3 2 5 3 2 2" xfId="34085"/>
    <cellStyle name="Vérification 2 3 3 2 5 3 3" xfId="11603"/>
    <cellStyle name="Vérification 2 3 3 2 5 3 4" xfId="27824"/>
    <cellStyle name="Vérification 2 3 3 2 5 4" xfId="20351"/>
    <cellStyle name="Vérification 2 3 3 2 5 4 2" xfId="34236"/>
    <cellStyle name="Vérification 2 3 3 2 5 5" xfId="10776"/>
    <cellStyle name="Vérification 2 3 3 2 5 6" xfId="26999"/>
    <cellStyle name="Vérification 2 3 3 2 6" xfId="3064"/>
    <cellStyle name="Vérification 2 3 3 2 6 2" xfId="8130"/>
    <cellStyle name="Vérification 2 3 3 2 6 2 2" xfId="24354"/>
    <cellStyle name="Vérification 2 3 3 2 6 2 2 2" xfId="36361"/>
    <cellStyle name="Vérification 2 3 3 2 6 2 3" xfId="14137"/>
    <cellStyle name="Vérification 2 3 3 2 6 2 4" xfId="30358"/>
    <cellStyle name="Vérification 2 3 3 2 6 3" xfId="9764"/>
    <cellStyle name="Vérification 2 3 3 2 6 3 2" xfId="25988"/>
    <cellStyle name="Vérification 2 3 3 2 6 3 2 2" xfId="37995"/>
    <cellStyle name="Vérification 2 3 3 2 6 3 3" xfId="15771"/>
    <cellStyle name="Vérification 2 3 3 2 6 3 4" xfId="31992"/>
    <cellStyle name="Vérification 2 3 3 2 6 4" xfId="19292"/>
    <cellStyle name="Vérification 2 3 3 2 6 4 2" xfId="33406"/>
    <cellStyle name="Vérification 2 3 3 2 6 5" xfId="11685"/>
    <cellStyle name="Vérification 2 3 3 2 6 6" xfId="27906"/>
    <cellStyle name="Vérification 2 3 3 2 7" xfId="3677"/>
    <cellStyle name="Vérification 2 3 3 2 7 2" xfId="8571"/>
    <cellStyle name="Vérification 2 3 3 2 7 2 2" xfId="24795"/>
    <cellStyle name="Vérification 2 3 3 2 7 2 2 2" xfId="36802"/>
    <cellStyle name="Vérification 2 3 3 2 7 2 3" xfId="14578"/>
    <cellStyle name="Vérification 2 3 3 2 7 2 4" xfId="30799"/>
    <cellStyle name="Vérification 2 3 3 2 7 3" xfId="19905"/>
    <cellStyle name="Vérification 2 3 3 2 7 3 2" xfId="34019"/>
    <cellStyle name="Vérification 2 3 3 2 7 4" xfId="12126"/>
    <cellStyle name="Vérification 2 3 3 2 7 5" xfId="28347"/>
    <cellStyle name="Vérification 2 3 3 2 8" xfId="7261"/>
    <cellStyle name="Vérification 2 3 3 2 8 2" xfId="23485"/>
    <cellStyle name="Vérification 2 3 3 2 8 2 2" xfId="35492"/>
    <cellStyle name="Vérification 2 3 3 2 8 3" xfId="13645"/>
    <cellStyle name="Vérification 2 3 3 2 8 4" xfId="29866"/>
    <cellStyle name="Vérification 2 3 3 2 9" xfId="16667"/>
    <cellStyle name="Vérification 2 3 3 2 9 2" xfId="32659"/>
    <cellStyle name="Vérification 2 3 3 3" xfId="505"/>
    <cellStyle name="Vérification 2 3 3 3 10" xfId="10452"/>
    <cellStyle name="Vérification 2 3 3 3 11" xfId="26677"/>
    <cellStyle name="Vérification 2 3 3 3 2" xfId="1371"/>
    <cellStyle name="Vérification 2 3 3 3 2 2" xfId="2849"/>
    <cellStyle name="Vérification 2 3 3 3 2 2 2" xfId="6537"/>
    <cellStyle name="Vérification 2 3 3 3 2 2 2 2" xfId="8918"/>
    <cellStyle name="Vérification 2 3 3 3 2 2 2 2 2" xfId="25142"/>
    <cellStyle name="Vérification 2 3 3 3 2 2 2 2 2 2" xfId="37149"/>
    <cellStyle name="Vérification 2 3 3 3 2 2 2 2 3" xfId="14925"/>
    <cellStyle name="Vérification 2 3 3 3 2 2 2 2 4" xfId="31146"/>
    <cellStyle name="Vérification 2 3 3 3 2 2 2 3" xfId="10296"/>
    <cellStyle name="Vérification 2 3 3 3 2 2 2 3 2" xfId="26520"/>
    <cellStyle name="Vérification 2 3 3 3 2 2 2 3 2 2" xfId="38527"/>
    <cellStyle name="Vérification 2 3 3 3 2 2 2 3 3" xfId="16303"/>
    <cellStyle name="Vérification 2 3 3 3 2 2 2 3 4" xfId="32524"/>
    <cellStyle name="Vérification 2 3 3 3 2 2 2 4" xfId="22761"/>
    <cellStyle name="Vérification 2 3 3 3 2 2 2 4 2" xfId="34768"/>
    <cellStyle name="Vérification 2 3 3 3 2 2 2 5" xfId="12622"/>
    <cellStyle name="Vérification 2 3 3 3 2 2 2 6" xfId="28843"/>
    <cellStyle name="Vérification 2 3 3 3 2 2 3" xfId="7585"/>
    <cellStyle name="Vérification 2 3 3 3 2 2 3 2" xfId="9629"/>
    <cellStyle name="Vérification 2 3 3 3 2 2 3 2 2" xfId="25853"/>
    <cellStyle name="Vérification 2 3 3 3 2 2 3 2 2 2" xfId="37860"/>
    <cellStyle name="Vérification 2 3 3 3 2 2 3 2 3" xfId="15636"/>
    <cellStyle name="Vérification 2 3 3 3 2 2 3 2 4" xfId="31857"/>
    <cellStyle name="Vérification 2 3 3 3 2 2 3 3" xfId="23809"/>
    <cellStyle name="Vérification 2 3 3 3 2 2 3 3 2" xfId="35816"/>
    <cellStyle name="Vérification 2 3 3 3 2 2 3 4" xfId="13333"/>
    <cellStyle name="Vérification 2 3 3 3 2 2 3 5" xfId="29554"/>
    <cellStyle name="Vérification 2 3 3 3 2 2 4" xfId="7962"/>
    <cellStyle name="Vérification 2 3 3 3 2 2 4 2" xfId="24186"/>
    <cellStyle name="Vérification 2 3 3 3 2 2 4 2 2" xfId="36193"/>
    <cellStyle name="Vérification 2 3 3 3 2 2 4 3" xfId="13969"/>
    <cellStyle name="Vérification 2 3 3 3 2 2 4 4" xfId="30190"/>
    <cellStyle name="Vérification 2 3 3 3 2 2 5" xfId="19077"/>
    <cellStyle name="Vérification 2 3 3 3 2 2 5 2" xfId="33191"/>
    <cellStyle name="Vérification 2 3 3 3 2 2 6" xfId="11318"/>
    <cellStyle name="Vérification 2 3 3 3 2 2 7" xfId="27539"/>
    <cellStyle name="Vérification 2 3 3 3 2 3" xfId="5068"/>
    <cellStyle name="Vérification 2 3 3 3 2 3 2" xfId="7095"/>
    <cellStyle name="Vérification 2 3 3 3 2 3 2 2" xfId="9296"/>
    <cellStyle name="Vérification 2 3 3 3 2 3 2 2 2" xfId="25520"/>
    <cellStyle name="Vérification 2 3 3 3 2 3 2 2 2 2" xfId="37527"/>
    <cellStyle name="Vérification 2 3 3 3 2 3 2 2 3" xfId="15303"/>
    <cellStyle name="Vérification 2 3 3 3 2 3 2 2 4" xfId="31524"/>
    <cellStyle name="Vérification 2 3 3 3 2 3 2 3" xfId="23319"/>
    <cellStyle name="Vérification 2 3 3 3 2 3 2 3 2" xfId="35326"/>
    <cellStyle name="Vérification 2 3 3 3 2 3 2 4" xfId="13000"/>
    <cellStyle name="Vérification 2 3 3 3 2 3 2 5" xfId="29221"/>
    <cellStyle name="Vérification 2 3 3 3 2 3 3" xfId="3799"/>
    <cellStyle name="Vérification 2 3 3 3 2 3 3 2" xfId="20027"/>
    <cellStyle name="Vérification 2 3 3 3 2 3 3 2 2" xfId="34141"/>
    <cellStyle name="Vérification 2 3 3 3 2 3 3 3" xfId="11434"/>
    <cellStyle name="Vérification 2 3 3 3 2 3 3 4" xfId="27655"/>
    <cellStyle name="Vérification 2 3 3 3 2 3 4" xfId="21294"/>
    <cellStyle name="Vérification 2 3 3 3 2 3 4 2" xfId="34435"/>
    <cellStyle name="Vérification 2 3 3 3 2 3 5" xfId="10982"/>
    <cellStyle name="Vérification 2 3 3 3 2 3 6" xfId="27205"/>
    <cellStyle name="Vérification 2 3 3 3 2 4" xfId="3459"/>
    <cellStyle name="Vérification 2 3 3 3 2 4 2" xfId="8426"/>
    <cellStyle name="Vérification 2 3 3 3 2 4 2 2" xfId="24650"/>
    <cellStyle name="Vérification 2 3 3 3 2 4 2 2 2" xfId="36657"/>
    <cellStyle name="Vérification 2 3 3 3 2 4 2 3" xfId="14433"/>
    <cellStyle name="Vérification 2 3 3 3 2 4 2 4" xfId="30654"/>
    <cellStyle name="Vérification 2 3 3 3 2 4 3" xfId="9963"/>
    <cellStyle name="Vérification 2 3 3 3 2 4 3 2" xfId="26187"/>
    <cellStyle name="Vérification 2 3 3 3 2 4 3 2 2" xfId="38194"/>
    <cellStyle name="Vérification 2 3 3 3 2 4 3 3" xfId="15970"/>
    <cellStyle name="Vérification 2 3 3 3 2 4 3 4" xfId="32191"/>
    <cellStyle name="Vérification 2 3 3 3 2 4 4" xfId="19687"/>
    <cellStyle name="Vérification 2 3 3 3 2 4 4 2" xfId="33801"/>
    <cellStyle name="Vérification 2 3 3 3 2 4 5" xfId="11981"/>
    <cellStyle name="Vérification 2 3 3 3 2 4 6" xfId="28202"/>
    <cellStyle name="Vérification 2 3 3 3 2 5" xfId="3680"/>
    <cellStyle name="Vérification 2 3 3 3 2 5 2" xfId="8573"/>
    <cellStyle name="Vérification 2 3 3 3 2 5 2 2" xfId="24797"/>
    <cellStyle name="Vérification 2 3 3 3 2 5 2 2 2" xfId="36804"/>
    <cellStyle name="Vérification 2 3 3 3 2 5 2 3" xfId="14580"/>
    <cellStyle name="Vérification 2 3 3 3 2 5 2 4" xfId="30801"/>
    <cellStyle name="Vérification 2 3 3 3 2 5 3" xfId="19908"/>
    <cellStyle name="Vérification 2 3 3 3 2 5 3 2" xfId="34022"/>
    <cellStyle name="Vérification 2 3 3 3 2 5 4" xfId="12128"/>
    <cellStyle name="Vérification 2 3 3 3 2 5 5" xfId="28349"/>
    <cellStyle name="Vérification 2 3 3 3 2 6" xfId="7278"/>
    <cellStyle name="Vérification 2 3 3 3 2 6 2" xfId="23502"/>
    <cellStyle name="Vérification 2 3 3 3 2 6 2 2" xfId="35509"/>
    <cellStyle name="Vérification 2 3 3 3 2 6 3" xfId="13662"/>
    <cellStyle name="Vérification 2 3 3 3 2 6 4" xfId="29883"/>
    <cellStyle name="Vérification 2 3 3 3 2 7" xfId="17610"/>
    <cellStyle name="Vérification 2 3 3 3 2 7 2" xfId="32858"/>
    <cellStyle name="Vérification 2 3 3 3 2 8" xfId="10630"/>
    <cellStyle name="Vérification 2 3 3 3 2 9" xfId="26855"/>
    <cellStyle name="Vérification 2 3 3 3 3" xfId="1120"/>
    <cellStyle name="Vérification 2 3 3 3 3 2" xfId="2760"/>
    <cellStyle name="Vérification 2 3 3 3 3 2 2" xfId="6448"/>
    <cellStyle name="Vérification 2 3 3 3 3 2 2 2" xfId="8829"/>
    <cellStyle name="Vérification 2 3 3 3 3 2 2 2 2" xfId="25053"/>
    <cellStyle name="Vérification 2 3 3 3 3 2 2 2 2 2" xfId="37060"/>
    <cellStyle name="Vérification 2 3 3 3 3 2 2 2 3" xfId="14836"/>
    <cellStyle name="Vérification 2 3 3 3 3 2 2 2 4" xfId="31057"/>
    <cellStyle name="Vérification 2 3 3 3 3 2 2 3" xfId="10207"/>
    <cellStyle name="Vérification 2 3 3 3 3 2 2 3 2" xfId="26431"/>
    <cellStyle name="Vérification 2 3 3 3 3 2 2 3 2 2" xfId="38438"/>
    <cellStyle name="Vérification 2 3 3 3 3 2 2 3 3" xfId="16214"/>
    <cellStyle name="Vérification 2 3 3 3 3 2 2 3 4" xfId="32435"/>
    <cellStyle name="Vérification 2 3 3 3 3 2 2 4" xfId="22672"/>
    <cellStyle name="Vérification 2 3 3 3 3 2 2 4 2" xfId="34679"/>
    <cellStyle name="Vérification 2 3 3 3 3 2 2 5" xfId="12533"/>
    <cellStyle name="Vérification 2 3 3 3 3 2 2 6" xfId="28754"/>
    <cellStyle name="Vérification 2 3 3 3 3 2 3" xfId="7496"/>
    <cellStyle name="Vérification 2 3 3 3 3 2 3 2" xfId="9540"/>
    <cellStyle name="Vérification 2 3 3 3 3 2 3 2 2" xfId="25764"/>
    <cellStyle name="Vérification 2 3 3 3 3 2 3 2 2 2" xfId="37771"/>
    <cellStyle name="Vérification 2 3 3 3 3 2 3 2 3" xfId="15547"/>
    <cellStyle name="Vérification 2 3 3 3 3 2 3 2 4" xfId="31768"/>
    <cellStyle name="Vérification 2 3 3 3 3 2 3 3" xfId="23720"/>
    <cellStyle name="Vérification 2 3 3 3 3 2 3 3 2" xfId="35727"/>
    <cellStyle name="Vérification 2 3 3 3 3 2 3 4" xfId="13244"/>
    <cellStyle name="Vérification 2 3 3 3 3 2 3 5" xfId="29465"/>
    <cellStyle name="Vérification 2 3 3 3 3 2 4" xfId="7873"/>
    <cellStyle name="Vérification 2 3 3 3 3 2 4 2" xfId="24097"/>
    <cellStyle name="Vérification 2 3 3 3 3 2 4 2 2" xfId="36104"/>
    <cellStyle name="Vérification 2 3 3 3 3 2 4 3" xfId="13880"/>
    <cellStyle name="Vérification 2 3 3 3 3 2 4 4" xfId="30101"/>
    <cellStyle name="Vérification 2 3 3 3 3 2 5" xfId="18988"/>
    <cellStyle name="Vérification 2 3 3 3 3 2 5 2" xfId="33102"/>
    <cellStyle name="Vérification 2 3 3 3 3 2 6" xfId="11229"/>
    <cellStyle name="Vérification 2 3 3 3 3 2 7" xfId="27450"/>
    <cellStyle name="Vérification 2 3 3 3 3 3" xfId="4817"/>
    <cellStyle name="Vérification 2 3 3 3 3 3 2" xfId="6987"/>
    <cellStyle name="Vérification 2 3 3 3 3 3 2 2" xfId="9207"/>
    <cellStyle name="Vérification 2 3 3 3 3 3 2 2 2" xfId="25431"/>
    <cellStyle name="Vérification 2 3 3 3 3 3 2 2 2 2" xfId="37438"/>
    <cellStyle name="Vérification 2 3 3 3 3 3 2 2 3" xfId="15214"/>
    <cellStyle name="Vérification 2 3 3 3 3 3 2 2 4" xfId="31435"/>
    <cellStyle name="Vérification 2 3 3 3 3 3 2 3" xfId="23211"/>
    <cellStyle name="Vérification 2 3 3 3 3 3 2 3 2" xfId="35218"/>
    <cellStyle name="Vérification 2 3 3 3 3 3 2 4" xfId="12911"/>
    <cellStyle name="Vérification 2 3 3 3 3 3 2 5" xfId="29132"/>
    <cellStyle name="Vérification 2 3 3 3 3 3 3" xfId="3785"/>
    <cellStyle name="Vérification 2 3 3 3 3 3 3 2" xfId="20013"/>
    <cellStyle name="Vérification 2 3 3 3 3 3 3 2 2" xfId="34127"/>
    <cellStyle name="Vérification 2 3 3 3 3 3 3 3" xfId="13454"/>
    <cellStyle name="Vérification 2 3 3 3 3 3 3 4" xfId="29675"/>
    <cellStyle name="Vérification 2 3 3 3 3 3 4" xfId="21043"/>
    <cellStyle name="Vérification 2 3 3 3 3 3 4 2" xfId="34346"/>
    <cellStyle name="Vérification 2 3 3 3 3 3 5" xfId="10893"/>
    <cellStyle name="Vérification 2 3 3 3 3 3 6" xfId="27116"/>
    <cellStyle name="Vérification 2 3 3 3 3 4" xfId="3331"/>
    <cellStyle name="Vérification 2 3 3 3 3 4 2" xfId="8314"/>
    <cellStyle name="Vérification 2 3 3 3 3 4 2 2" xfId="24538"/>
    <cellStyle name="Vérification 2 3 3 3 3 4 2 2 2" xfId="36545"/>
    <cellStyle name="Vérification 2 3 3 3 3 4 2 3" xfId="14321"/>
    <cellStyle name="Vérification 2 3 3 3 3 4 2 4" xfId="30542"/>
    <cellStyle name="Vérification 2 3 3 3 3 4 3" xfId="9874"/>
    <cellStyle name="Vérification 2 3 3 3 3 4 3 2" xfId="26098"/>
    <cellStyle name="Vérification 2 3 3 3 3 4 3 2 2" xfId="38105"/>
    <cellStyle name="Vérification 2 3 3 3 3 4 3 3" xfId="15881"/>
    <cellStyle name="Vérification 2 3 3 3 3 4 3 4" xfId="32102"/>
    <cellStyle name="Vérification 2 3 3 3 3 4 4" xfId="19559"/>
    <cellStyle name="Vérification 2 3 3 3 3 4 4 2" xfId="33673"/>
    <cellStyle name="Vérification 2 3 3 3 3 4 5" xfId="11869"/>
    <cellStyle name="Vérification 2 3 3 3 3 4 6" xfId="28090"/>
    <cellStyle name="Vérification 2 3 3 3 3 5" xfId="3193"/>
    <cellStyle name="Vérification 2 3 3 3 3 5 2" xfId="8215"/>
    <cellStyle name="Vérification 2 3 3 3 3 5 2 2" xfId="24439"/>
    <cellStyle name="Vérification 2 3 3 3 3 5 2 2 2" xfId="36446"/>
    <cellStyle name="Vérification 2 3 3 3 3 5 2 3" xfId="14222"/>
    <cellStyle name="Vérification 2 3 3 3 3 5 2 4" xfId="30443"/>
    <cellStyle name="Vérification 2 3 3 3 3 5 3" xfId="19421"/>
    <cellStyle name="Vérification 2 3 3 3 3 5 3 2" xfId="33535"/>
    <cellStyle name="Vérification 2 3 3 3 3 5 4" xfId="11770"/>
    <cellStyle name="Vérification 2 3 3 3 3 5 5" xfId="27991"/>
    <cellStyle name="Vérification 2 3 3 3 3 6" xfId="3031"/>
    <cellStyle name="Vérification 2 3 3 3 3 6 2" xfId="19259"/>
    <cellStyle name="Vérification 2 3 3 3 3 6 2 2" xfId="33373"/>
    <cellStyle name="Vérification 2 3 3 3 3 6 3" xfId="12322"/>
    <cellStyle name="Vérification 2 3 3 3 3 6 4" xfId="28543"/>
    <cellStyle name="Vérification 2 3 3 3 3 7" xfId="17359"/>
    <cellStyle name="Vérification 2 3 3 3 3 7 2" xfId="32769"/>
    <cellStyle name="Vérification 2 3 3 3 3 8" xfId="10541"/>
    <cellStyle name="Vérification 2 3 3 3 3 9" xfId="26766"/>
    <cellStyle name="Vérification 2 3 3 3 4" xfId="2671"/>
    <cellStyle name="Vérification 2 3 3 3 4 2" xfId="6359"/>
    <cellStyle name="Vérification 2 3 3 3 4 2 2" xfId="8740"/>
    <cellStyle name="Vérification 2 3 3 3 4 2 2 2" xfId="24964"/>
    <cellStyle name="Vérification 2 3 3 3 4 2 2 2 2" xfId="36971"/>
    <cellStyle name="Vérification 2 3 3 3 4 2 2 3" xfId="14747"/>
    <cellStyle name="Vérification 2 3 3 3 4 2 2 4" xfId="30968"/>
    <cellStyle name="Vérification 2 3 3 3 4 2 3" xfId="10118"/>
    <cellStyle name="Vérification 2 3 3 3 4 2 3 2" xfId="26342"/>
    <cellStyle name="Vérification 2 3 3 3 4 2 3 2 2" xfId="38349"/>
    <cellStyle name="Vérification 2 3 3 3 4 2 3 3" xfId="16125"/>
    <cellStyle name="Vérification 2 3 3 3 4 2 3 4" xfId="32346"/>
    <cellStyle name="Vérification 2 3 3 3 4 2 4" xfId="22583"/>
    <cellStyle name="Vérification 2 3 3 3 4 2 4 2" xfId="34590"/>
    <cellStyle name="Vérification 2 3 3 3 4 2 5" xfId="12444"/>
    <cellStyle name="Vérification 2 3 3 3 4 2 6" xfId="28665"/>
    <cellStyle name="Vérification 2 3 3 3 4 3" xfId="7407"/>
    <cellStyle name="Vérification 2 3 3 3 4 3 2" xfId="9451"/>
    <cellStyle name="Vérification 2 3 3 3 4 3 2 2" xfId="25675"/>
    <cellStyle name="Vérification 2 3 3 3 4 3 2 2 2" xfId="37682"/>
    <cellStyle name="Vérification 2 3 3 3 4 3 2 3" xfId="15458"/>
    <cellStyle name="Vérification 2 3 3 3 4 3 2 4" xfId="31679"/>
    <cellStyle name="Vérification 2 3 3 3 4 3 3" xfId="23631"/>
    <cellStyle name="Vérification 2 3 3 3 4 3 3 2" xfId="35638"/>
    <cellStyle name="Vérification 2 3 3 3 4 3 4" xfId="13155"/>
    <cellStyle name="Vérification 2 3 3 3 4 3 5" xfId="29376"/>
    <cellStyle name="Vérification 2 3 3 3 4 4" xfId="7784"/>
    <cellStyle name="Vérification 2 3 3 3 4 4 2" xfId="24008"/>
    <cellStyle name="Vérification 2 3 3 3 4 4 2 2" xfId="36015"/>
    <cellStyle name="Vérification 2 3 3 3 4 4 3" xfId="13791"/>
    <cellStyle name="Vérification 2 3 3 3 4 4 4" xfId="30012"/>
    <cellStyle name="Vérification 2 3 3 3 4 5" xfId="18899"/>
    <cellStyle name="Vérification 2 3 3 3 4 5 2" xfId="33013"/>
    <cellStyle name="Vérification 2 3 3 3 4 6" xfId="11140"/>
    <cellStyle name="Vérification 2 3 3 3 4 7" xfId="27361"/>
    <cellStyle name="Vérification 2 3 3 3 5" xfId="4242"/>
    <cellStyle name="Vérification 2 3 3 3 5 2" xfId="6822"/>
    <cellStyle name="Vérification 2 3 3 3 5 2 2" xfId="9118"/>
    <cellStyle name="Vérification 2 3 3 3 5 2 2 2" xfId="25342"/>
    <cellStyle name="Vérification 2 3 3 3 5 2 2 2 2" xfId="37349"/>
    <cellStyle name="Vérification 2 3 3 3 5 2 2 3" xfId="15125"/>
    <cellStyle name="Vérification 2 3 3 3 5 2 2 4" xfId="31346"/>
    <cellStyle name="Vérification 2 3 3 3 5 2 3" xfId="23046"/>
    <cellStyle name="Vérification 2 3 3 3 5 2 3 2" xfId="35053"/>
    <cellStyle name="Vérification 2 3 3 3 5 2 4" xfId="12822"/>
    <cellStyle name="Vérification 2 3 3 3 5 2 5" xfId="29043"/>
    <cellStyle name="Vérification 2 3 3 3 5 3" xfId="6937"/>
    <cellStyle name="Vérification 2 3 3 3 5 3 2" xfId="23161"/>
    <cellStyle name="Vérification 2 3 3 3 5 3 2 2" xfId="35168"/>
    <cellStyle name="Vérification 2 3 3 3 5 3 3" xfId="11431"/>
    <cellStyle name="Vérification 2 3 3 3 5 3 4" xfId="27652"/>
    <cellStyle name="Vérification 2 3 3 3 5 4" xfId="20468"/>
    <cellStyle name="Vérification 2 3 3 3 5 4 2" xfId="34257"/>
    <cellStyle name="Vérification 2 3 3 3 5 5" xfId="10797"/>
    <cellStyle name="Vérification 2 3 3 3 5 6" xfId="27020"/>
    <cellStyle name="Vérification 2 3 3 3 6" xfId="3110"/>
    <cellStyle name="Vérification 2 3 3 3 6 2" xfId="8162"/>
    <cellStyle name="Vérification 2 3 3 3 6 2 2" xfId="24386"/>
    <cellStyle name="Vérification 2 3 3 3 6 2 2 2" xfId="36393"/>
    <cellStyle name="Vérification 2 3 3 3 6 2 3" xfId="14169"/>
    <cellStyle name="Vérification 2 3 3 3 6 2 4" xfId="30390"/>
    <cellStyle name="Vérification 2 3 3 3 6 3" xfId="9785"/>
    <cellStyle name="Vérification 2 3 3 3 6 3 2" xfId="26009"/>
    <cellStyle name="Vérification 2 3 3 3 6 3 2 2" xfId="38016"/>
    <cellStyle name="Vérification 2 3 3 3 6 3 3" xfId="15792"/>
    <cellStyle name="Vérification 2 3 3 3 6 3 4" xfId="32013"/>
    <cellStyle name="Vérification 2 3 3 3 6 4" xfId="19338"/>
    <cellStyle name="Vérification 2 3 3 3 6 4 2" xfId="33452"/>
    <cellStyle name="Vérification 2 3 3 3 6 5" xfId="11717"/>
    <cellStyle name="Vérification 2 3 3 3 6 6" xfId="27938"/>
    <cellStyle name="Vérification 2 3 3 3 7" xfId="3772"/>
    <cellStyle name="Vérification 2 3 3 3 7 2" xfId="8623"/>
    <cellStyle name="Vérification 2 3 3 3 7 2 2" xfId="24847"/>
    <cellStyle name="Vérification 2 3 3 3 7 2 2 2" xfId="36854"/>
    <cellStyle name="Vérification 2 3 3 3 7 2 3" xfId="14630"/>
    <cellStyle name="Vérification 2 3 3 3 7 2 4" xfId="30851"/>
    <cellStyle name="Vérification 2 3 3 3 7 3" xfId="20000"/>
    <cellStyle name="Vérification 2 3 3 3 7 3 2" xfId="34114"/>
    <cellStyle name="Vérification 2 3 3 3 7 4" xfId="12178"/>
    <cellStyle name="Vérification 2 3 3 3 7 5" xfId="28399"/>
    <cellStyle name="Vérification 2 3 3 3 8" xfId="3248"/>
    <cellStyle name="Vérification 2 3 3 3 8 2" xfId="19476"/>
    <cellStyle name="Vérification 2 3 3 3 8 2 2" xfId="33590"/>
    <cellStyle name="Vérification 2 3 3 3 8 3" xfId="12320"/>
    <cellStyle name="Vérification 2 3 3 3 8 4" xfId="28541"/>
    <cellStyle name="Vérification 2 3 3 3 9" xfId="16784"/>
    <cellStyle name="Vérification 2 3 3 3 9 2" xfId="32680"/>
    <cellStyle name="Vérification 2 3 3 4" xfId="612"/>
    <cellStyle name="Vérification 2 3 3 4 10" xfId="10475"/>
    <cellStyle name="Vérification 2 3 3 4 11" xfId="26700"/>
    <cellStyle name="Vérification 2 3 3 4 2" xfId="1394"/>
    <cellStyle name="Vérification 2 3 3 4 2 2" xfId="2872"/>
    <cellStyle name="Vérification 2 3 3 4 2 2 2" xfId="6560"/>
    <cellStyle name="Vérification 2 3 3 4 2 2 2 2" xfId="8941"/>
    <cellStyle name="Vérification 2 3 3 4 2 2 2 2 2" xfId="25165"/>
    <cellStyle name="Vérification 2 3 3 4 2 2 2 2 2 2" xfId="37172"/>
    <cellStyle name="Vérification 2 3 3 4 2 2 2 2 3" xfId="14948"/>
    <cellStyle name="Vérification 2 3 3 4 2 2 2 2 4" xfId="31169"/>
    <cellStyle name="Vérification 2 3 3 4 2 2 2 3" xfId="10319"/>
    <cellStyle name="Vérification 2 3 3 4 2 2 2 3 2" xfId="26543"/>
    <cellStyle name="Vérification 2 3 3 4 2 2 2 3 2 2" xfId="38550"/>
    <cellStyle name="Vérification 2 3 3 4 2 2 2 3 3" xfId="16326"/>
    <cellStyle name="Vérification 2 3 3 4 2 2 2 3 4" xfId="32547"/>
    <cellStyle name="Vérification 2 3 3 4 2 2 2 4" xfId="22784"/>
    <cellStyle name="Vérification 2 3 3 4 2 2 2 4 2" xfId="34791"/>
    <cellStyle name="Vérification 2 3 3 4 2 2 2 5" xfId="12645"/>
    <cellStyle name="Vérification 2 3 3 4 2 2 2 6" xfId="28866"/>
    <cellStyle name="Vérification 2 3 3 4 2 2 3" xfId="7608"/>
    <cellStyle name="Vérification 2 3 3 4 2 2 3 2" xfId="9652"/>
    <cellStyle name="Vérification 2 3 3 4 2 2 3 2 2" xfId="25876"/>
    <cellStyle name="Vérification 2 3 3 4 2 2 3 2 2 2" xfId="37883"/>
    <cellStyle name="Vérification 2 3 3 4 2 2 3 2 3" xfId="15659"/>
    <cellStyle name="Vérification 2 3 3 4 2 2 3 2 4" xfId="31880"/>
    <cellStyle name="Vérification 2 3 3 4 2 2 3 3" xfId="23832"/>
    <cellStyle name="Vérification 2 3 3 4 2 2 3 3 2" xfId="35839"/>
    <cellStyle name="Vérification 2 3 3 4 2 2 3 4" xfId="13356"/>
    <cellStyle name="Vérification 2 3 3 4 2 2 3 5" xfId="29577"/>
    <cellStyle name="Vérification 2 3 3 4 2 2 4" xfId="7985"/>
    <cellStyle name="Vérification 2 3 3 4 2 2 4 2" xfId="24209"/>
    <cellStyle name="Vérification 2 3 3 4 2 2 4 2 2" xfId="36216"/>
    <cellStyle name="Vérification 2 3 3 4 2 2 4 3" xfId="13992"/>
    <cellStyle name="Vérification 2 3 3 4 2 2 4 4" xfId="30213"/>
    <cellStyle name="Vérification 2 3 3 4 2 2 5" xfId="19100"/>
    <cellStyle name="Vérification 2 3 3 4 2 2 5 2" xfId="33214"/>
    <cellStyle name="Vérification 2 3 3 4 2 2 6" xfId="11341"/>
    <cellStyle name="Vérification 2 3 3 4 2 2 7" xfId="27562"/>
    <cellStyle name="Vérification 2 3 3 4 2 3" xfId="5091"/>
    <cellStyle name="Vérification 2 3 3 4 2 3 2" xfId="7118"/>
    <cellStyle name="Vérification 2 3 3 4 2 3 2 2" xfId="9319"/>
    <cellStyle name="Vérification 2 3 3 4 2 3 2 2 2" xfId="25543"/>
    <cellStyle name="Vérification 2 3 3 4 2 3 2 2 2 2" xfId="37550"/>
    <cellStyle name="Vérification 2 3 3 4 2 3 2 2 3" xfId="15326"/>
    <cellStyle name="Vérification 2 3 3 4 2 3 2 2 4" xfId="31547"/>
    <cellStyle name="Vérification 2 3 3 4 2 3 2 3" xfId="23342"/>
    <cellStyle name="Vérification 2 3 3 4 2 3 2 3 2" xfId="35349"/>
    <cellStyle name="Vérification 2 3 3 4 2 3 2 4" xfId="13023"/>
    <cellStyle name="Vérification 2 3 3 4 2 3 2 5" xfId="29244"/>
    <cellStyle name="Vérification 2 3 3 4 2 3 3" xfId="3758"/>
    <cellStyle name="Vérification 2 3 3 4 2 3 3 2" xfId="19986"/>
    <cellStyle name="Vérification 2 3 3 4 2 3 3 2 2" xfId="34100"/>
    <cellStyle name="Vérification 2 3 3 4 2 3 3 3" xfId="11545"/>
    <cellStyle name="Vérification 2 3 3 4 2 3 3 4" xfId="27766"/>
    <cellStyle name="Vérification 2 3 3 4 2 3 4" xfId="21317"/>
    <cellStyle name="Vérification 2 3 3 4 2 3 4 2" xfId="34458"/>
    <cellStyle name="Vérification 2 3 3 4 2 3 5" xfId="11005"/>
    <cellStyle name="Vérification 2 3 3 4 2 3 6" xfId="27228"/>
    <cellStyle name="Vérification 2 3 3 4 2 4" xfId="3482"/>
    <cellStyle name="Vérification 2 3 3 4 2 4 2" xfId="8449"/>
    <cellStyle name="Vérification 2 3 3 4 2 4 2 2" xfId="24673"/>
    <cellStyle name="Vérification 2 3 3 4 2 4 2 2 2" xfId="36680"/>
    <cellStyle name="Vérification 2 3 3 4 2 4 2 3" xfId="14456"/>
    <cellStyle name="Vérification 2 3 3 4 2 4 2 4" xfId="30677"/>
    <cellStyle name="Vérification 2 3 3 4 2 4 3" xfId="9986"/>
    <cellStyle name="Vérification 2 3 3 4 2 4 3 2" xfId="26210"/>
    <cellStyle name="Vérification 2 3 3 4 2 4 3 2 2" xfId="38217"/>
    <cellStyle name="Vérification 2 3 3 4 2 4 3 3" xfId="15993"/>
    <cellStyle name="Vérification 2 3 3 4 2 4 3 4" xfId="32214"/>
    <cellStyle name="Vérification 2 3 3 4 2 4 4" xfId="19710"/>
    <cellStyle name="Vérification 2 3 3 4 2 4 4 2" xfId="33824"/>
    <cellStyle name="Vérification 2 3 3 4 2 4 5" xfId="12004"/>
    <cellStyle name="Vérification 2 3 3 4 2 4 6" xfId="28225"/>
    <cellStyle name="Vérification 2 3 3 4 2 5" xfId="3021"/>
    <cellStyle name="Vérification 2 3 3 4 2 5 2" xfId="8104"/>
    <cellStyle name="Vérification 2 3 3 4 2 5 2 2" xfId="24328"/>
    <cellStyle name="Vérification 2 3 3 4 2 5 2 2 2" xfId="36335"/>
    <cellStyle name="Vérification 2 3 3 4 2 5 2 3" xfId="14111"/>
    <cellStyle name="Vérification 2 3 3 4 2 5 2 4" xfId="30332"/>
    <cellStyle name="Vérification 2 3 3 4 2 5 3" xfId="19249"/>
    <cellStyle name="Vérification 2 3 3 4 2 5 3 2" xfId="33363"/>
    <cellStyle name="Vérification 2 3 3 4 2 5 4" xfId="11659"/>
    <cellStyle name="Vérification 2 3 3 4 2 5 5" xfId="27880"/>
    <cellStyle name="Vérification 2 3 3 4 2 6" xfId="7208"/>
    <cellStyle name="Vérification 2 3 3 4 2 6 2" xfId="23432"/>
    <cellStyle name="Vérification 2 3 3 4 2 6 2 2" xfId="35439"/>
    <cellStyle name="Vérification 2 3 3 4 2 6 3" xfId="13592"/>
    <cellStyle name="Vérification 2 3 3 4 2 6 4" xfId="29813"/>
    <cellStyle name="Vérification 2 3 3 4 2 7" xfId="17633"/>
    <cellStyle name="Vérification 2 3 3 4 2 7 2" xfId="32881"/>
    <cellStyle name="Vérification 2 3 3 4 2 8" xfId="10653"/>
    <cellStyle name="Vérification 2 3 3 4 2 9" xfId="26878"/>
    <cellStyle name="Vérification 2 3 3 4 3" xfId="1209"/>
    <cellStyle name="Vérification 2 3 3 4 3 2" xfId="2783"/>
    <cellStyle name="Vérification 2 3 3 4 3 2 2" xfId="6471"/>
    <cellStyle name="Vérification 2 3 3 4 3 2 2 2" xfId="8852"/>
    <cellStyle name="Vérification 2 3 3 4 3 2 2 2 2" xfId="25076"/>
    <cellStyle name="Vérification 2 3 3 4 3 2 2 2 2 2" xfId="37083"/>
    <cellStyle name="Vérification 2 3 3 4 3 2 2 2 3" xfId="14859"/>
    <cellStyle name="Vérification 2 3 3 4 3 2 2 2 4" xfId="31080"/>
    <cellStyle name="Vérification 2 3 3 4 3 2 2 3" xfId="10230"/>
    <cellStyle name="Vérification 2 3 3 4 3 2 2 3 2" xfId="26454"/>
    <cellStyle name="Vérification 2 3 3 4 3 2 2 3 2 2" xfId="38461"/>
    <cellStyle name="Vérification 2 3 3 4 3 2 2 3 3" xfId="16237"/>
    <cellStyle name="Vérification 2 3 3 4 3 2 2 3 4" xfId="32458"/>
    <cellStyle name="Vérification 2 3 3 4 3 2 2 4" xfId="22695"/>
    <cellStyle name="Vérification 2 3 3 4 3 2 2 4 2" xfId="34702"/>
    <cellStyle name="Vérification 2 3 3 4 3 2 2 5" xfId="12556"/>
    <cellStyle name="Vérification 2 3 3 4 3 2 2 6" xfId="28777"/>
    <cellStyle name="Vérification 2 3 3 4 3 2 3" xfId="7519"/>
    <cellStyle name="Vérification 2 3 3 4 3 2 3 2" xfId="9563"/>
    <cellStyle name="Vérification 2 3 3 4 3 2 3 2 2" xfId="25787"/>
    <cellStyle name="Vérification 2 3 3 4 3 2 3 2 2 2" xfId="37794"/>
    <cellStyle name="Vérification 2 3 3 4 3 2 3 2 3" xfId="15570"/>
    <cellStyle name="Vérification 2 3 3 4 3 2 3 2 4" xfId="31791"/>
    <cellStyle name="Vérification 2 3 3 4 3 2 3 3" xfId="23743"/>
    <cellStyle name="Vérification 2 3 3 4 3 2 3 3 2" xfId="35750"/>
    <cellStyle name="Vérification 2 3 3 4 3 2 3 4" xfId="13267"/>
    <cellStyle name="Vérification 2 3 3 4 3 2 3 5" xfId="29488"/>
    <cellStyle name="Vérification 2 3 3 4 3 2 4" xfId="7896"/>
    <cellStyle name="Vérification 2 3 3 4 3 2 4 2" xfId="24120"/>
    <cellStyle name="Vérification 2 3 3 4 3 2 4 2 2" xfId="36127"/>
    <cellStyle name="Vérification 2 3 3 4 3 2 4 3" xfId="13903"/>
    <cellStyle name="Vérification 2 3 3 4 3 2 4 4" xfId="30124"/>
    <cellStyle name="Vérification 2 3 3 4 3 2 5" xfId="19011"/>
    <cellStyle name="Vérification 2 3 3 4 3 2 5 2" xfId="33125"/>
    <cellStyle name="Vérification 2 3 3 4 3 2 6" xfId="11252"/>
    <cellStyle name="Vérification 2 3 3 4 3 2 7" xfId="27473"/>
    <cellStyle name="Vérification 2 3 3 4 3 3" xfId="4906"/>
    <cellStyle name="Vérification 2 3 3 4 3 3 2" xfId="7018"/>
    <cellStyle name="Vérification 2 3 3 4 3 3 2 2" xfId="9230"/>
    <cellStyle name="Vérification 2 3 3 4 3 3 2 2 2" xfId="25454"/>
    <cellStyle name="Vérification 2 3 3 4 3 3 2 2 2 2" xfId="37461"/>
    <cellStyle name="Vérification 2 3 3 4 3 3 2 2 3" xfId="15237"/>
    <cellStyle name="Vérification 2 3 3 4 3 3 2 2 4" xfId="31458"/>
    <cellStyle name="Vérification 2 3 3 4 3 3 2 3" xfId="23242"/>
    <cellStyle name="Vérification 2 3 3 4 3 3 2 3 2" xfId="35249"/>
    <cellStyle name="Vérification 2 3 3 4 3 3 2 4" xfId="12934"/>
    <cellStyle name="Vérification 2 3 3 4 3 3 2 5" xfId="29155"/>
    <cellStyle name="Vérification 2 3 3 4 3 3 3" xfId="3566"/>
    <cellStyle name="Vérification 2 3 3 4 3 3 3 2" xfId="19794"/>
    <cellStyle name="Vérification 2 3 3 4 3 3 3 2 2" xfId="33908"/>
    <cellStyle name="Vérification 2 3 3 4 3 3 3 3" xfId="12300"/>
    <cellStyle name="Vérification 2 3 3 4 3 3 3 4" xfId="28521"/>
    <cellStyle name="Vérification 2 3 3 4 3 3 4" xfId="21132"/>
    <cellStyle name="Vérification 2 3 3 4 3 3 4 2" xfId="34369"/>
    <cellStyle name="Vérification 2 3 3 4 3 3 5" xfId="10916"/>
    <cellStyle name="Vérification 2 3 3 4 3 3 6" xfId="27139"/>
    <cellStyle name="Vérification 2 3 3 4 3 4" xfId="3371"/>
    <cellStyle name="Vérification 2 3 3 4 3 4 2" xfId="8347"/>
    <cellStyle name="Vérification 2 3 3 4 3 4 2 2" xfId="24571"/>
    <cellStyle name="Vérification 2 3 3 4 3 4 2 2 2" xfId="36578"/>
    <cellStyle name="Vérification 2 3 3 4 3 4 2 3" xfId="14354"/>
    <cellStyle name="Vérification 2 3 3 4 3 4 2 4" xfId="30575"/>
    <cellStyle name="Vérification 2 3 3 4 3 4 3" xfId="9897"/>
    <cellStyle name="Vérification 2 3 3 4 3 4 3 2" xfId="26121"/>
    <cellStyle name="Vérification 2 3 3 4 3 4 3 2 2" xfId="38128"/>
    <cellStyle name="Vérification 2 3 3 4 3 4 3 3" xfId="15904"/>
    <cellStyle name="Vérification 2 3 3 4 3 4 3 4" xfId="32125"/>
    <cellStyle name="Vérification 2 3 3 4 3 4 4" xfId="19599"/>
    <cellStyle name="Vérification 2 3 3 4 3 4 4 2" xfId="33713"/>
    <cellStyle name="Vérification 2 3 3 4 3 4 5" xfId="11902"/>
    <cellStyle name="Vérification 2 3 3 4 3 4 6" xfId="28123"/>
    <cellStyle name="Vérification 2 3 3 4 3 5" xfId="3196"/>
    <cellStyle name="Vérification 2 3 3 4 3 5 2" xfId="8217"/>
    <cellStyle name="Vérification 2 3 3 4 3 5 2 2" xfId="24441"/>
    <cellStyle name="Vérification 2 3 3 4 3 5 2 2 2" xfId="36448"/>
    <cellStyle name="Vérification 2 3 3 4 3 5 2 3" xfId="14224"/>
    <cellStyle name="Vérification 2 3 3 4 3 5 2 4" xfId="30445"/>
    <cellStyle name="Vérification 2 3 3 4 3 5 3" xfId="19424"/>
    <cellStyle name="Vérification 2 3 3 4 3 5 3 2" xfId="33538"/>
    <cellStyle name="Vérification 2 3 3 4 3 5 4" xfId="11772"/>
    <cellStyle name="Vérification 2 3 3 4 3 5 5" xfId="27993"/>
    <cellStyle name="Vérification 2 3 3 4 3 6" xfId="3801"/>
    <cellStyle name="Vérification 2 3 3 4 3 6 2" xfId="20029"/>
    <cellStyle name="Vérification 2 3 3 4 3 6 2 2" xfId="34143"/>
    <cellStyle name="Vérification 2 3 3 4 3 6 3" xfId="11554"/>
    <cellStyle name="Vérification 2 3 3 4 3 6 4" xfId="27775"/>
    <cellStyle name="Vérification 2 3 3 4 3 7" xfId="17448"/>
    <cellStyle name="Vérification 2 3 3 4 3 7 2" xfId="32792"/>
    <cellStyle name="Vérification 2 3 3 4 3 8" xfId="10564"/>
    <cellStyle name="Vérification 2 3 3 4 3 9" xfId="26789"/>
    <cellStyle name="Vérification 2 3 3 4 4" xfId="2694"/>
    <cellStyle name="Vérification 2 3 3 4 4 2" xfId="6382"/>
    <cellStyle name="Vérification 2 3 3 4 4 2 2" xfId="8763"/>
    <cellStyle name="Vérification 2 3 3 4 4 2 2 2" xfId="24987"/>
    <cellStyle name="Vérification 2 3 3 4 4 2 2 2 2" xfId="36994"/>
    <cellStyle name="Vérification 2 3 3 4 4 2 2 3" xfId="14770"/>
    <cellStyle name="Vérification 2 3 3 4 4 2 2 4" xfId="30991"/>
    <cellStyle name="Vérification 2 3 3 4 4 2 3" xfId="10141"/>
    <cellStyle name="Vérification 2 3 3 4 4 2 3 2" xfId="26365"/>
    <cellStyle name="Vérification 2 3 3 4 4 2 3 2 2" xfId="38372"/>
    <cellStyle name="Vérification 2 3 3 4 4 2 3 3" xfId="16148"/>
    <cellStyle name="Vérification 2 3 3 4 4 2 3 4" xfId="32369"/>
    <cellStyle name="Vérification 2 3 3 4 4 2 4" xfId="22606"/>
    <cellStyle name="Vérification 2 3 3 4 4 2 4 2" xfId="34613"/>
    <cellStyle name="Vérification 2 3 3 4 4 2 5" xfId="12467"/>
    <cellStyle name="Vérification 2 3 3 4 4 2 6" xfId="28688"/>
    <cellStyle name="Vérification 2 3 3 4 4 3" xfId="7430"/>
    <cellStyle name="Vérification 2 3 3 4 4 3 2" xfId="9474"/>
    <cellStyle name="Vérification 2 3 3 4 4 3 2 2" xfId="25698"/>
    <cellStyle name="Vérification 2 3 3 4 4 3 2 2 2" xfId="37705"/>
    <cellStyle name="Vérification 2 3 3 4 4 3 2 3" xfId="15481"/>
    <cellStyle name="Vérification 2 3 3 4 4 3 2 4" xfId="31702"/>
    <cellStyle name="Vérification 2 3 3 4 4 3 3" xfId="23654"/>
    <cellStyle name="Vérification 2 3 3 4 4 3 3 2" xfId="35661"/>
    <cellStyle name="Vérification 2 3 3 4 4 3 4" xfId="13178"/>
    <cellStyle name="Vérification 2 3 3 4 4 3 5" xfId="29399"/>
    <cellStyle name="Vérification 2 3 3 4 4 4" xfId="7807"/>
    <cellStyle name="Vérification 2 3 3 4 4 4 2" xfId="24031"/>
    <cellStyle name="Vérification 2 3 3 4 4 4 2 2" xfId="36038"/>
    <cellStyle name="Vérification 2 3 3 4 4 4 3" xfId="13814"/>
    <cellStyle name="Vérification 2 3 3 4 4 4 4" xfId="30035"/>
    <cellStyle name="Vérification 2 3 3 4 4 5" xfId="18922"/>
    <cellStyle name="Vérification 2 3 3 4 4 5 2" xfId="33036"/>
    <cellStyle name="Vérification 2 3 3 4 4 6" xfId="11163"/>
    <cellStyle name="Vérification 2 3 3 4 4 7" xfId="27384"/>
    <cellStyle name="Vérification 2 3 3 4 5" xfId="4331"/>
    <cellStyle name="Vérification 2 3 3 4 5 2" xfId="6860"/>
    <cellStyle name="Vérification 2 3 3 4 5 2 2" xfId="9141"/>
    <cellStyle name="Vérification 2 3 3 4 5 2 2 2" xfId="25365"/>
    <cellStyle name="Vérification 2 3 3 4 5 2 2 2 2" xfId="37372"/>
    <cellStyle name="Vérification 2 3 3 4 5 2 2 3" xfId="15148"/>
    <cellStyle name="Vérification 2 3 3 4 5 2 2 4" xfId="31369"/>
    <cellStyle name="Vérification 2 3 3 4 5 2 3" xfId="23084"/>
    <cellStyle name="Vérification 2 3 3 4 5 2 3 2" xfId="35091"/>
    <cellStyle name="Vérification 2 3 3 4 5 2 4" xfId="12845"/>
    <cellStyle name="Vérification 2 3 3 4 5 2 5" xfId="29066"/>
    <cellStyle name="Vérification 2 3 3 4 5 3" xfId="3001"/>
    <cellStyle name="Vérification 2 3 3 4 5 3 2" xfId="19229"/>
    <cellStyle name="Vérification 2 3 3 4 5 3 2 2" xfId="33343"/>
    <cellStyle name="Vérification 2 3 3 4 5 3 3" xfId="12274"/>
    <cellStyle name="Vérification 2 3 3 4 5 3 4" xfId="28495"/>
    <cellStyle name="Vérification 2 3 3 4 5 4" xfId="20557"/>
    <cellStyle name="Vérification 2 3 3 4 5 4 2" xfId="34280"/>
    <cellStyle name="Vérification 2 3 3 4 5 5" xfId="10822"/>
    <cellStyle name="Vérification 2 3 3 4 5 6" xfId="27045"/>
    <cellStyle name="Vérification 2 3 3 4 6" xfId="3153"/>
    <cellStyle name="Vérification 2 3 3 4 6 2" xfId="8193"/>
    <cellStyle name="Vérification 2 3 3 4 6 2 2" xfId="24417"/>
    <cellStyle name="Vérification 2 3 3 4 6 2 2 2" xfId="36424"/>
    <cellStyle name="Vérification 2 3 3 4 6 2 3" xfId="14200"/>
    <cellStyle name="Vérification 2 3 3 4 6 2 4" xfId="30421"/>
    <cellStyle name="Vérification 2 3 3 4 6 3" xfId="9808"/>
    <cellStyle name="Vérification 2 3 3 4 6 3 2" xfId="26032"/>
    <cellStyle name="Vérification 2 3 3 4 6 3 2 2" xfId="38039"/>
    <cellStyle name="Vérification 2 3 3 4 6 3 3" xfId="15815"/>
    <cellStyle name="Vérification 2 3 3 4 6 3 4" xfId="32036"/>
    <cellStyle name="Vérification 2 3 3 4 6 4" xfId="19381"/>
    <cellStyle name="Vérification 2 3 3 4 6 4 2" xfId="33495"/>
    <cellStyle name="Vérification 2 3 3 4 6 5" xfId="11748"/>
    <cellStyle name="Vérification 2 3 3 4 6 6" xfId="27969"/>
    <cellStyle name="Vérification 2 3 3 4 7" xfId="3305"/>
    <cellStyle name="Vérification 2 3 3 4 7 2" xfId="8292"/>
    <cellStyle name="Vérification 2 3 3 4 7 2 2" xfId="24516"/>
    <cellStyle name="Vérification 2 3 3 4 7 2 2 2" xfId="36523"/>
    <cellStyle name="Vérification 2 3 3 4 7 2 3" xfId="14299"/>
    <cellStyle name="Vérification 2 3 3 4 7 2 4" xfId="30520"/>
    <cellStyle name="Vérification 2 3 3 4 7 3" xfId="19533"/>
    <cellStyle name="Vérification 2 3 3 4 7 3 2" xfId="33647"/>
    <cellStyle name="Vérification 2 3 3 4 7 4" xfId="11847"/>
    <cellStyle name="Vérification 2 3 3 4 7 5" xfId="28068"/>
    <cellStyle name="Vérification 2 3 3 4 8" xfId="3824"/>
    <cellStyle name="Vérification 2 3 3 4 8 2" xfId="20052"/>
    <cellStyle name="Vérification 2 3 3 4 8 2 2" xfId="34166"/>
    <cellStyle name="Vérification 2 3 3 4 8 3" xfId="13481"/>
    <cellStyle name="Vérification 2 3 3 4 8 4" xfId="29702"/>
    <cellStyle name="Vérification 2 3 3 4 9" xfId="16873"/>
    <cellStyle name="Vérification 2 3 3 4 9 2" xfId="32703"/>
    <cellStyle name="Vérification 2 3 3 5" xfId="748"/>
    <cellStyle name="Vérification 2 3 3 5 10" xfId="26722"/>
    <cellStyle name="Vérification 2 3 3 5 2" xfId="1416"/>
    <cellStyle name="Vérification 2 3 3 5 2 2" xfId="2894"/>
    <cellStyle name="Vérification 2 3 3 5 2 2 2" xfId="6582"/>
    <cellStyle name="Vérification 2 3 3 5 2 2 2 2" xfId="8963"/>
    <cellStyle name="Vérification 2 3 3 5 2 2 2 2 2" xfId="25187"/>
    <cellStyle name="Vérification 2 3 3 5 2 2 2 2 2 2" xfId="37194"/>
    <cellStyle name="Vérification 2 3 3 5 2 2 2 2 3" xfId="14970"/>
    <cellStyle name="Vérification 2 3 3 5 2 2 2 2 4" xfId="31191"/>
    <cellStyle name="Vérification 2 3 3 5 2 2 2 3" xfId="10341"/>
    <cellStyle name="Vérification 2 3 3 5 2 2 2 3 2" xfId="26565"/>
    <cellStyle name="Vérification 2 3 3 5 2 2 2 3 2 2" xfId="38572"/>
    <cellStyle name="Vérification 2 3 3 5 2 2 2 3 3" xfId="16348"/>
    <cellStyle name="Vérification 2 3 3 5 2 2 2 3 4" xfId="32569"/>
    <cellStyle name="Vérification 2 3 3 5 2 2 2 4" xfId="22806"/>
    <cellStyle name="Vérification 2 3 3 5 2 2 2 4 2" xfId="34813"/>
    <cellStyle name="Vérification 2 3 3 5 2 2 2 5" xfId="12667"/>
    <cellStyle name="Vérification 2 3 3 5 2 2 2 6" xfId="28888"/>
    <cellStyle name="Vérification 2 3 3 5 2 2 3" xfId="7630"/>
    <cellStyle name="Vérification 2 3 3 5 2 2 3 2" xfId="9674"/>
    <cellStyle name="Vérification 2 3 3 5 2 2 3 2 2" xfId="25898"/>
    <cellStyle name="Vérification 2 3 3 5 2 2 3 2 2 2" xfId="37905"/>
    <cellStyle name="Vérification 2 3 3 5 2 2 3 2 3" xfId="15681"/>
    <cellStyle name="Vérification 2 3 3 5 2 2 3 2 4" xfId="31902"/>
    <cellStyle name="Vérification 2 3 3 5 2 2 3 3" xfId="23854"/>
    <cellStyle name="Vérification 2 3 3 5 2 2 3 3 2" xfId="35861"/>
    <cellStyle name="Vérification 2 3 3 5 2 2 3 4" xfId="13378"/>
    <cellStyle name="Vérification 2 3 3 5 2 2 3 5" xfId="29599"/>
    <cellStyle name="Vérification 2 3 3 5 2 2 4" xfId="8007"/>
    <cellStyle name="Vérification 2 3 3 5 2 2 4 2" xfId="24231"/>
    <cellStyle name="Vérification 2 3 3 5 2 2 4 2 2" xfId="36238"/>
    <cellStyle name="Vérification 2 3 3 5 2 2 4 3" xfId="14014"/>
    <cellStyle name="Vérification 2 3 3 5 2 2 4 4" xfId="30235"/>
    <cellStyle name="Vérification 2 3 3 5 2 2 5" xfId="19122"/>
    <cellStyle name="Vérification 2 3 3 5 2 2 5 2" xfId="33236"/>
    <cellStyle name="Vérification 2 3 3 5 2 2 6" xfId="11363"/>
    <cellStyle name="Vérification 2 3 3 5 2 2 7" xfId="27584"/>
    <cellStyle name="Vérification 2 3 3 5 2 3" xfId="5113"/>
    <cellStyle name="Vérification 2 3 3 5 2 3 2" xfId="7140"/>
    <cellStyle name="Vérification 2 3 3 5 2 3 2 2" xfId="9341"/>
    <cellStyle name="Vérification 2 3 3 5 2 3 2 2 2" xfId="25565"/>
    <cellStyle name="Vérification 2 3 3 5 2 3 2 2 2 2" xfId="37572"/>
    <cellStyle name="Vérification 2 3 3 5 2 3 2 2 3" xfId="15348"/>
    <cellStyle name="Vérification 2 3 3 5 2 3 2 2 4" xfId="31569"/>
    <cellStyle name="Vérification 2 3 3 5 2 3 2 3" xfId="23364"/>
    <cellStyle name="Vérification 2 3 3 5 2 3 2 3 2" xfId="35371"/>
    <cellStyle name="Vérification 2 3 3 5 2 3 2 4" xfId="13045"/>
    <cellStyle name="Vérification 2 3 3 5 2 3 2 5" xfId="29266"/>
    <cellStyle name="Vérification 2 3 3 5 2 3 3" xfId="3300"/>
    <cellStyle name="Vérification 2 3 3 5 2 3 3 2" xfId="19528"/>
    <cellStyle name="Vérification 2 3 3 5 2 3 3 2 2" xfId="33642"/>
    <cellStyle name="Vérification 2 3 3 5 2 3 3 3" xfId="11558"/>
    <cellStyle name="Vérification 2 3 3 5 2 3 3 4" xfId="27779"/>
    <cellStyle name="Vérification 2 3 3 5 2 3 4" xfId="21339"/>
    <cellStyle name="Vérification 2 3 3 5 2 3 4 2" xfId="34480"/>
    <cellStyle name="Vérification 2 3 3 5 2 3 5" xfId="11027"/>
    <cellStyle name="Vérification 2 3 3 5 2 3 6" xfId="27250"/>
    <cellStyle name="Vérification 2 3 3 5 2 4" xfId="3504"/>
    <cellStyle name="Vérification 2 3 3 5 2 4 2" xfId="8471"/>
    <cellStyle name="Vérification 2 3 3 5 2 4 2 2" xfId="24695"/>
    <cellStyle name="Vérification 2 3 3 5 2 4 2 2 2" xfId="36702"/>
    <cellStyle name="Vérification 2 3 3 5 2 4 2 3" xfId="14478"/>
    <cellStyle name="Vérification 2 3 3 5 2 4 2 4" xfId="30699"/>
    <cellStyle name="Vérification 2 3 3 5 2 4 3" xfId="10008"/>
    <cellStyle name="Vérification 2 3 3 5 2 4 3 2" xfId="26232"/>
    <cellStyle name="Vérification 2 3 3 5 2 4 3 2 2" xfId="38239"/>
    <cellStyle name="Vérification 2 3 3 5 2 4 3 3" xfId="16015"/>
    <cellStyle name="Vérification 2 3 3 5 2 4 3 4" xfId="32236"/>
    <cellStyle name="Vérification 2 3 3 5 2 4 4" xfId="19732"/>
    <cellStyle name="Vérification 2 3 3 5 2 4 4 2" xfId="33846"/>
    <cellStyle name="Vérification 2 3 3 5 2 4 5" xfId="12026"/>
    <cellStyle name="Vérification 2 3 3 5 2 4 6" xfId="28247"/>
    <cellStyle name="Vérification 2 3 3 5 2 5" xfId="3573"/>
    <cellStyle name="Vérification 2 3 3 5 2 5 2" xfId="8516"/>
    <cellStyle name="Vérification 2 3 3 5 2 5 2 2" xfId="24740"/>
    <cellStyle name="Vérification 2 3 3 5 2 5 2 2 2" xfId="36747"/>
    <cellStyle name="Vérification 2 3 3 5 2 5 2 3" xfId="14523"/>
    <cellStyle name="Vérification 2 3 3 5 2 5 2 4" xfId="30744"/>
    <cellStyle name="Vérification 2 3 3 5 2 5 3" xfId="19801"/>
    <cellStyle name="Vérification 2 3 3 5 2 5 3 2" xfId="33915"/>
    <cellStyle name="Vérification 2 3 3 5 2 5 4" xfId="12071"/>
    <cellStyle name="Vérification 2 3 3 5 2 5 5" xfId="28292"/>
    <cellStyle name="Vérification 2 3 3 5 2 6" xfId="7225"/>
    <cellStyle name="Vérification 2 3 3 5 2 6 2" xfId="23449"/>
    <cellStyle name="Vérification 2 3 3 5 2 6 2 2" xfId="35456"/>
    <cellStyle name="Vérification 2 3 3 5 2 6 3" xfId="13609"/>
    <cellStyle name="Vérification 2 3 3 5 2 6 4" xfId="29830"/>
    <cellStyle name="Vérification 2 3 3 5 2 7" xfId="17655"/>
    <cellStyle name="Vérification 2 3 3 5 2 7 2" xfId="32903"/>
    <cellStyle name="Vérification 2 3 3 5 2 8" xfId="10675"/>
    <cellStyle name="Vérification 2 3 3 5 2 9" xfId="26900"/>
    <cellStyle name="Vérification 2 3 3 5 3" xfId="2716"/>
    <cellStyle name="Vérification 2 3 3 5 3 2" xfId="6404"/>
    <cellStyle name="Vérification 2 3 3 5 3 2 2" xfId="8785"/>
    <cellStyle name="Vérification 2 3 3 5 3 2 2 2" xfId="25009"/>
    <cellStyle name="Vérification 2 3 3 5 3 2 2 2 2" xfId="37016"/>
    <cellStyle name="Vérification 2 3 3 5 3 2 2 3" xfId="14792"/>
    <cellStyle name="Vérification 2 3 3 5 3 2 2 4" xfId="31013"/>
    <cellStyle name="Vérification 2 3 3 5 3 2 3" xfId="10163"/>
    <cellStyle name="Vérification 2 3 3 5 3 2 3 2" xfId="26387"/>
    <cellStyle name="Vérification 2 3 3 5 3 2 3 2 2" xfId="38394"/>
    <cellStyle name="Vérification 2 3 3 5 3 2 3 3" xfId="16170"/>
    <cellStyle name="Vérification 2 3 3 5 3 2 3 4" xfId="32391"/>
    <cellStyle name="Vérification 2 3 3 5 3 2 4" xfId="22628"/>
    <cellStyle name="Vérification 2 3 3 5 3 2 4 2" xfId="34635"/>
    <cellStyle name="Vérification 2 3 3 5 3 2 5" xfId="12489"/>
    <cellStyle name="Vérification 2 3 3 5 3 2 6" xfId="28710"/>
    <cellStyle name="Vérification 2 3 3 5 3 3" xfId="7452"/>
    <cellStyle name="Vérification 2 3 3 5 3 3 2" xfId="9496"/>
    <cellStyle name="Vérification 2 3 3 5 3 3 2 2" xfId="25720"/>
    <cellStyle name="Vérification 2 3 3 5 3 3 2 2 2" xfId="37727"/>
    <cellStyle name="Vérification 2 3 3 5 3 3 2 3" xfId="15503"/>
    <cellStyle name="Vérification 2 3 3 5 3 3 2 4" xfId="31724"/>
    <cellStyle name="Vérification 2 3 3 5 3 3 3" xfId="23676"/>
    <cellStyle name="Vérification 2 3 3 5 3 3 3 2" xfId="35683"/>
    <cellStyle name="Vérification 2 3 3 5 3 3 4" xfId="13200"/>
    <cellStyle name="Vérification 2 3 3 5 3 3 5" xfId="29421"/>
    <cellStyle name="Vérification 2 3 3 5 3 4" xfId="7829"/>
    <cellStyle name="Vérification 2 3 3 5 3 4 2" xfId="24053"/>
    <cellStyle name="Vérification 2 3 3 5 3 4 2 2" xfId="36060"/>
    <cellStyle name="Vérification 2 3 3 5 3 4 3" xfId="13836"/>
    <cellStyle name="Vérification 2 3 3 5 3 4 4" xfId="30057"/>
    <cellStyle name="Vérification 2 3 3 5 3 5" xfId="18944"/>
    <cellStyle name="Vérification 2 3 3 5 3 5 2" xfId="33058"/>
    <cellStyle name="Vérification 2 3 3 5 3 6" xfId="11185"/>
    <cellStyle name="Vérification 2 3 3 5 3 7" xfId="27406"/>
    <cellStyle name="Vérification 2 3 3 5 4" xfId="4449"/>
    <cellStyle name="Vérification 2 3 3 5 4 2" xfId="6894"/>
    <cellStyle name="Vérification 2 3 3 5 4 2 2" xfId="9163"/>
    <cellStyle name="Vérification 2 3 3 5 4 2 2 2" xfId="25387"/>
    <cellStyle name="Vérification 2 3 3 5 4 2 2 2 2" xfId="37394"/>
    <cellStyle name="Vérification 2 3 3 5 4 2 2 3" xfId="15170"/>
    <cellStyle name="Vérification 2 3 3 5 4 2 2 4" xfId="31391"/>
    <cellStyle name="Vérification 2 3 3 5 4 2 3" xfId="23118"/>
    <cellStyle name="Vérification 2 3 3 5 4 2 3 2" xfId="35125"/>
    <cellStyle name="Vérification 2 3 3 5 4 2 4" xfId="12867"/>
    <cellStyle name="Vérification 2 3 3 5 4 2 5" xfId="29088"/>
    <cellStyle name="Vérification 2 3 3 5 4 3" xfId="7175"/>
    <cellStyle name="Vérification 2 3 3 5 4 3 2" xfId="23399"/>
    <cellStyle name="Vérification 2 3 3 5 4 3 2 2" xfId="35406"/>
    <cellStyle name="Vérification 2 3 3 5 4 3 3" xfId="13559"/>
    <cellStyle name="Vérification 2 3 3 5 4 3 4" xfId="29780"/>
    <cellStyle name="Vérification 2 3 3 5 4 4" xfId="20675"/>
    <cellStyle name="Vérification 2 3 3 5 4 4 2" xfId="34302"/>
    <cellStyle name="Vérification 2 3 3 5 4 5" xfId="10848"/>
    <cellStyle name="Vérification 2 3 3 5 4 6" xfId="27071"/>
    <cellStyle name="Vérification 2 3 3 5 5" xfId="3205"/>
    <cellStyle name="Vérification 2 3 3 5 5 2" xfId="8226"/>
    <cellStyle name="Vérification 2 3 3 5 5 2 2" xfId="24450"/>
    <cellStyle name="Vérification 2 3 3 5 5 2 2 2" xfId="36457"/>
    <cellStyle name="Vérification 2 3 3 5 5 2 3" xfId="14233"/>
    <cellStyle name="Vérification 2 3 3 5 5 2 4" xfId="30454"/>
    <cellStyle name="Vérification 2 3 3 5 5 3" xfId="9830"/>
    <cellStyle name="Vérification 2 3 3 5 5 3 2" xfId="26054"/>
    <cellStyle name="Vérification 2 3 3 5 5 3 2 2" xfId="38061"/>
    <cellStyle name="Vérification 2 3 3 5 5 3 3" xfId="15837"/>
    <cellStyle name="Vérification 2 3 3 5 5 3 4" xfId="32058"/>
    <cellStyle name="Vérification 2 3 3 5 5 4" xfId="19433"/>
    <cellStyle name="Vérification 2 3 3 5 5 4 2" xfId="33547"/>
    <cellStyle name="Vérification 2 3 3 5 5 5" xfId="11781"/>
    <cellStyle name="Vérification 2 3 3 5 5 6" xfId="28002"/>
    <cellStyle name="Vérification 2 3 3 5 6" xfId="3223"/>
    <cellStyle name="Vérification 2 3 3 5 6 2" xfId="8242"/>
    <cellStyle name="Vérification 2 3 3 5 6 2 2" xfId="24466"/>
    <cellStyle name="Vérification 2 3 3 5 6 2 2 2" xfId="36473"/>
    <cellStyle name="Vérification 2 3 3 5 6 2 3" xfId="14249"/>
    <cellStyle name="Vérification 2 3 3 5 6 2 4" xfId="30470"/>
    <cellStyle name="Vérification 2 3 3 5 6 3" xfId="19451"/>
    <cellStyle name="Vérification 2 3 3 5 6 3 2" xfId="33565"/>
    <cellStyle name="Vérification 2 3 3 5 6 4" xfId="11797"/>
    <cellStyle name="Vérification 2 3 3 5 6 5" xfId="28018"/>
    <cellStyle name="Vérification 2 3 3 5 7" xfId="3277"/>
    <cellStyle name="Vérification 2 3 3 5 7 2" xfId="19505"/>
    <cellStyle name="Vérification 2 3 3 5 7 2 2" xfId="33619"/>
    <cellStyle name="Vérification 2 3 3 5 7 3" xfId="13478"/>
    <cellStyle name="Vérification 2 3 3 5 7 4" xfId="29699"/>
    <cellStyle name="Vérification 2 3 3 5 8" xfId="16991"/>
    <cellStyle name="Vérification 2 3 3 5 8 2" xfId="32725"/>
    <cellStyle name="Vérification 2 3 3 5 9" xfId="10497"/>
    <cellStyle name="Vérification 2 3 3 6" xfId="1327"/>
    <cellStyle name="Vérification 2 3 3 6 2" xfId="2805"/>
    <cellStyle name="Vérification 2 3 3 6 2 2" xfId="6493"/>
    <cellStyle name="Vérification 2 3 3 6 2 2 2" xfId="8874"/>
    <cellStyle name="Vérification 2 3 3 6 2 2 2 2" xfId="25098"/>
    <cellStyle name="Vérification 2 3 3 6 2 2 2 2 2" xfId="37105"/>
    <cellStyle name="Vérification 2 3 3 6 2 2 2 3" xfId="14881"/>
    <cellStyle name="Vérification 2 3 3 6 2 2 2 4" xfId="31102"/>
    <cellStyle name="Vérification 2 3 3 6 2 2 3" xfId="10252"/>
    <cellStyle name="Vérification 2 3 3 6 2 2 3 2" xfId="26476"/>
    <cellStyle name="Vérification 2 3 3 6 2 2 3 2 2" xfId="38483"/>
    <cellStyle name="Vérification 2 3 3 6 2 2 3 3" xfId="16259"/>
    <cellStyle name="Vérification 2 3 3 6 2 2 3 4" xfId="32480"/>
    <cellStyle name="Vérification 2 3 3 6 2 2 4" xfId="22717"/>
    <cellStyle name="Vérification 2 3 3 6 2 2 4 2" xfId="34724"/>
    <cellStyle name="Vérification 2 3 3 6 2 2 5" xfId="12578"/>
    <cellStyle name="Vérification 2 3 3 6 2 2 6" xfId="28799"/>
    <cellStyle name="Vérification 2 3 3 6 2 3" xfId="7541"/>
    <cellStyle name="Vérification 2 3 3 6 2 3 2" xfId="9585"/>
    <cellStyle name="Vérification 2 3 3 6 2 3 2 2" xfId="25809"/>
    <cellStyle name="Vérification 2 3 3 6 2 3 2 2 2" xfId="37816"/>
    <cellStyle name="Vérification 2 3 3 6 2 3 2 3" xfId="15592"/>
    <cellStyle name="Vérification 2 3 3 6 2 3 2 4" xfId="31813"/>
    <cellStyle name="Vérification 2 3 3 6 2 3 3" xfId="23765"/>
    <cellStyle name="Vérification 2 3 3 6 2 3 3 2" xfId="35772"/>
    <cellStyle name="Vérification 2 3 3 6 2 3 4" xfId="13289"/>
    <cellStyle name="Vérification 2 3 3 6 2 3 5" xfId="29510"/>
    <cellStyle name="Vérification 2 3 3 6 2 4" xfId="7918"/>
    <cellStyle name="Vérification 2 3 3 6 2 4 2" xfId="24142"/>
    <cellStyle name="Vérification 2 3 3 6 2 4 2 2" xfId="36149"/>
    <cellStyle name="Vérification 2 3 3 6 2 4 3" xfId="13925"/>
    <cellStyle name="Vérification 2 3 3 6 2 4 4" xfId="30146"/>
    <cellStyle name="Vérification 2 3 3 6 2 5" xfId="19033"/>
    <cellStyle name="Vérification 2 3 3 6 2 5 2" xfId="33147"/>
    <cellStyle name="Vérification 2 3 3 6 2 6" xfId="11274"/>
    <cellStyle name="Vérification 2 3 3 6 2 7" xfId="27495"/>
    <cellStyle name="Vérification 2 3 3 6 3" xfId="5024"/>
    <cellStyle name="Vérification 2 3 3 6 3 2" xfId="7051"/>
    <cellStyle name="Vérification 2 3 3 6 3 2 2" xfId="9252"/>
    <cellStyle name="Vérification 2 3 3 6 3 2 2 2" xfId="25476"/>
    <cellStyle name="Vérification 2 3 3 6 3 2 2 2 2" xfId="37483"/>
    <cellStyle name="Vérification 2 3 3 6 3 2 2 3" xfId="15259"/>
    <cellStyle name="Vérification 2 3 3 6 3 2 2 4" xfId="31480"/>
    <cellStyle name="Vérification 2 3 3 6 3 2 3" xfId="23275"/>
    <cellStyle name="Vérification 2 3 3 6 3 2 3 2" xfId="35282"/>
    <cellStyle name="Vérification 2 3 3 6 3 2 4" xfId="12956"/>
    <cellStyle name="Vérification 2 3 3 6 3 2 5" xfId="29177"/>
    <cellStyle name="Vérification 2 3 3 6 3 3" xfId="7323"/>
    <cellStyle name="Vérification 2 3 3 6 3 3 2" xfId="23547"/>
    <cellStyle name="Vérification 2 3 3 6 3 3 2 2" xfId="35554"/>
    <cellStyle name="Vérification 2 3 3 6 3 3 3" xfId="13690"/>
    <cellStyle name="Vérification 2 3 3 6 3 3 4" xfId="29911"/>
    <cellStyle name="Vérification 2 3 3 6 3 4" xfId="21250"/>
    <cellStyle name="Vérification 2 3 3 6 3 4 2" xfId="34391"/>
    <cellStyle name="Vérification 2 3 3 6 3 5" xfId="10938"/>
    <cellStyle name="Vérification 2 3 3 6 3 6" xfId="27161"/>
    <cellStyle name="Vérification 2 3 3 6 4" xfId="3415"/>
    <cellStyle name="Vérification 2 3 3 6 4 2" xfId="8382"/>
    <cellStyle name="Vérification 2 3 3 6 4 2 2" xfId="24606"/>
    <cellStyle name="Vérification 2 3 3 6 4 2 2 2" xfId="36613"/>
    <cellStyle name="Vérification 2 3 3 6 4 2 3" xfId="14389"/>
    <cellStyle name="Vérification 2 3 3 6 4 2 4" xfId="30610"/>
    <cellStyle name="Vérification 2 3 3 6 4 3" xfId="9919"/>
    <cellStyle name="Vérification 2 3 3 6 4 3 2" xfId="26143"/>
    <cellStyle name="Vérification 2 3 3 6 4 3 2 2" xfId="38150"/>
    <cellStyle name="Vérification 2 3 3 6 4 3 3" xfId="15926"/>
    <cellStyle name="Vérification 2 3 3 6 4 3 4" xfId="32147"/>
    <cellStyle name="Vérification 2 3 3 6 4 4" xfId="19643"/>
    <cellStyle name="Vérification 2 3 3 6 4 4 2" xfId="33757"/>
    <cellStyle name="Vérification 2 3 3 6 4 5" xfId="11937"/>
    <cellStyle name="Vérification 2 3 3 6 4 6" xfId="28158"/>
    <cellStyle name="Vérification 2 3 3 6 5" xfId="3293"/>
    <cellStyle name="Vérification 2 3 3 6 5 2" xfId="8284"/>
    <cellStyle name="Vérification 2 3 3 6 5 2 2" xfId="24508"/>
    <cellStyle name="Vérification 2 3 3 6 5 2 2 2" xfId="36515"/>
    <cellStyle name="Vérification 2 3 3 6 5 2 3" xfId="14291"/>
    <cellStyle name="Vérification 2 3 3 6 5 2 4" xfId="30512"/>
    <cellStyle name="Vérification 2 3 3 6 5 3" xfId="19521"/>
    <cellStyle name="Vérification 2 3 3 6 5 3 2" xfId="33635"/>
    <cellStyle name="Vérification 2 3 3 6 5 4" xfId="11839"/>
    <cellStyle name="Vérification 2 3 3 6 5 5" xfId="28060"/>
    <cellStyle name="Vérification 2 3 3 6 6" xfId="7258"/>
    <cellStyle name="Vérification 2 3 3 6 6 2" xfId="23482"/>
    <cellStyle name="Vérification 2 3 3 6 6 2 2" xfId="35489"/>
    <cellStyle name="Vérification 2 3 3 6 6 3" xfId="13642"/>
    <cellStyle name="Vérification 2 3 3 6 6 4" xfId="29863"/>
    <cellStyle name="Vérification 2 3 3 6 7" xfId="17566"/>
    <cellStyle name="Vérification 2 3 3 6 7 2" xfId="32814"/>
    <cellStyle name="Vérification 2 3 3 6 8" xfId="10586"/>
    <cellStyle name="Vérification 2 3 3 6 9" xfId="26811"/>
    <cellStyle name="Vérification 2 3 3 7" xfId="2486"/>
    <cellStyle name="Vérification 2 3 3 7 2" xfId="2917"/>
    <cellStyle name="Vérification 2 3 3 7 2 2" xfId="6605"/>
    <cellStyle name="Vérification 2 3 3 7 2 2 2" xfId="8986"/>
    <cellStyle name="Vérification 2 3 3 7 2 2 2 2" xfId="25210"/>
    <cellStyle name="Vérification 2 3 3 7 2 2 2 2 2" xfId="37217"/>
    <cellStyle name="Vérification 2 3 3 7 2 2 2 3" xfId="14993"/>
    <cellStyle name="Vérification 2 3 3 7 2 2 2 4" xfId="31214"/>
    <cellStyle name="Vérification 2 3 3 7 2 2 3" xfId="10364"/>
    <cellStyle name="Vérification 2 3 3 7 2 2 3 2" xfId="26588"/>
    <cellStyle name="Vérification 2 3 3 7 2 2 3 2 2" xfId="38595"/>
    <cellStyle name="Vérification 2 3 3 7 2 2 3 3" xfId="16371"/>
    <cellStyle name="Vérification 2 3 3 7 2 2 3 4" xfId="32592"/>
    <cellStyle name="Vérification 2 3 3 7 2 2 4" xfId="22829"/>
    <cellStyle name="Vérification 2 3 3 7 2 2 4 2" xfId="34836"/>
    <cellStyle name="Vérification 2 3 3 7 2 2 5" xfId="12690"/>
    <cellStyle name="Vérification 2 3 3 7 2 2 6" xfId="28911"/>
    <cellStyle name="Vérification 2 3 3 7 2 3" xfId="7653"/>
    <cellStyle name="Vérification 2 3 3 7 2 3 2" xfId="9697"/>
    <cellStyle name="Vérification 2 3 3 7 2 3 2 2" xfId="25921"/>
    <cellStyle name="Vérification 2 3 3 7 2 3 2 2 2" xfId="37928"/>
    <cellStyle name="Vérification 2 3 3 7 2 3 2 3" xfId="15704"/>
    <cellStyle name="Vérification 2 3 3 7 2 3 2 4" xfId="31925"/>
    <cellStyle name="Vérification 2 3 3 7 2 3 3" xfId="23877"/>
    <cellStyle name="Vérification 2 3 3 7 2 3 3 2" xfId="35884"/>
    <cellStyle name="Vérification 2 3 3 7 2 3 4" xfId="13401"/>
    <cellStyle name="Vérification 2 3 3 7 2 3 5" xfId="29622"/>
    <cellStyle name="Vérification 2 3 3 7 2 4" xfId="8030"/>
    <cellStyle name="Vérification 2 3 3 7 2 4 2" xfId="24254"/>
    <cellStyle name="Vérification 2 3 3 7 2 4 2 2" xfId="36261"/>
    <cellStyle name="Vérification 2 3 3 7 2 4 3" xfId="14037"/>
    <cellStyle name="Vérification 2 3 3 7 2 4 4" xfId="30258"/>
    <cellStyle name="Vérification 2 3 3 7 2 5" xfId="19145"/>
    <cellStyle name="Vérification 2 3 3 7 2 5 2" xfId="33259"/>
    <cellStyle name="Vérification 2 3 3 7 2 6" xfId="11386"/>
    <cellStyle name="Vérification 2 3 3 7 2 7" xfId="27607"/>
    <cellStyle name="Vérification 2 3 3 7 3" xfId="6176"/>
    <cellStyle name="Vérification 2 3 3 7 3 2" xfId="7311"/>
    <cellStyle name="Vérification 2 3 3 7 3 2 2" xfId="9364"/>
    <cellStyle name="Vérification 2 3 3 7 3 2 2 2" xfId="25588"/>
    <cellStyle name="Vérification 2 3 3 7 3 2 2 2 2" xfId="37595"/>
    <cellStyle name="Vérification 2 3 3 7 3 2 2 3" xfId="15371"/>
    <cellStyle name="Vérification 2 3 3 7 3 2 2 4" xfId="31592"/>
    <cellStyle name="Vérification 2 3 3 7 3 2 3" xfId="23535"/>
    <cellStyle name="Vérification 2 3 3 7 3 2 3 2" xfId="35542"/>
    <cellStyle name="Vérification 2 3 3 7 3 2 4" xfId="13068"/>
    <cellStyle name="Vérification 2 3 3 7 3 2 5" xfId="29289"/>
    <cellStyle name="Vérification 2 3 3 7 3 3" xfId="7697"/>
    <cellStyle name="Vérification 2 3 3 7 3 3 2" xfId="23921"/>
    <cellStyle name="Vérification 2 3 3 7 3 3 2 2" xfId="35928"/>
    <cellStyle name="Vérification 2 3 3 7 3 3 3" xfId="13704"/>
    <cellStyle name="Vérification 2 3 3 7 3 3 4" xfId="29925"/>
    <cellStyle name="Vérification 2 3 3 7 3 4" xfId="22400"/>
    <cellStyle name="Vérification 2 3 3 7 3 4 2" xfId="34503"/>
    <cellStyle name="Vérification 2 3 3 7 3 5" xfId="11052"/>
    <cellStyle name="Vérification 2 3 3 7 3 6" xfId="27273"/>
    <cellStyle name="Vérification 2 3 3 7 4" xfId="3802"/>
    <cellStyle name="Vérification 2 3 3 7 4 2" xfId="8641"/>
    <cellStyle name="Vérification 2 3 3 7 4 2 2" xfId="24865"/>
    <cellStyle name="Vérification 2 3 3 7 4 2 2 2" xfId="36872"/>
    <cellStyle name="Vérification 2 3 3 7 4 2 3" xfId="14648"/>
    <cellStyle name="Vérification 2 3 3 7 4 2 4" xfId="30869"/>
    <cellStyle name="Vérification 2 3 3 7 4 3" xfId="10031"/>
    <cellStyle name="Vérification 2 3 3 7 4 3 2" xfId="26255"/>
    <cellStyle name="Vérification 2 3 3 7 4 3 2 2" xfId="38262"/>
    <cellStyle name="Vérification 2 3 3 7 4 3 3" xfId="16038"/>
    <cellStyle name="Vérification 2 3 3 7 4 3 4" xfId="32259"/>
    <cellStyle name="Vérification 2 3 3 7 4 4" xfId="20030"/>
    <cellStyle name="Vérification 2 3 3 7 4 4 2" xfId="34144"/>
    <cellStyle name="Vérification 2 3 3 7 4 5" xfId="12196"/>
    <cellStyle name="Vérification 2 3 3 7 4 6" xfId="28417"/>
    <cellStyle name="Vérification 2 3 3 7 5" xfId="6674"/>
    <cellStyle name="Vérification 2 3 3 7 5 2" xfId="9030"/>
    <cellStyle name="Vérification 2 3 3 7 5 2 2" xfId="25254"/>
    <cellStyle name="Vérification 2 3 3 7 5 2 2 2" xfId="37261"/>
    <cellStyle name="Vérification 2 3 3 7 5 2 3" xfId="15037"/>
    <cellStyle name="Vérification 2 3 3 7 5 2 4" xfId="31258"/>
    <cellStyle name="Vérification 2 3 3 7 5 3" xfId="22898"/>
    <cellStyle name="Vérification 2 3 3 7 5 3 2" xfId="34905"/>
    <cellStyle name="Vérification 2 3 3 7 5 4" xfId="12734"/>
    <cellStyle name="Vérification 2 3 3 7 5 5" xfId="28955"/>
    <cellStyle name="Vérification 2 3 3 7 6" xfId="7223"/>
    <cellStyle name="Vérification 2 3 3 7 6 2" xfId="23447"/>
    <cellStyle name="Vérification 2 3 3 7 6 2 2" xfId="35454"/>
    <cellStyle name="Vérification 2 3 3 7 6 3" xfId="13607"/>
    <cellStyle name="Vérification 2 3 3 7 6 4" xfId="29828"/>
    <cellStyle name="Vérification 2 3 3 7 7" xfId="18716"/>
    <cellStyle name="Vérification 2 3 3 7 7 2" xfId="32926"/>
    <cellStyle name="Vérification 2 3 3 7 8" xfId="10700"/>
    <cellStyle name="Vérification 2 3 3 7 9" xfId="26923"/>
    <cellStyle name="Vérification 2 3 3 8" xfId="2605"/>
    <cellStyle name="Vérification 2 3 3 8 2" xfId="2938"/>
    <cellStyle name="Vérification 2 3 3 8 2 2" xfId="6626"/>
    <cellStyle name="Vérification 2 3 3 8 2 2 2" xfId="9007"/>
    <cellStyle name="Vérification 2 3 3 8 2 2 2 2" xfId="25231"/>
    <cellStyle name="Vérification 2 3 3 8 2 2 2 2 2" xfId="37238"/>
    <cellStyle name="Vérification 2 3 3 8 2 2 2 3" xfId="15014"/>
    <cellStyle name="Vérification 2 3 3 8 2 2 2 4" xfId="31235"/>
    <cellStyle name="Vérification 2 3 3 8 2 2 3" xfId="10385"/>
    <cellStyle name="Vérification 2 3 3 8 2 2 3 2" xfId="26609"/>
    <cellStyle name="Vérification 2 3 3 8 2 2 3 2 2" xfId="38616"/>
    <cellStyle name="Vérification 2 3 3 8 2 2 3 3" xfId="16392"/>
    <cellStyle name="Vérification 2 3 3 8 2 2 3 4" xfId="32613"/>
    <cellStyle name="Vérification 2 3 3 8 2 2 4" xfId="22850"/>
    <cellStyle name="Vérification 2 3 3 8 2 2 4 2" xfId="34857"/>
    <cellStyle name="Vérification 2 3 3 8 2 2 5" xfId="12711"/>
    <cellStyle name="Vérification 2 3 3 8 2 2 6" xfId="28932"/>
    <cellStyle name="Vérification 2 3 3 8 2 3" xfId="7674"/>
    <cellStyle name="Vérification 2 3 3 8 2 3 2" xfId="9718"/>
    <cellStyle name="Vérification 2 3 3 8 2 3 2 2" xfId="25942"/>
    <cellStyle name="Vérification 2 3 3 8 2 3 2 2 2" xfId="37949"/>
    <cellStyle name="Vérification 2 3 3 8 2 3 2 3" xfId="15725"/>
    <cellStyle name="Vérification 2 3 3 8 2 3 2 4" xfId="31946"/>
    <cellStyle name="Vérification 2 3 3 8 2 3 3" xfId="23898"/>
    <cellStyle name="Vérification 2 3 3 8 2 3 3 2" xfId="35905"/>
    <cellStyle name="Vérification 2 3 3 8 2 3 4" xfId="13422"/>
    <cellStyle name="Vérification 2 3 3 8 2 3 5" xfId="29643"/>
    <cellStyle name="Vérification 2 3 3 8 2 4" xfId="8051"/>
    <cellStyle name="Vérification 2 3 3 8 2 4 2" xfId="24275"/>
    <cellStyle name="Vérification 2 3 3 8 2 4 2 2" xfId="36282"/>
    <cellStyle name="Vérification 2 3 3 8 2 4 3" xfId="14058"/>
    <cellStyle name="Vérification 2 3 3 8 2 4 4" xfId="30279"/>
    <cellStyle name="Vérification 2 3 3 8 2 5" xfId="19166"/>
    <cellStyle name="Vérification 2 3 3 8 2 5 2" xfId="33280"/>
    <cellStyle name="Vérification 2 3 3 8 2 6" xfId="11407"/>
    <cellStyle name="Vérification 2 3 3 8 2 7" xfId="27628"/>
    <cellStyle name="Vérification 2 3 3 8 3" xfId="6293"/>
    <cellStyle name="Vérification 2 3 3 8 3 2" xfId="7341"/>
    <cellStyle name="Vérification 2 3 3 8 3 2 2" xfId="9385"/>
    <cellStyle name="Vérification 2 3 3 8 3 2 2 2" xfId="25609"/>
    <cellStyle name="Vérification 2 3 3 8 3 2 2 2 2" xfId="37616"/>
    <cellStyle name="Vérification 2 3 3 8 3 2 2 3" xfId="15392"/>
    <cellStyle name="Vérification 2 3 3 8 3 2 2 4" xfId="31613"/>
    <cellStyle name="Vérification 2 3 3 8 3 2 3" xfId="23565"/>
    <cellStyle name="Vérification 2 3 3 8 3 2 3 2" xfId="35572"/>
    <cellStyle name="Vérification 2 3 3 8 3 2 4" xfId="13089"/>
    <cellStyle name="Vérification 2 3 3 8 3 2 5" xfId="29310"/>
    <cellStyle name="Vérification 2 3 3 8 3 3" xfId="7718"/>
    <cellStyle name="Vérification 2 3 3 8 3 3 2" xfId="23942"/>
    <cellStyle name="Vérification 2 3 3 8 3 3 2 2" xfId="35949"/>
    <cellStyle name="Vérification 2 3 3 8 3 3 3" xfId="13725"/>
    <cellStyle name="Vérification 2 3 3 8 3 3 4" xfId="29946"/>
    <cellStyle name="Vérification 2 3 3 8 3 4" xfId="22517"/>
    <cellStyle name="Vérification 2 3 3 8 3 4 2" xfId="34524"/>
    <cellStyle name="Vérification 2 3 3 8 3 5" xfId="11074"/>
    <cellStyle name="Vérification 2 3 3 8 3 6" xfId="27295"/>
    <cellStyle name="Vérification 2 3 3 8 4" xfId="3848"/>
    <cellStyle name="Vérification 2 3 3 8 4 2" xfId="8674"/>
    <cellStyle name="Vérification 2 3 3 8 4 2 2" xfId="24898"/>
    <cellStyle name="Vérification 2 3 3 8 4 2 2 2" xfId="36905"/>
    <cellStyle name="Vérification 2 3 3 8 4 2 3" xfId="14681"/>
    <cellStyle name="Vérification 2 3 3 8 4 2 4" xfId="30902"/>
    <cellStyle name="Vérification 2 3 3 8 4 3" xfId="10052"/>
    <cellStyle name="Vérification 2 3 3 8 4 3 2" xfId="26276"/>
    <cellStyle name="Vérification 2 3 3 8 4 3 2 2" xfId="38283"/>
    <cellStyle name="Vérification 2 3 3 8 4 3 3" xfId="16059"/>
    <cellStyle name="Vérification 2 3 3 8 4 3 4" xfId="32280"/>
    <cellStyle name="Vérification 2 3 3 8 4 4" xfId="20076"/>
    <cellStyle name="Vérification 2 3 3 8 4 4 2" xfId="34190"/>
    <cellStyle name="Vérification 2 3 3 8 4 5" xfId="12229"/>
    <cellStyle name="Vérification 2 3 3 8 4 6" xfId="28450"/>
    <cellStyle name="Vérification 2 3 3 8 5" xfId="6705"/>
    <cellStyle name="Vérification 2 3 3 8 5 2" xfId="9051"/>
    <cellStyle name="Vérification 2 3 3 8 5 2 2" xfId="25275"/>
    <cellStyle name="Vérification 2 3 3 8 5 2 2 2" xfId="37282"/>
    <cellStyle name="Vérification 2 3 3 8 5 2 3" xfId="15058"/>
    <cellStyle name="Vérification 2 3 3 8 5 2 4" xfId="31279"/>
    <cellStyle name="Vérification 2 3 3 8 5 3" xfId="22929"/>
    <cellStyle name="Vérification 2 3 3 8 5 3 2" xfId="34936"/>
    <cellStyle name="Vérification 2 3 3 8 5 4" xfId="12755"/>
    <cellStyle name="Vérification 2 3 3 8 5 5" xfId="28976"/>
    <cellStyle name="Vérification 2 3 3 8 6" xfId="3295"/>
    <cellStyle name="Vérification 2 3 3 8 6 2" xfId="19523"/>
    <cellStyle name="Vérification 2 3 3 8 6 2 2" xfId="33637"/>
    <cellStyle name="Vérification 2 3 3 8 6 3" xfId="10738"/>
    <cellStyle name="Vérification 2 3 3 8 6 4" xfId="26961"/>
    <cellStyle name="Vérification 2 3 3 8 7" xfId="18833"/>
    <cellStyle name="Vérification 2 3 3 8 7 2" xfId="32947"/>
    <cellStyle name="Vérification 2 3 3 8 8" xfId="10721"/>
    <cellStyle name="Vérification 2 3 3 8 9" xfId="26944"/>
    <cellStyle name="Vérification 2 3 3 9" xfId="2627"/>
    <cellStyle name="Vérification 2 3 3 9 2" xfId="6315"/>
    <cellStyle name="Vérification 2 3 3 9 2 2" xfId="8696"/>
    <cellStyle name="Vérification 2 3 3 9 2 2 2" xfId="24920"/>
    <cellStyle name="Vérification 2 3 3 9 2 2 2 2" xfId="36927"/>
    <cellStyle name="Vérification 2 3 3 9 2 2 3" xfId="14703"/>
    <cellStyle name="Vérification 2 3 3 9 2 2 4" xfId="30924"/>
    <cellStyle name="Vérification 2 3 3 9 2 3" xfId="10074"/>
    <cellStyle name="Vérification 2 3 3 9 2 3 2" xfId="26298"/>
    <cellStyle name="Vérification 2 3 3 9 2 3 2 2" xfId="38305"/>
    <cellStyle name="Vérification 2 3 3 9 2 3 3" xfId="16081"/>
    <cellStyle name="Vérification 2 3 3 9 2 3 4" xfId="32302"/>
    <cellStyle name="Vérification 2 3 3 9 2 4" xfId="22539"/>
    <cellStyle name="Vérification 2 3 3 9 2 4 2" xfId="34546"/>
    <cellStyle name="Vérification 2 3 3 9 2 5" xfId="12400"/>
    <cellStyle name="Vérification 2 3 3 9 2 6" xfId="28621"/>
    <cellStyle name="Vérification 2 3 3 9 3" xfId="7363"/>
    <cellStyle name="Vérification 2 3 3 9 3 2" xfId="9407"/>
    <cellStyle name="Vérification 2 3 3 9 3 2 2" xfId="25631"/>
    <cellStyle name="Vérification 2 3 3 9 3 2 2 2" xfId="37638"/>
    <cellStyle name="Vérification 2 3 3 9 3 2 3" xfId="15414"/>
    <cellStyle name="Vérification 2 3 3 9 3 2 4" xfId="31635"/>
    <cellStyle name="Vérification 2 3 3 9 3 3" xfId="23587"/>
    <cellStyle name="Vérification 2 3 3 9 3 3 2" xfId="35594"/>
    <cellStyle name="Vérification 2 3 3 9 3 4" xfId="13111"/>
    <cellStyle name="Vérification 2 3 3 9 3 5" xfId="29332"/>
    <cellStyle name="Vérification 2 3 3 9 4" xfId="7740"/>
    <cellStyle name="Vérification 2 3 3 9 4 2" xfId="23964"/>
    <cellStyle name="Vérification 2 3 3 9 4 2 2" xfId="35971"/>
    <cellStyle name="Vérification 2 3 3 9 4 3" xfId="13747"/>
    <cellStyle name="Vérification 2 3 3 9 4 4" xfId="29968"/>
    <cellStyle name="Vérification 2 3 3 9 5" xfId="18855"/>
    <cellStyle name="Vérification 2 3 3 9 5 2" xfId="32969"/>
    <cellStyle name="Vérification 2 3 3 9 6" xfId="11096"/>
    <cellStyle name="Vérification 2 3 3 9 7" xfId="27317"/>
    <cellStyle name="Vérification 2 3 4" xfId="184"/>
    <cellStyle name="Vérification 2 3 4 10" xfId="3941"/>
    <cellStyle name="Vérification 2 3 4 10 2" xfId="6744"/>
    <cellStyle name="Vérification 2 3 4 10 2 2" xfId="9076"/>
    <cellStyle name="Vérification 2 3 4 10 2 2 2" xfId="25300"/>
    <cellStyle name="Vérification 2 3 4 10 2 2 2 2" xfId="37307"/>
    <cellStyle name="Vérification 2 3 4 10 2 2 3" xfId="15083"/>
    <cellStyle name="Vérification 2 3 4 10 2 2 4" xfId="31304"/>
    <cellStyle name="Vérification 2 3 4 10 2 3" xfId="22968"/>
    <cellStyle name="Vérification 2 3 4 10 2 3 2" xfId="34975"/>
    <cellStyle name="Vérification 2 3 4 10 2 4" xfId="12780"/>
    <cellStyle name="Vérification 2 3 4 10 2 5" xfId="29001"/>
    <cellStyle name="Vérification 2 3 4 10 3" xfId="3715"/>
    <cellStyle name="Vérification 2 3 4 10 3 2" xfId="19943"/>
    <cellStyle name="Vérification 2 3 4 10 3 2 2" xfId="34057"/>
    <cellStyle name="Vérification 2 3 4 10 3 3" xfId="12328"/>
    <cellStyle name="Vérification 2 3 4 10 3 4" xfId="28549"/>
    <cellStyle name="Vérification 2 3 4 10 4" xfId="20168"/>
    <cellStyle name="Vérification 2 3 4 10 4 2" xfId="34215"/>
    <cellStyle name="Vérification 2 3 4 10 5" xfId="10753"/>
    <cellStyle name="Vérification 2 3 4 10 6" xfId="26976"/>
    <cellStyle name="Vérification 2 3 4 11" xfId="3000"/>
    <cellStyle name="Vérification 2 3 4 11 2" xfId="8090"/>
    <cellStyle name="Vérification 2 3 4 11 2 2" xfId="24314"/>
    <cellStyle name="Vérification 2 3 4 11 2 2 2" xfId="36321"/>
    <cellStyle name="Vérification 2 3 4 11 2 3" xfId="14097"/>
    <cellStyle name="Vérification 2 3 4 11 2 4" xfId="30318"/>
    <cellStyle name="Vérification 2 3 4 11 3" xfId="9743"/>
    <cellStyle name="Vérification 2 3 4 11 3 2" xfId="25967"/>
    <cellStyle name="Vérification 2 3 4 11 3 2 2" xfId="37974"/>
    <cellStyle name="Vérification 2 3 4 11 3 3" xfId="15750"/>
    <cellStyle name="Vérification 2 3 4 11 3 4" xfId="31971"/>
    <cellStyle name="Vérification 2 3 4 11 4" xfId="19228"/>
    <cellStyle name="Vérification 2 3 4 11 4 2" xfId="33342"/>
    <cellStyle name="Vérification 2 3 4 11 5" xfId="11645"/>
    <cellStyle name="Vérification 2 3 4 11 6" xfId="27866"/>
    <cellStyle name="Vérification 2 3 4 12" xfId="3565"/>
    <cellStyle name="Vérification 2 3 4 12 2" xfId="8513"/>
    <cellStyle name="Vérification 2 3 4 12 2 2" xfId="24737"/>
    <cellStyle name="Vérification 2 3 4 12 2 2 2" xfId="36744"/>
    <cellStyle name="Vérification 2 3 4 12 2 3" xfId="14520"/>
    <cellStyle name="Vérification 2 3 4 12 2 4" xfId="30741"/>
    <cellStyle name="Vérification 2 3 4 12 3" xfId="19793"/>
    <cellStyle name="Vérification 2 3 4 12 3 2" xfId="33907"/>
    <cellStyle name="Vérification 2 3 4 12 4" xfId="12068"/>
    <cellStyle name="Vérification 2 3 4 12 5" xfId="28289"/>
    <cellStyle name="Vérification 2 3 4 13" xfId="6941"/>
    <cellStyle name="Vérification 2 3 4 13 2" xfId="23165"/>
    <cellStyle name="Vérification 2 3 4 13 2 2" xfId="35172"/>
    <cellStyle name="Vérification 2 3 4 13 3" xfId="12284"/>
    <cellStyle name="Vérification 2 3 4 13 4" xfId="28505"/>
    <cellStyle name="Vérification 2 3 4 14" xfId="16484"/>
    <cellStyle name="Vérification 2 3 4 14 2" xfId="32638"/>
    <cellStyle name="Vérification 2 3 4 15" xfId="10410"/>
    <cellStyle name="Vérification 2 3 4 16" xfId="26635"/>
    <cellStyle name="Vérification 2 3 4 2" xfId="390"/>
    <cellStyle name="Vérification 2 3 4 2 10" xfId="10433"/>
    <cellStyle name="Vérification 2 3 4 2 11" xfId="26658"/>
    <cellStyle name="Vérification 2 3 4 2 2" xfId="1352"/>
    <cellStyle name="Vérification 2 3 4 2 2 2" xfId="2830"/>
    <cellStyle name="Vérification 2 3 4 2 2 2 2" xfId="6518"/>
    <cellStyle name="Vérification 2 3 4 2 2 2 2 2" xfId="8899"/>
    <cellStyle name="Vérification 2 3 4 2 2 2 2 2 2" xfId="25123"/>
    <cellStyle name="Vérification 2 3 4 2 2 2 2 2 2 2" xfId="37130"/>
    <cellStyle name="Vérification 2 3 4 2 2 2 2 2 3" xfId="14906"/>
    <cellStyle name="Vérification 2 3 4 2 2 2 2 2 4" xfId="31127"/>
    <cellStyle name="Vérification 2 3 4 2 2 2 2 3" xfId="10277"/>
    <cellStyle name="Vérification 2 3 4 2 2 2 2 3 2" xfId="26501"/>
    <cellStyle name="Vérification 2 3 4 2 2 2 2 3 2 2" xfId="38508"/>
    <cellStyle name="Vérification 2 3 4 2 2 2 2 3 3" xfId="16284"/>
    <cellStyle name="Vérification 2 3 4 2 2 2 2 3 4" xfId="32505"/>
    <cellStyle name="Vérification 2 3 4 2 2 2 2 4" xfId="22742"/>
    <cellStyle name="Vérification 2 3 4 2 2 2 2 4 2" xfId="34749"/>
    <cellStyle name="Vérification 2 3 4 2 2 2 2 5" xfId="12603"/>
    <cellStyle name="Vérification 2 3 4 2 2 2 2 6" xfId="28824"/>
    <cellStyle name="Vérification 2 3 4 2 2 2 3" xfId="7566"/>
    <cellStyle name="Vérification 2 3 4 2 2 2 3 2" xfId="9610"/>
    <cellStyle name="Vérification 2 3 4 2 2 2 3 2 2" xfId="25834"/>
    <cellStyle name="Vérification 2 3 4 2 2 2 3 2 2 2" xfId="37841"/>
    <cellStyle name="Vérification 2 3 4 2 2 2 3 2 3" xfId="15617"/>
    <cellStyle name="Vérification 2 3 4 2 2 2 3 2 4" xfId="31838"/>
    <cellStyle name="Vérification 2 3 4 2 2 2 3 3" xfId="23790"/>
    <cellStyle name="Vérification 2 3 4 2 2 2 3 3 2" xfId="35797"/>
    <cellStyle name="Vérification 2 3 4 2 2 2 3 4" xfId="13314"/>
    <cellStyle name="Vérification 2 3 4 2 2 2 3 5" xfId="29535"/>
    <cellStyle name="Vérification 2 3 4 2 2 2 4" xfId="7943"/>
    <cellStyle name="Vérification 2 3 4 2 2 2 4 2" xfId="24167"/>
    <cellStyle name="Vérification 2 3 4 2 2 2 4 2 2" xfId="36174"/>
    <cellStyle name="Vérification 2 3 4 2 2 2 4 3" xfId="13950"/>
    <cellStyle name="Vérification 2 3 4 2 2 2 4 4" xfId="30171"/>
    <cellStyle name="Vérification 2 3 4 2 2 2 5" xfId="19058"/>
    <cellStyle name="Vérification 2 3 4 2 2 2 5 2" xfId="33172"/>
    <cellStyle name="Vérification 2 3 4 2 2 2 6" xfId="11299"/>
    <cellStyle name="Vérification 2 3 4 2 2 2 7" xfId="27520"/>
    <cellStyle name="Vérification 2 3 4 2 2 3" xfId="5049"/>
    <cellStyle name="Vérification 2 3 4 2 2 3 2" xfId="7076"/>
    <cellStyle name="Vérification 2 3 4 2 2 3 2 2" xfId="9277"/>
    <cellStyle name="Vérification 2 3 4 2 2 3 2 2 2" xfId="25501"/>
    <cellStyle name="Vérification 2 3 4 2 2 3 2 2 2 2" xfId="37508"/>
    <cellStyle name="Vérification 2 3 4 2 2 3 2 2 3" xfId="15284"/>
    <cellStyle name="Vérification 2 3 4 2 2 3 2 2 4" xfId="31505"/>
    <cellStyle name="Vérification 2 3 4 2 2 3 2 3" xfId="23300"/>
    <cellStyle name="Vérification 2 3 4 2 2 3 2 3 2" xfId="35307"/>
    <cellStyle name="Vérification 2 3 4 2 2 3 2 4" xfId="12981"/>
    <cellStyle name="Vérification 2 3 4 2 2 3 2 5" xfId="29202"/>
    <cellStyle name="Vérification 2 3 4 2 2 3 3" xfId="6748"/>
    <cellStyle name="Vérification 2 3 4 2 2 3 3 2" xfId="22972"/>
    <cellStyle name="Vérification 2 3 4 2 2 3 3 2 2" xfId="34979"/>
    <cellStyle name="Vérification 2 3 4 2 2 3 3 3" xfId="11453"/>
    <cellStyle name="Vérification 2 3 4 2 2 3 3 4" xfId="27674"/>
    <cellStyle name="Vérification 2 3 4 2 2 3 4" xfId="21275"/>
    <cellStyle name="Vérification 2 3 4 2 2 3 4 2" xfId="34416"/>
    <cellStyle name="Vérification 2 3 4 2 2 3 5" xfId="10963"/>
    <cellStyle name="Vérification 2 3 4 2 2 3 6" xfId="27186"/>
    <cellStyle name="Vérification 2 3 4 2 2 4" xfId="3440"/>
    <cellStyle name="Vérification 2 3 4 2 2 4 2" xfId="8407"/>
    <cellStyle name="Vérification 2 3 4 2 2 4 2 2" xfId="24631"/>
    <cellStyle name="Vérification 2 3 4 2 2 4 2 2 2" xfId="36638"/>
    <cellStyle name="Vérification 2 3 4 2 2 4 2 3" xfId="14414"/>
    <cellStyle name="Vérification 2 3 4 2 2 4 2 4" xfId="30635"/>
    <cellStyle name="Vérification 2 3 4 2 2 4 3" xfId="9944"/>
    <cellStyle name="Vérification 2 3 4 2 2 4 3 2" xfId="26168"/>
    <cellStyle name="Vérification 2 3 4 2 2 4 3 2 2" xfId="38175"/>
    <cellStyle name="Vérification 2 3 4 2 2 4 3 3" xfId="15951"/>
    <cellStyle name="Vérification 2 3 4 2 2 4 3 4" xfId="32172"/>
    <cellStyle name="Vérification 2 3 4 2 2 4 4" xfId="19668"/>
    <cellStyle name="Vérification 2 3 4 2 2 4 4 2" xfId="33782"/>
    <cellStyle name="Vérification 2 3 4 2 2 4 5" xfId="11962"/>
    <cellStyle name="Vérification 2 3 4 2 2 4 6" xfId="28183"/>
    <cellStyle name="Vérification 2 3 4 2 2 5" xfId="3694"/>
    <cellStyle name="Vérification 2 3 4 2 2 5 2" xfId="8582"/>
    <cellStyle name="Vérification 2 3 4 2 2 5 2 2" xfId="24806"/>
    <cellStyle name="Vérification 2 3 4 2 2 5 2 2 2" xfId="36813"/>
    <cellStyle name="Vérification 2 3 4 2 2 5 2 3" xfId="14589"/>
    <cellStyle name="Vérification 2 3 4 2 2 5 2 4" xfId="30810"/>
    <cellStyle name="Vérification 2 3 4 2 2 5 3" xfId="19922"/>
    <cellStyle name="Vérification 2 3 4 2 2 5 3 2" xfId="34036"/>
    <cellStyle name="Vérification 2 3 4 2 2 5 4" xfId="12137"/>
    <cellStyle name="Vérification 2 3 4 2 2 5 5" xfId="28358"/>
    <cellStyle name="Vérification 2 3 4 2 2 6" xfId="6958"/>
    <cellStyle name="Vérification 2 3 4 2 2 6 2" xfId="23182"/>
    <cellStyle name="Vérification 2 3 4 2 2 6 2 2" xfId="35189"/>
    <cellStyle name="Vérification 2 3 4 2 2 6 3" xfId="11612"/>
    <cellStyle name="Vérification 2 3 4 2 2 6 4" xfId="27833"/>
    <cellStyle name="Vérification 2 3 4 2 2 7" xfId="17591"/>
    <cellStyle name="Vérification 2 3 4 2 2 7 2" xfId="32839"/>
    <cellStyle name="Vérification 2 3 4 2 2 8" xfId="10611"/>
    <cellStyle name="Vérification 2 3 4 2 2 9" xfId="26836"/>
    <cellStyle name="Vérification 2 3 4 2 3" xfId="1005"/>
    <cellStyle name="Vérification 2 3 4 2 3 2" xfId="2741"/>
    <cellStyle name="Vérification 2 3 4 2 3 2 2" xfId="6429"/>
    <cellStyle name="Vérification 2 3 4 2 3 2 2 2" xfId="8810"/>
    <cellStyle name="Vérification 2 3 4 2 3 2 2 2 2" xfId="25034"/>
    <cellStyle name="Vérification 2 3 4 2 3 2 2 2 2 2" xfId="37041"/>
    <cellStyle name="Vérification 2 3 4 2 3 2 2 2 3" xfId="14817"/>
    <cellStyle name="Vérification 2 3 4 2 3 2 2 2 4" xfId="31038"/>
    <cellStyle name="Vérification 2 3 4 2 3 2 2 3" xfId="10188"/>
    <cellStyle name="Vérification 2 3 4 2 3 2 2 3 2" xfId="26412"/>
    <cellStyle name="Vérification 2 3 4 2 3 2 2 3 2 2" xfId="38419"/>
    <cellStyle name="Vérification 2 3 4 2 3 2 2 3 3" xfId="16195"/>
    <cellStyle name="Vérification 2 3 4 2 3 2 2 3 4" xfId="32416"/>
    <cellStyle name="Vérification 2 3 4 2 3 2 2 4" xfId="22653"/>
    <cellStyle name="Vérification 2 3 4 2 3 2 2 4 2" xfId="34660"/>
    <cellStyle name="Vérification 2 3 4 2 3 2 2 5" xfId="12514"/>
    <cellStyle name="Vérification 2 3 4 2 3 2 2 6" xfId="28735"/>
    <cellStyle name="Vérification 2 3 4 2 3 2 3" xfId="7477"/>
    <cellStyle name="Vérification 2 3 4 2 3 2 3 2" xfId="9521"/>
    <cellStyle name="Vérification 2 3 4 2 3 2 3 2 2" xfId="25745"/>
    <cellStyle name="Vérification 2 3 4 2 3 2 3 2 2 2" xfId="37752"/>
    <cellStyle name="Vérification 2 3 4 2 3 2 3 2 3" xfId="15528"/>
    <cellStyle name="Vérification 2 3 4 2 3 2 3 2 4" xfId="31749"/>
    <cellStyle name="Vérification 2 3 4 2 3 2 3 3" xfId="23701"/>
    <cellStyle name="Vérification 2 3 4 2 3 2 3 3 2" xfId="35708"/>
    <cellStyle name="Vérification 2 3 4 2 3 2 3 4" xfId="13225"/>
    <cellStyle name="Vérification 2 3 4 2 3 2 3 5" xfId="29446"/>
    <cellStyle name="Vérification 2 3 4 2 3 2 4" xfId="7854"/>
    <cellStyle name="Vérification 2 3 4 2 3 2 4 2" xfId="24078"/>
    <cellStyle name="Vérification 2 3 4 2 3 2 4 2 2" xfId="36085"/>
    <cellStyle name="Vérification 2 3 4 2 3 2 4 3" xfId="13861"/>
    <cellStyle name="Vérification 2 3 4 2 3 2 4 4" xfId="30082"/>
    <cellStyle name="Vérification 2 3 4 2 3 2 5" xfId="18969"/>
    <cellStyle name="Vérification 2 3 4 2 3 2 5 2" xfId="33083"/>
    <cellStyle name="Vérification 2 3 4 2 3 2 6" xfId="11210"/>
    <cellStyle name="Vérification 2 3 4 2 3 2 7" xfId="27431"/>
    <cellStyle name="Vérification 2 3 4 2 3 3" xfId="4702"/>
    <cellStyle name="Vérification 2 3 4 2 3 3 2" xfId="6954"/>
    <cellStyle name="Vérification 2 3 4 2 3 3 2 2" xfId="9188"/>
    <cellStyle name="Vérification 2 3 4 2 3 3 2 2 2" xfId="25412"/>
    <cellStyle name="Vérification 2 3 4 2 3 3 2 2 2 2" xfId="37419"/>
    <cellStyle name="Vérification 2 3 4 2 3 3 2 2 3" xfId="15195"/>
    <cellStyle name="Vérification 2 3 4 2 3 3 2 2 4" xfId="31416"/>
    <cellStyle name="Vérification 2 3 4 2 3 3 2 3" xfId="23178"/>
    <cellStyle name="Vérification 2 3 4 2 3 3 2 3 2" xfId="35185"/>
    <cellStyle name="Vérification 2 3 4 2 3 3 2 4" xfId="12892"/>
    <cellStyle name="Vérification 2 3 4 2 3 3 2 5" xfId="29113"/>
    <cellStyle name="Vérification 2 3 4 2 3 3 3" xfId="3220"/>
    <cellStyle name="Vérification 2 3 4 2 3 3 3 2" xfId="19448"/>
    <cellStyle name="Vérification 2 3 4 2 3 3 3 2 2" xfId="33562"/>
    <cellStyle name="Vérification 2 3 4 2 3 3 3 3" xfId="11585"/>
    <cellStyle name="Vérification 2 3 4 2 3 3 3 4" xfId="27806"/>
    <cellStyle name="Vérification 2 3 4 2 3 3 4" xfId="20928"/>
    <cellStyle name="Vérification 2 3 4 2 3 3 4 2" xfId="34327"/>
    <cellStyle name="Vérification 2 3 4 2 3 3 5" xfId="10874"/>
    <cellStyle name="Vérification 2 3 4 2 3 3 6" xfId="27097"/>
    <cellStyle name="Vérification 2 3 4 2 3 4" xfId="3289"/>
    <cellStyle name="Vérification 2 3 4 2 3 4 2" xfId="8280"/>
    <cellStyle name="Vérification 2 3 4 2 3 4 2 2" xfId="24504"/>
    <cellStyle name="Vérification 2 3 4 2 3 4 2 2 2" xfId="36511"/>
    <cellStyle name="Vérification 2 3 4 2 3 4 2 3" xfId="14287"/>
    <cellStyle name="Vérification 2 3 4 2 3 4 2 4" xfId="30508"/>
    <cellStyle name="Vérification 2 3 4 2 3 4 3" xfId="9855"/>
    <cellStyle name="Vérification 2 3 4 2 3 4 3 2" xfId="26079"/>
    <cellStyle name="Vérification 2 3 4 2 3 4 3 2 2" xfId="38086"/>
    <cellStyle name="Vérification 2 3 4 2 3 4 3 3" xfId="15862"/>
    <cellStyle name="Vérification 2 3 4 2 3 4 3 4" xfId="32083"/>
    <cellStyle name="Vérification 2 3 4 2 3 4 4" xfId="19517"/>
    <cellStyle name="Vérification 2 3 4 2 3 4 4 2" xfId="33631"/>
    <cellStyle name="Vérification 2 3 4 2 3 4 5" xfId="11835"/>
    <cellStyle name="Vérification 2 3 4 2 3 4 6" xfId="28056"/>
    <cellStyle name="Vérification 2 3 4 2 3 5" xfId="3782"/>
    <cellStyle name="Vérification 2 3 4 2 3 5 2" xfId="8629"/>
    <cellStyle name="Vérification 2 3 4 2 3 5 2 2" xfId="24853"/>
    <cellStyle name="Vérification 2 3 4 2 3 5 2 2 2" xfId="36860"/>
    <cellStyle name="Vérification 2 3 4 2 3 5 2 3" xfId="14636"/>
    <cellStyle name="Vérification 2 3 4 2 3 5 2 4" xfId="30857"/>
    <cellStyle name="Vérification 2 3 4 2 3 5 3" xfId="20010"/>
    <cellStyle name="Vérification 2 3 4 2 3 5 3 2" xfId="34124"/>
    <cellStyle name="Vérification 2 3 4 2 3 5 4" xfId="12184"/>
    <cellStyle name="Vérification 2 3 4 2 3 5 5" xfId="28405"/>
    <cellStyle name="Vérification 2 3 4 2 3 6" xfId="3623"/>
    <cellStyle name="Vérification 2 3 4 2 3 6 2" xfId="19851"/>
    <cellStyle name="Vérification 2 3 4 2 3 6 2 2" xfId="33965"/>
    <cellStyle name="Vérification 2 3 4 2 3 6 3" xfId="11498"/>
    <cellStyle name="Vérification 2 3 4 2 3 6 4" xfId="27719"/>
    <cellStyle name="Vérification 2 3 4 2 3 7" xfId="17244"/>
    <cellStyle name="Vérification 2 3 4 2 3 7 2" xfId="32750"/>
    <cellStyle name="Vérification 2 3 4 2 3 8" xfId="10522"/>
    <cellStyle name="Vérification 2 3 4 2 3 9" xfId="26747"/>
    <cellStyle name="Vérification 2 3 4 2 4" xfId="2652"/>
    <cellStyle name="Vérification 2 3 4 2 4 2" xfId="6340"/>
    <cellStyle name="Vérification 2 3 4 2 4 2 2" xfId="8721"/>
    <cellStyle name="Vérification 2 3 4 2 4 2 2 2" xfId="24945"/>
    <cellStyle name="Vérification 2 3 4 2 4 2 2 2 2" xfId="36952"/>
    <cellStyle name="Vérification 2 3 4 2 4 2 2 3" xfId="14728"/>
    <cellStyle name="Vérification 2 3 4 2 4 2 2 4" xfId="30949"/>
    <cellStyle name="Vérification 2 3 4 2 4 2 3" xfId="10099"/>
    <cellStyle name="Vérification 2 3 4 2 4 2 3 2" xfId="26323"/>
    <cellStyle name="Vérification 2 3 4 2 4 2 3 2 2" xfId="38330"/>
    <cellStyle name="Vérification 2 3 4 2 4 2 3 3" xfId="16106"/>
    <cellStyle name="Vérification 2 3 4 2 4 2 3 4" xfId="32327"/>
    <cellStyle name="Vérification 2 3 4 2 4 2 4" xfId="22564"/>
    <cellStyle name="Vérification 2 3 4 2 4 2 4 2" xfId="34571"/>
    <cellStyle name="Vérification 2 3 4 2 4 2 5" xfId="12425"/>
    <cellStyle name="Vérification 2 3 4 2 4 2 6" xfId="28646"/>
    <cellStyle name="Vérification 2 3 4 2 4 3" xfId="7388"/>
    <cellStyle name="Vérification 2 3 4 2 4 3 2" xfId="9432"/>
    <cellStyle name="Vérification 2 3 4 2 4 3 2 2" xfId="25656"/>
    <cellStyle name="Vérification 2 3 4 2 4 3 2 2 2" xfId="37663"/>
    <cellStyle name="Vérification 2 3 4 2 4 3 2 3" xfId="15439"/>
    <cellStyle name="Vérification 2 3 4 2 4 3 2 4" xfId="31660"/>
    <cellStyle name="Vérification 2 3 4 2 4 3 3" xfId="23612"/>
    <cellStyle name="Vérification 2 3 4 2 4 3 3 2" xfId="35619"/>
    <cellStyle name="Vérification 2 3 4 2 4 3 4" xfId="13136"/>
    <cellStyle name="Vérification 2 3 4 2 4 3 5" xfId="29357"/>
    <cellStyle name="Vérification 2 3 4 2 4 4" xfId="7765"/>
    <cellStyle name="Vérification 2 3 4 2 4 4 2" xfId="23989"/>
    <cellStyle name="Vérification 2 3 4 2 4 4 2 2" xfId="35996"/>
    <cellStyle name="Vérification 2 3 4 2 4 4 3" xfId="13772"/>
    <cellStyle name="Vérification 2 3 4 2 4 4 4" xfId="29993"/>
    <cellStyle name="Vérification 2 3 4 2 4 5" xfId="18880"/>
    <cellStyle name="Vérification 2 3 4 2 4 5 2" xfId="32994"/>
    <cellStyle name="Vérification 2 3 4 2 4 6" xfId="11121"/>
    <cellStyle name="Vérification 2 3 4 2 4 7" xfId="27342"/>
    <cellStyle name="Vérification 2 3 4 2 5" xfId="4127"/>
    <cellStyle name="Vérification 2 3 4 2 5 2" xfId="6791"/>
    <cellStyle name="Vérification 2 3 4 2 5 2 2" xfId="9099"/>
    <cellStyle name="Vérification 2 3 4 2 5 2 2 2" xfId="25323"/>
    <cellStyle name="Vérification 2 3 4 2 5 2 2 2 2" xfId="37330"/>
    <cellStyle name="Vérification 2 3 4 2 5 2 2 3" xfId="15106"/>
    <cellStyle name="Vérification 2 3 4 2 5 2 2 4" xfId="31327"/>
    <cellStyle name="Vérification 2 3 4 2 5 2 3" xfId="23015"/>
    <cellStyle name="Vérification 2 3 4 2 5 2 3 2" xfId="35022"/>
    <cellStyle name="Vérification 2 3 4 2 5 2 4" xfId="12803"/>
    <cellStyle name="Vérification 2 3 4 2 5 2 5" xfId="29024"/>
    <cellStyle name="Vérification 2 3 4 2 5 3" xfId="6878"/>
    <cellStyle name="Vérification 2 3 4 2 5 3 2" xfId="23102"/>
    <cellStyle name="Vérification 2 3 4 2 5 3 2 2" xfId="35109"/>
    <cellStyle name="Vérification 2 3 4 2 5 3 3" xfId="13451"/>
    <cellStyle name="Vérification 2 3 4 2 5 3 4" xfId="29672"/>
    <cellStyle name="Vérification 2 3 4 2 5 4" xfId="20353"/>
    <cellStyle name="Vérification 2 3 4 2 5 4 2" xfId="34238"/>
    <cellStyle name="Vérification 2 3 4 2 5 5" xfId="10778"/>
    <cellStyle name="Vérification 2 3 4 2 5 6" xfId="27001"/>
    <cellStyle name="Vérification 2 3 4 2 6" xfId="3066"/>
    <cellStyle name="Vérification 2 3 4 2 6 2" xfId="8132"/>
    <cellStyle name="Vérification 2 3 4 2 6 2 2" xfId="24356"/>
    <cellStyle name="Vérification 2 3 4 2 6 2 2 2" xfId="36363"/>
    <cellStyle name="Vérification 2 3 4 2 6 2 3" xfId="14139"/>
    <cellStyle name="Vérification 2 3 4 2 6 2 4" xfId="30360"/>
    <cellStyle name="Vérification 2 3 4 2 6 3" xfId="9766"/>
    <cellStyle name="Vérification 2 3 4 2 6 3 2" xfId="25990"/>
    <cellStyle name="Vérification 2 3 4 2 6 3 2 2" xfId="37997"/>
    <cellStyle name="Vérification 2 3 4 2 6 3 3" xfId="15773"/>
    <cellStyle name="Vérification 2 3 4 2 6 3 4" xfId="31994"/>
    <cellStyle name="Vérification 2 3 4 2 6 4" xfId="19294"/>
    <cellStyle name="Vérification 2 3 4 2 6 4 2" xfId="33408"/>
    <cellStyle name="Vérification 2 3 4 2 6 5" xfId="11687"/>
    <cellStyle name="Vérification 2 3 4 2 6 6" xfId="27908"/>
    <cellStyle name="Vérification 2 3 4 2 7" xfId="3631"/>
    <cellStyle name="Vérification 2 3 4 2 7 2" xfId="8549"/>
    <cellStyle name="Vérification 2 3 4 2 7 2 2" xfId="24773"/>
    <cellStyle name="Vérification 2 3 4 2 7 2 2 2" xfId="36780"/>
    <cellStyle name="Vérification 2 3 4 2 7 2 3" xfId="14556"/>
    <cellStyle name="Vérification 2 3 4 2 7 2 4" xfId="30777"/>
    <cellStyle name="Vérification 2 3 4 2 7 3" xfId="19859"/>
    <cellStyle name="Vérification 2 3 4 2 7 3 2" xfId="33973"/>
    <cellStyle name="Vérification 2 3 4 2 7 4" xfId="12104"/>
    <cellStyle name="Vérification 2 3 4 2 7 5" xfId="28325"/>
    <cellStyle name="Vérification 2 3 4 2 8" xfId="3742"/>
    <cellStyle name="Vérification 2 3 4 2 8 2" xfId="19970"/>
    <cellStyle name="Vérification 2 3 4 2 8 2 2" xfId="34084"/>
    <cellStyle name="Vérification 2 3 4 2 8 3" xfId="11451"/>
    <cellStyle name="Vérification 2 3 4 2 8 4" xfId="27672"/>
    <cellStyle name="Vérification 2 3 4 2 9" xfId="16669"/>
    <cellStyle name="Vérification 2 3 4 2 9 2" xfId="32661"/>
    <cellStyle name="Vérification 2 3 4 3" xfId="507"/>
    <cellStyle name="Vérification 2 3 4 3 10" xfId="10454"/>
    <cellStyle name="Vérification 2 3 4 3 11" xfId="26679"/>
    <cellStyle name="Vérification 2 3 4 3 2" xfId="1373"/>
    <cellStyle name="Vérification 2 3 4 3 2 2" xfId="2851"/>
    <cellStyle name="Vérification 2 3 4 3 2 2 2" xfId="6539"/>
    <cellStyle name="Vérification 2 3 4 3 2 2 2 2" xfId="8920"/>
    <cellStyle name="Vérification 2 3 4 3 2 2 2 2 2" xfId="25144"/>
    <cellStyle name="Vérification 2 3 4 3 2 2 2 2 2 2" xfId="37151"/>
    <cellStyle name="Vérification 2 3 4 3 2 2 2 2 3" xfId="14927"/>
    <cellStyle name="Vérification 2 3 4 3 2 2 2 2 4" xfId="31148"/>
    <cellStyle name="Vérification 2 3 4 3 2 2 2 3" xfId="10298"/>
    <cellStyle name="Vérification 2 3 4 3 2 2 2 3 2" xfId="26522"/>
    <cellStyle name="Vérification 2 3 4 3 2 2 2 3 2 2" xfId="38529"/>
    <cellStyle name="Vérification 2 3 4 3 2 2 2 3 3" xfId="16305"/>
    <cellStyle name="Vérification 2 3 4 3 2 2 2 3 4" xfId="32526"/>
    <cellStyle name="Vérification 2 3 4 3 2 2 2 4" xfId="22763"/>
    <cellStyle name="Vérification 2 3 4 3 2 2 2 4 2" xfId="34770"/>
    <cellStyle name="Vérification 2 3 4 3 2 2 2 5" xfId="12624"/>
    <cellStyle name="Vérification 2 3 4 3 2 2 2 6" xfId="28845"/>
    <cellStyle name="Vérification 2 3 4 3 2 2 3" xfId="7587"/>
    <cellStyle name="Vérification 2 3 4 3 2 2 3 2" xfId="9631"/>
    <cellStyle name="Vérification 2 3 4 3 2 2 3 2 2" xfId="25855"/>
    <cellStyle name="Vérification 2 3 4 3 2 2 3 2 2 2" xfId="37862"/>
    <cellStyle name="Vérification 2 3 4 3 2 2 3 2 3" xfId="15638"/>
    <cellStyle name="Vérification 2 3 4 3 2 2 3 2 4" xfId="31859"/>
    <cellStyle name="Vérification 2 3 4 3 2 2 3 3" xfId="23811"/>
    <cellStyle name="Vérification 2 3 4 3 2 2 3 3 2" xfId="35818"/>
    <cellStyle name="Vérification 2 3 4 3 2 2 3 4" xfId="13335"/>
    <cellStyle name="Vérification 2 3 4 3 2 2 3 5" xfId="29556"/>
    <cellStyle name="Vérification 2 3 4 3 2 2 4" xfId="7964"/>
    <cellStyle name="Vérification 2 3 4 3 2 2 4 2" xfId="24188"/>
    <cellStyle name="Vérification 2 3 4 3 2 2 4 2 2" xfId="36195"/>
    <cellStyle name="Vérification 2 3 4 3 2 2 4 3" xfId="13971"/>
    <cellStyle name="Vérification 2 3 4 3 2 2 4 4" xfId="30192"/>
    <cellStyle name="Vérification 2 3 4 3 2 2 5" xfId="19079"/>
    <cellStyle name="Vérification 2 3 4 3 2 2 5 2" xfId="33193"/>
    <cellStyle name="Vérification 2 3 4 3 2 2 6" xfId="11320"/>
    <cellStyle name="Vérification 2 3 4 3 2 2 7" xfId="27541"/>
    <cellStyle name="Vérification 2 3 4 3 2 3" xfId="5070"/>
    <cellStyle name="Vérification 2 3 4 3 2 3 2" xfId="7097"/>
    <cellStyle name="Vérification 2 3 4 3 2 3 2 2" xfId="9298"/>
    <cellStyle name="Vérification 2 3 4 3 2 3 2 2 2" xfId="25522"/>
    <cellStyle name="Vérification 2 3 4 3 2 3 2 2 2 2" xfId="37529"/>
    <cellStyle name="Vérification 2 3 4 3 2 3 2 2 3" xfId="15305"/>
    <cellStyle name="Vérification 2 3 4 3 2 3 2 2 4" xfId="31526"/>
    <cellStyle name="Vérification 2 3 4 3 2 3 2 3" xfId="23321"/>
    <cellStyle name="Vérification 2 3 4 3 2 3 2 3 2" xfId="35328"/>
    <cellStyle name="Vérification 2 3 4 3 2 3 2 4" xfId="13002"/>
    <cellStyle name="Vérification 2 3 4 3 2 3 2 5" xfId="29223"/>
    <cellStyle name="Vérification 2 3 4 3 2 3 3" xfId="7256"/>
    <cellStyle name="Vérification 2 3 4 3 2 3 3 2" xfId="23480"/>
    <cellStyle name="Vérification 2 3 4 3 2 3 3 2 2" xfId="35487"/>
    <cellStyle name="Vérification 2 3 4 3 2 3 3 3" xfId="13640"/>
    <cellStyle name="Vérification 2 3 4 3 2 3 3 4" xfId="29861"/>
    <cellStyle name="Vérification 2 3 4 3 2 3 4" xfId="21296"/>
    <cellStyle name="Vérification 2 3 4 3 2 3 4 2" xfId="34437"/>
    <cellStyle name="Vérification 2 3 4 3 2 3 5" xfId="10984"/>
    <cellStyle name="Vérification 2 3 4 3 2 3 6" xfId="27207"/>
    <cellStyle name="Vérification 2 3 4 3 2 4" xfId="3461"/>
    <cellStyle name="Vérification 2 3 4 3 2 4 2" xfId="8428"/>
    <cellStyle name="Vérification 2 3 4 3 2 4 2 2" xfId="24652"/>
    <cellStyle name="Vérification 2 3 4 3 2 4 2 2 2" xfId="36659"/>
    <cellStyle name="Vérification 2 3 4 3 2 4 2 3" xfId="14435"/>
    <cellStyle name="Vérification 2 3 4 3 2 4 2 4" xfId="30656"/>
    <cellStyle name="Vérification 2 3 4 3 2 4 3" xfId="9965"/>
    <cellStyle name="Vérification 2 3 4 3 2 4 3 2" xfId="26189"/>
    <cellStyle name="Vérification 2 3 4 3 2 4 3 2 2" xfId="38196"/>
    <cellStyle name="Vérification 2 3 4 3 2 4 3 3" xfId="15972"/>
    <cellStyle name="Vérification 2 3 4 3 2 4 3 4" xfId="32193"/>
    <cellStyle name="Vérification 2 3 4 3 2 4 4" xfId="19689"/>
    <cellStyle name="Vérification 2 3 4 3 2 4 4 2" xfId="33803"/>
    <cellStyle name="Vérification 2 3 4 3 2 4 5" xfId="11983"/>
    <cellStyle name="Vérification 2 3 4 3 2 4 6" xfId="28204"/>
    <cellStyle name="Vérification 2 3 4 3 2 5" xfId="3635"/>
    <cellStyle name="Vérification 2 3 4 3 2 5 2" xfId="8551"/>
    <cellStyle name="Vérification 2 3 4 3 2 5 2 2" xfId="24775"/>
    <cellStyle name="Vérification 2 3 4 3 2 5 2 2 2" xfId="36782"/>
    <cellStyle name="Vérification 2 3 4 3 2 5 2 3" xfId="14558"/>
    <cellStyle name="Vérification 2 3 4 3 2 5 2 4" xfId="30779"/>
    <cellStyle name="Vérification 2 3 4 3 2 5 3" xfId="19863"/>
    <cellStyle name="Vérification 2 3 4 3 2 5 3 2" xfId="33977"/>
    <cellStyle name="Vérification 2 3 4 3 2 5 4" xfId="12106"/>
    <cellStyle name="Vérification 2 3 4 3 2 5 5" xfId="28327"/>
    <cellStyle name="Vérification 2 3 4 3 2 6" xfId="3737"/>
    <cellStyle name="Vérification 2 3 4 3 2 6 2" xfId="19965"/>
    <cellStyle name="Vérification 2 3 4 3 2 6 2 2" xfId="34079"/>
    <cellStyle name="Vérification 2 3 4 3 2 6 3" xfId="12382"/>
    <cellStyle name="Vérification 2 3 4 3 2 6 4" xfId="28603"/>
    <cellStyle name="Vérification 2 3 4 3 2 7" xfId="17612"/>
    <cellStyle name="Vérification 2 3 4 3 2 7 2" xfId="32860"/>
    <cellStyle name="Vérification 2 3 4 3 2 8" xfId="10632"/>
    <cellStyle name="Vérification 2 3 4 3 2 9" xfId="26857"/>
    <cellStyle name="Vérification 2 3 4 3 3" xfId="1122"/>
    <cellStyle name="Vérification 2 3 4 3 3 2" xfId="2762"/>
    <cellStyle name="Vérification 2 3 4 3 3 2 2" xfId="6450"/>
    <cellStyle name="Vérification 2 3 4 3 3 2 2 2" xfId="8831"/>
    <cellStyle name="Vérification 2 3 4 3 3 2 2 2 2" xfId="25055"/>
    <cellStyle name="Vérification 2 3 4 3 3 2 2 2 2 2" xfId="37062"/>
    <cellStyle name="Vérification 2 3 4 3 3 2 2 2 3" xfId="14838"/>
    <cellStyle name="Vérification 2 3 4 3 3 2 2 2 4" xfId="31059"/>
    <cellStyle name="Vérification 2 3 4 3 3 2 2 3" xfId="10209"/>
    <cellStyle name="Vérification 2 3 4 3 3 2 2 3 2" xfId="26433"/>
    <cellStyle name="Vérification 2 3 4 3 3 2 2 3 2 2" xfId="38440"/>
    <cellStyle name="Vérification 2 3 4 3 3 2 2 3 3" xfId="16216"/>
    <cellStyle name="Vérification 2 3 4 3 3 2 2 3 4" xfId="32437"/>
    <cellStyle name="Vérification 2 3 4 3 3 2 2 4" xfId="22674"/>
    <cellStyle name="Vérification 2 3 4 3 3 2 2 4 2" xfId="34681"/>
    <cellStyle name="Vérification 2 3 4 3 3 2 2 5" xfId="12535"/>
    <cellStyle name="Vérification 2 3 4 3 3 2 2 6" xfId="28756"/>
    <cellStyle name="Vérification 2 3 4 3 3 2 3" xfId="7498"/>
    <cellStyle name="Vérification 2 3 4 3 3 2 3 2" xfId="9542"/>
    <cellStyle name="Vérification 2 3 4 3 3 2 3 2 2" xfId="25766"/>
    <cellStyle name="Vérification 2 3 4 3 3 2 3 2 2 2" xfId="37773"/>
    <cellStyle name="Vérification 2 3 4 3 3 2 3 2 3" xfId="15549"/>
    <cellStyle name="Vérification 2 3 4 3 3 2 3 2 4" xfId="31770"/>
    <cellStyle name="Vérification 2 3 4 3 3 2 3 3" xfId="23722"/>
    <cellStyle name="Vérification 2 3 4 3 3 2 3 3 2" xfId="35729"/>
    <cellStyle name="Vérification 2 3 4 3 3 2 3 4" xfId="13246"/>
    <cellStyle name="Vérification 2 3 4 3 3 2 3 5" xfId="29467"/>
    <cellStyle name="Vérification 2 3 4 3 3 2 4" xfId="7875"/>
    <cellStyle name="Vérification 2 3 4 3 3 2 4 2" xfId="24099"/>
    <cellStyle name="Vérification 2 3 4 3 3 2 4 2 2" xfId="36106"/>
    <cellStyle name="Vérification 2 3 4 3 3 2 4 3" xfId="13882"/>
    <cellStyle name="Vérification 2 3 4 3 3 2 4 4" xfId="30103"/>
    <cellStyle name="Vérification 2 3 4 3 3 2 5" xfId="18990"/>
    <cellStyle name="Vérification 2 3 4 3 3 2 5 2" xfId="33104"/>
    <cellStyle name="Vérification 2 3 4 3 3 2 6" xfId="11231"/>
    <cellStyle name="Vérification 2 3 4 3 3 2 7" xfId="27452"/>
    <cellStyle name="Vérification 2 3 4 3 3 3" xfId="4819"/>
    <cellStyle name="Vérification 2 3 4 3 3 3 2" xfId="6989"/>
    <cellStyle name="Vérification 2 3 4 3 3 3 2 2" xfId="9209"/>
    <cellStyle name="Vérification 2 3 4 3 3 3 2 2 2" xfId="25433"/>
    <cellStyle name="Vérification 2 3 4 3 3 3 2 2 2 2" xfId="37440"/>
    <cellStyle name="Vérification 2 3 4 3 3 3 2 2 3" xfId="15216"/>
    <cellStyle name="Vérification 2 3 4 3 3 3 2 2 4" xfId="31437"/>
    <cellStyle name="Vérification 2 3 4 3 3 3 2 3" xfId="23213"/>
    <cellStyle name="Vérification 2 3 4 3 3 3 2 3 2" xfId="35220"/>
    <cellStyle name="Vérification 2 3 4 3 3 3 2 4" xfId="12913"/>
    <cellStyle name="Vérification 2 3 4 3 3 3 2 5" xfId="29134"/>
    <cellStyle name="Vérification 2 3 4 3 3 3 3" xfId="3181"/>
    <cellStyle name="Vérification 2 3 4 3 3 3 3 2" xfId="19409"/>
    <cellStyle name="Vérification 2 3 4 3 3 3 3 2 2" xfId="33523"/>
    <cellStyle name="Vérification 2 3 4 3 3 3 3 3" xfId="13486"/>
    <cellStyle name="Vérification 2 3 4 3 3 3 3 4" xfId="29707"/>
    <cellStyle name="Vérification 2 3 4 3 3 3 4" xfId="21045"/>
    <cellStyle name="Vérification 2 3 4 3 3 3 4 2" xfId="34348"/>
    <cellStyle name="Vérification 2 3 4 3 3 3 5" xfId="10895"/>
    <cellStyle name="Vérification 2 3 4 3 3 3 6" xfId="27118"/>
    <cellStyle name="Vérification 2 3 4 3 3 4" xfId="3333"/>
    <cellStyle name="Vérification 2 3 4 3 3 4 2" xfId="8316"/>
    <cellStyle name="Vérification 2 3 4 3 3 4 2 2" xfId="24540"/>
    <cellStyle name="Vérification 2 3 4 3 3 4 2 2 2" xfId="36547"/>
    <cellStyle name="Vérification 2 3 4 3 3 4 2 3" xfId="14323"/>
    <cellStyle name="Vérification 2 3 4 3 3 4 2 4" xfId="30544"/>
    <cellStyle name="Vérification 2 3 4 3 3 4 3" xfId="9876"/>
    <cellStyle name="Vérification 2 3 4 3 3 4 3 2" xfId="26100"/>
    <cellStyle name="Vérification 2 3 4 3 3 4 3 2 2" xfId="38107"/>
    <cellStyle name="Vérification 2 3 4 3 3 4 3 3" xfId="15883"/>
    <cellStyle name="Vérification 2 3 4 3 3 4 3 4" xfId="32104"/>
    <cellStyle name="Vérification 2 3 4 3 3 4 4" xfId="19561"/>
    <cellStyle name="Vérification 2 3 4 3 3 4 4 2" xfId="33675"/>
    <cellStyle name="Vérification 2 3 4 3 3 4 5" xfId="11871"/>
    <cellStyle name="Vérification 2 3 4 3 3 4 6" xfId="28092"/>
    <cellStyle name="Vérification 2 3 4 3 3 5" xfId="3721"/>
    <cellStyle name="Vérification 2 3 4 3 3 5 2" xfId="8599"/>
    <cellStyle name="Vérification 2 3 4 3 3 5 2 2" xfId="24823"/>
    <cellStyle name="Vérification 2 3 4 3 3 5 2 2 2" xfId="36830"/>
    <cellStyle name="Vérification 2 3 4 3 3 5 2 3" xfId="14606"/>
    <cellStyle name="Vérification 2 3 4 3 3 5 2 4" xfId="30827"/>
    <cellStyle name="Vérification 2 3 4 3 3 5 3" xfId="19949"/>
    <cellStyle name="Vérification 2 3 4 3 3 5 3 2" xfId="34063"/>
    <cellStyle name="Vérification 2 3 4 3 3 5 4" xfId="12154"/>
    <cellStyle name="Vérification 2 3 4 3 3 5 5" xfId="28375"/>
    <cellStyle name="Vérification 2 3 4 3 3 6" xfId="3528"/>
    <cellStyle name="Vérification 2 3 4 3 3 6 2" xfId="19756"/>
    <cellStyle name="Vérification 2 3 4 3 3 6 2 2" xfId="33870"/>
    <cellStyle name="Vérification 2 3 4 3 3 6 3" xfId="12257"/>
    <cellStyle name="Vérification 2 3 4 3 3 6 4" xfId="28478"/>
    <cellStyle name="Vérification 2 3 4 3 3 7" xfId="17361"/>
    <cellStyle name="Vérification 2 3 4 3 3 7 2" xfId="32771"/>
    <cellStyle name="Vérification 2 3 4 3 3 8" xfId="10543"/>
    <cellStyle name="Vérification 2 3 4 3 3 9" xfId="26768"/>
    <cellStyle name="Vérification 2 3 4 3 4" xfId="2673"/>
    <cellStyle name="Vérification 2 3 4 3 4 2" xfId="6361"/>
    <cellStyle name="Vérification 2 3 4 3 4 2 2" xfId="8742"/>
    <cellStyle name="Vérification 2 3 4 3 4 2 2 2" xfId="24966"/>
    <cellStyle name="Vérification 2 3 4 3 4 2 2 2 2" xfId="36973"/>
    <cellStyle name="Vérification 2 3 4 3 4 2 2 3" xfId="14749"/>
    <cellStyle name="Vérification 2 3 4 3 4 2 2 4" xfId="30970"/>
    <cellStyle name="Vérification 2 3 4 3 4 2 3" xfId="10120"/>
    <cellStyle name="Vérification 2 3 4 3 4 2 3 2" xfId="26344"/>
    <cellStyle name="Vérification 2 3 4 3 4 2 3 2 2" xfId="38351"/>
    <cellStyle name="Vérification 2 3 4 3 4 2 3 3" xfId="16127"/>
    <cellStyle name="Vérification 2 3 4 3 4 2 3 4" xfId="32348"/>
    <cellStyle name="Vérification 2 3 4 3 4 2 4" xfId="22585"/>
    <cellStyle name="Vérification 2 3 4 3 4 2 4 2" xfId="34592"/>
    <cellStyle name="Vérification 2 3 4 3 4 2 5" xfId="12446"/>
    <cellStyle name="Vérification 2 3 4 3 4 2 6" xfId="28667"/>
    <cellStyle name="Vérification 2 3 4 3 4 3" xfId="7409"/>
    <cellStyle name="Vérification 2 3 4 3 4 3 2" xfId="9453"/>
    <cellStyle name="Vérification 2 3 4 3 4 3 2 2" xfId="25677"/>
    <cellStyle name="Vérification 2 3 4 3 4 3 2 2 2" xfId="37684"/>
    <cellStyle name="Vérification 2 3 4 3 4 3 2 3" xfId="15460"/>
    <cellStyle name="Vérification 2 3 4 3 4 3 2 4" xfId="31681"/>
    <cellStyle name="Vérification 2 3 4 3 4 3 3" xfId="23633"/>
    <cellStyle name="Vérification 2 3 4 3 4 3 3 2" xfId="35640"/>
    <cellStyle name="Vérification 2 3 4 3 4 3 4" xfId="13157"/>
    <cellStyle name="Vérification 2 3 4 3 4 3 5" xfId="29378"/>
    <cellStyle name="Vérification 2 3 4 3 4 4" xfId="7786"/>
    <cellStyle name="Vérification 2 3 4 3 4 4 2" xfId="24010"/>
    <cellStyle name="Vérification 2 3 4 3 4 4 2 2" xfId="36017"/>
    <cellStyle name="Vérification 2 3 4 3 4 4 3" xfId="13793"/>
    <cellStyle name="Vérification 2 3 4 3 4 4 4" xfId="30014"/>
    <cellStyle name="Vérification 2 3 4 3 4 5" xfId="18901"/>
    <cellStyle name="Vérification 2 3 4 3 4 5 2" xfId="33015"/>
    <cellStyle name="Vérification 2 3 4 3 4 6" xfId="11142"/>
    <cellStyle name="Vérification 2 3 4 3 4 7" xfId="27363"/>
    <cellStyle name="Vérification 2 3 4 3 5" xfId="4244"/>
    <cellStyle name="Vérification 2 3 4 3 5 2" xfId="6824"/>
    <cellStyle name="Vérification 2 3 4 3 5 2 2" xfId="9120"/>
    <cellStyle name="Vérification 2 3 4 3 5 2 2 2" xfId="25344"/>
    <cellStyle name="Vérification 2 3 4 3 5 2 2 2 2" xfId="37351"/>
    <cellStyle name="Vérification 2 3 4 3 5 2 2 3" xfId="15127"/>
    <cellStyle name="Vérification 2 3 4 3 5 2 2 4" xfId="31348"/>
    <cellStyle name="Vérification 2 3 4 3 5 2 3" xfId="23048"/>
    <cellStyle name="Vérification 2 3 4 3 5 2 3 2" xfId="35055"/>
    <cellStyle name="Vérification 2 3 4 3 5 2 4" xfId="12824"/>
    <cellStyle name="Vérification 2 3 4 3 5 2 5" xfId="29045"/>
    <cellStyle name="Vérification 2 3 4 3 5 3" xfId="3386"/>
    <cellStyle name="Vérification 2 3 4 3 5 3 2" xfId="19614"/>
    <cellStyle name="Vérification 2 3 4 3 5 3 2 2" xfId="33728"/>
    <cellStyle name="Vérification 2 3 4 3 5 3 3" xfId="11465"/>
    <cellStyle name="Vérification 2 3 4 3 5 3 4" xfId="27686"/>
    <cellStyle name="Vérification 2 3 4 3 5 4" xfId="20470"/>
    <cellStyle name="Vérification 2 3 4 3 5 4 2" xfId="34259"/>
    <cellStyle name="Vérification 2 3 4 3 5 5" xfId="10799"/>
    <cellStyle name="Vérification 2 3 4 3 5 6" xfId="27022"/>
    <cellStyle name="Vérification 2 3 4 3 6" xfId="3112"/>
    <cellStyle name="Vérification 2 3 4 3 6 2" xfId="8164"/>
    <cellStyle name="Vérification 2 3 4 3 6 2 2" xfId="24388"/>
    <cellStyle name="Vérification 2 3 4 3 6 2 2 2" xfId="36395"/>
    <cellStyle name="Vérification 2 3 4 3 6 2 3" xfId="14171"/>
    <cellStyle name="Vérification 2 3 4 3 6 2 4" xfId="30392"/>
    <cellStyle name="Vérification 2 3 4 3 6 3" xfId="9787"/>
    <cellStyle name="Vérification 2 3 4 3 6 3 2" xfId="26011"/>
    <cellStyle name="Vérification 2 3 4 3 6 3 2 2" xfId="38018"/>
    <cellStyle name="Vérification 2 3 4 3 6 3 3" xfId="15794"/>
    <cellStyle name="Vérification 2 3 4 3 6 3 4" xfId="32015"/>
    <cellStyle name="Vérification 2 3 4 3 6 4" xfId="19340"/>
    <cellStyle name="Vérification 2 3 4 3 6 4 2" xfId="33454"/>
    <cellStyle name="Vérification 2 3 4 3 6 5" xfId="11719"/>
    <cellStyle name="Vérification 2 3 4 3 6 6" xfId="27940"/>
    <cellStyle name="Vérification 2 3 4 3 7" xfId="3197"/>
    <cellStyle name="Vérification 2 3 4 3 7 2" xfId="8218"/>
    <cellStyle name="Vérification 2 3 4 3 7 2 2" xfId="24442"/>
    <cellStyle name="Vérification 2 3 4 3 7 2 2 2" xfId="36449"/>
    <cellStyle name="Vérification 2 3 4 3 7 2 3" xfId="14225"/>
    <cellStyle name="Vérification 2 3 4 3 7 2 4" xfId="30446"/>
    <cellStyle name="Vérification 2 3 4 3 7 3" xfId="19425"/>
    <cellStyle name="Vérification 2 3 4 3 7 3 2" xfId="33539"/>
    <cellStyle name="Vérification 2 3 4 3 7 4" xfId="11773"/>
    <cellStyle name="Vérification 2 3 4 3 7 5" xfId="27994"/>
    <cellStyle name="Vérification 2 3 4 3 8" xfId="6839"/>
    <cellStyle name="Vérification 2 3 4 3 8 2" xfId="23063"/>
    <cellStyle name="Vérification 2 3 4 3 8 2 2" xfId="35070"/>
    <cellStyle name="Vérification 2 3 4 3 8 3" xfId="13490"/>
    <cellStyle name="Vérification 2 3 4 3 8 4" xfId="29711"/>
    <cellStyle name="Vérification 2 3 4 3 9" xfId="16786"/>
    <cellStyle name="Vérification 2 3 4 3 9 2" xfId="32682"/>
    <cellStyle name="Vérification 2 3 4 4" xfId="614"/>
    <cellStyle name="Vérification 2 3 4 4 10" xfId="10477"/>
    <cellStyle name="Vérification 2 3 4 4 11" xfId="26702"/>
    <cellStyle name="Vérification 2 3 4 4 2" xfId="1396"/>
    <cellStyle name="Vérification 2 3 4 4 2 2" xfId="2874"/>
    <cellStyle name="Vérification 2 3 4 4 2 2 2" xfId="6562"/>
    <cellStyle name="Vérification 2 3 4 4 2 2 2 2" xfId="8943"/>
    <cellStyle name="Vérification 2 3 4 4 2 2 2 2 2" xfId="25167"/>
    <cellStyle name="Vérification 2 3 4 4 2 2 2 2 2 2" xfId="37174"/>
    <cellStyle name="Vérification 2 3 4 4 2 2 2 2 3" xfId="14950"/>
    <cellStyle name="Vérification 2 3 4 4 2 2 2 2 4" xfId="31171"/>
    <cellStyle name="Vérification 2 3 4 4 2 2 2 3" xfId="10321"/>
    <cellStyle name="Vérification 2 3 4 4 2 2 2 3 2" xfId="26545"/>
    <cellStyle name="Vérification 2 3 4 4 2 2 2 3 2 2" xfId="38552"/>
    <cellStyle name="Vérification 2 3 4 4 2 2 2 3 3" xfId="16328"/>
    <cellStyle name="Vérification 2 3 4 4 2 2 2 3 4" xfId="32549"/>
    <cellStyle name="Vérification 2 3 4 4 2 2 2 4" xfId="22786"/>
    <cellStyle name="Vérification 2 3 4 4 2 2 2 4 2" xfId="34793"/>
    <cellStyle name="Vérification 2 3 4 4 2 2 2 5" xfId="12647"/>
    <cellStyle name="Vérification 2 3 4 4 2 2 2 6" xfId="28868"/>
    <cellStyle name="Vérification 2 3 4 4 2 2 3" xfId="7610"/>
    <cellStyle name="Vérification 2 3 4 4 2 2 3 2" xfId="9654"/>
    <cellStyle name="Vérification 2 3 4 4 2 2 3 2 2" xfId="25878"/>
    <cellStyle name="Vérification 2 3 4 4 2 2 3 2 2 2" xfId="37885"/>
    <cellStyle name="Vérification 2 3 4 4 2 2 3 2 3" xfId="15661"/>
    <cellStyle name="Vérification 2 3 4 4 2 2 3 2 4" xfId="31882"/>
    <cellStyle name="Vérification 2 3 4 4 2 2 3 3" xfId="23834"/>
    <cellStyle name="Vérification 2 3 4 4 2 2 3 3 2" xfId="35841"/>
    <cellStyle name="Vérification 2 3 4 4 2 2 3 4" xfId="13358"/>
    <cellStyle name="Vérification 2 3 4 4 2 2 3 5" xfId="29579"/>
    <cellStyle name="Vérification 2 3 4 4 2 2 4" xfId="7987"/>
    <cellStyle name="Vérification 2 3 4 4 2 2 4 2" xfId="24211"/>
    <cellStyle name="Vérification 2 3 4 4 2 2 4 2 2" xfId="36218"/>
    <cellStyle name="Vérification 2 3 4 4 2 2 4 3" xfId="13994"/>
    <cellStyle name="Vérification 2 3 4 4 2 2 4 4" xfId="30215"/>
    <cellStyle name="Vérification 2 3 4 4 2 2 5" xfId="19102"/>
    <cellStyle name="Vérification 2 3 4 4 2 2 5 2" xfId="33216"/>
    <cellStyle name="Vérification 2 3 4 4 2 2 6" xfId="11343"/>
    <cellStyle name="Vérification 2 3 4 4 2 2 7" xfId="27564"/>
    <cellStyle name="Vérification 2 3 4 4 2 3" xfId="5093"/>
    <cellStyle name="Vérification 2 3 4 4 2 3 2" xfId="7120"/>
    <cellStyle name="Vérification 2 3 4 4 2 3 2 2" xfId="9321"/>
    <cellStyle name="Vérification 2 3 4 4 2 3 2 2 2" xfId="25545"/>
    <cellStyle name="Vérification 2 3 4 4 2 3 2 2 2 2" xfId="37552"/>
    <cellStyle name="Vérification 2 3 4 4 2 3 2 2 3" xfId="15328"/>
    <cellStyle name="Vérification 2 3 4 4 2 3 2 2 4" xfId="31549"/>
    <cellStyle name="Vérification 2 3 4 4 2 3 2 3" xfId="23344"/>
    <cellStyle name="Vérification 2 3 4 4 2 3 2 3 2" xfId="35351"/>
    <cellStyle name="Vérification 2 3 4 4 2 3 2 4" xfId="13025"/>
    <cellStyle name="Vérification 2 3 4 4 2 3 2 5" xfId="29246"/>
    <cellStyle name="Vérification 2 3 4 4 2 3 3" xfId="7187"/>
    <cellStyle name="Vérification 2 3 4 4 2 3 3 2" xfId="23411"/>
    <cellStyle name="Vérification 2 3 4 4 2 3 3 2 2" xfId="35418"/>
    <cellStyle name="Vérification 2 3 4 4 2 3 3 3" xfId="13571"/>
    <cellStyle name="Vérification 2 3 4 4 2 3 3 4" xfId="29792"/>
    <cellStyle name="Vérification 2 3 4 4 2 3 4" xfId="21319"/>
    <cellStyle name="Vérification 2 3 4 4 2 3 4 2" xfId="34460"/>
    <cellStyle name="Vérification 2 3 4 4 2 3 5" xfId="11007"/>
    <cellStyle name="Vérification 2 3 4 4 2 3 6" xfId="27230"/>
    <cellStyle name="Vérification 2 3 4 4 2 4" xfId="3484"/>
    <cellStyle name="Vérification 2 3 4 4 2 4 2" xfId="8451"/>
    <cellStyle name="Vérification 2 3 4 4 2 4 2 2" xfId="24675"/>
    <cellStyle name="Vérification 2 3 4 4 2 4 2 2 2" xfId="36682"/>
    <cellStyle name="Vérification 2 3 4 4 2 4 2 3" xfId="14458"/>
    <cellStyle name="Vérification 2 3 4 4 2 4 2 4" xfId="30679"/>
    <cellStyle name="Vérification 2 3 4 4 2 4 3" xfId="9988"/>
    <cellStyle name="Vérification 2 3 4 4 2 4 3 2" xfId="26212"/>
    <cellStyle name="Vérification 2 3 4 4 2 4 3 2 2" xfId="38219"/>
    <cellStyle name="Vérification 2 3 4 4 2 4 3 3" xfId="15995"/>
    <cellStyle name="Vérification 2 3 4 4 2 4 3 4" xfId="32216"/>
    <cellStyle name="Vérification 2 3 4 4 2 4 4" xfId="19712"/>
    <cellStyle name="Vérification 2 3 4 4 2 4 4 2" xfId="33826"/>
    <cellStyle name="Vérification 2 3 4 4 2 4 5" xfId="12006"/>
    <cellStyle name="Vérification 2 3 4 4 2 4 6" xfId="28227"/>
    <cellStyle name="Vérification 2 3 4 4 2 5" xfId="3536"/>
    <cellStyle name="Vérification 2 3 4 4 2 5 2" xfId="8497"/>
    <cellStyle name="Vérification 2 3 4 4 2 5 2 2" xfId="24721"/>
    <cellStyle name="Vérification 2 3 4 4 2 5 2 2 2" xfId="36728"/>
    <cellStyle name="Vérification 2 3 4 4 2 5 2 3" xfId="14504"/>
    <cellStyle name="Vérification 2 3 4 4 2 5 2 4" xfId="30725"/>
    <cellStyle name="Vérification 2 3 4 4 2 5 3" xfId="19764"/>
    <cellStyle name="Vérification 2 3 4 4 2 5 3 2" xfId="33878"/>
    <cellStyle name="Vérification 2 3 4 4 2 5 4" xfId="12052"/>
    <cellStyle name="Vérification 2 3 4 4 2 5 5" xfId="28273"/>
    <cellStyle name="Vérification 2 3 4 4 2 6" xfId="7008"/>
    <cellStyle name="Vérification 2 3 4 4 2 6 2" xfId="23232"/>
    <cellStyle name="Vérification 2 3 4 4 2 6 2 2" xfId="35239"/>
    <cellStyle name="Vérification 2 3 4 4 2 6 3" xfId="11475"/>
    <cellStyle name="Vérification 2 3 4 4 2 6 4" xfId="27696"/>
    <cellStyle name="Vérification 2 3 4 4 2 7" xfId="17635"/>
    <cellStyle name="Vérification 2 3 4 4 2 7 2" xfId="32883"/>
    <cellStyle name="Vérification 2 3 4 4 2 8" xfId="10655"/>
    <cellStyle name="Vérification 2 3 4 4 2 9" xfId="26880"/>
    <cellStyle name="Vérification 2 3 4 4 3" xfId="1211"/>
    <cellStyle name="Vérification 2 3 4 4 3 2" xfId="2785"/>
    <cellStyle name="Vérification 2 3 4 4 3 2 2" xfId="6473"/>
    <cellStyle name="Vérification 2 3 4 4 3 2 2 2" xfId="8854"/>
    <cellStyle name="Vérification 2 3 4 4 3 2 2 2 2" xfId="25078"/>
    <cellStyle name="Vérification 2 3 4 4 3 2 2 2 2 2" xfId="37085"/>
    <cellStyle name="Vérification 2 3 4 4 3 2 2 2 3" xfId="14861"/>
    <cellStyle name="Vérification 2 3 4 4 3 2 2 2 4" xfId="31082"/>
    <cellStyle name="Vérification 2 3 4 4 3 2 2 3" xfId="10232"/>
    <cellStyle name="Vérification 2 3 4 4 3 2 2 3 2" xfId="26456"/>
    <cellStyle name="Vérification 2 3 4 4 3 2 2 3 2 2" xfId="38463"/>
    <cellStyle name="Vérification 2 3 4 4 3 2 2 3 3" xfId="16239"/>
    <cellStyle name="Vérification 2 3 4 4 3 2 2 3 4" xfId="32460"/>
    <cellStyle name="Vérification 2 3 4 4 3 2 2 4" xfId="22697"/>
    <cellStyle name="Vérification 2 3 4 4 3 2 2 4 2" xfId="34704"/>
    <cellStyle name="Vérification 2 3 4 4 3 2 2 5" xfId="12558"/>
    <cellStyle name="Vérification 2 3 4 4 3 2 2 6" xfId="28779"/>
    <cellStyle name="Vérification 2 3 4 4 3 2 3" xfId="7521"/>
    <cellStyle name="Vérification 2 3 4 4 3 2 3 2" xfId="9565"/>
    <cellStyle name="Vérification 2 3 4 4 3 2 3 2 2" xfId="25789"/>
    <cellStyle name="Vérification 2 3 4 4 3 2 3 2 2 2" xfId="37796"/>
    <cellStyle name="Vérification 2 3 4 4 3 2 3 2 3" xfId="15572"/>
    <cellStyle name="Vérification 2 3 4 4 3 2 3 2 4" xfId="31793"/>
    <cellStyle name="Vérification 2 3 4 4 3 2 3 3" xfId="23745"/>
    <cellStyle name="Vérification 2 3 4 4 3 2 3 3 2" xfId="35752"/>
    <cellStyle name="Vérification 2 3 4 4 3 2 3 4" xfId="13269"/>
    <cellStyle name="Vérification 2 3 4 4 3 2 3 5" xfId="29490"/>
    <cellStyle name="Vérification 2 3 4 4 3 2 4" xfId="7898"/>
    <cellStyle name="Vérification 2 3 4 4 3 2 4 2" xfId="24122"/>
    <cellStyle name="Vérification 2 3 4 4 3 2 4 2 2" xfId="36129"/>
    <cellStyle name="Vérification 2 3 4 4 3 2 4 3" xfId="13905"/>
    <cellStyle name="Vérification 2 3 4 4 3 2 4 4" xfId="30126"/>
    <cellStyle name="Vérification 2 3 4 4 3 2 5" xfId="19013"/>
    <cellStyle name="Vérification 2 3 4 4 3 2 5 2" xfId="33127"/>
    <cellStyle name="Vérification 2 3 4 4 3 2 6" xfId="11254"/>
    <cellStyle name="Vérification 2 3 4 4 3 2 7" xfId="27475"/>
    <cellStyle name="Vérification 2 3 4 4 3 3" xfId="4908"/>
    <cellStyle name="Vérification 2 3 4 4 3 3 2" xfId="7020"/>
    <cellStyle name="Vérification 2 3 4 4 3 3 2 2" xfId="9232"/>
    <cellStyle name="Vérification 2 3 4 4 3 3 2 2 2" xfId="25456"/>
    <cellStyle name="Vérification 2 3 4 4 3 3 2 2 2 2" xfId="37463"/>
    <cellStyle name="Vérification 2 3 4 4 3 3 2 2 3" xfId="15239"/>
    <cellStyle name="Vérification 2 3 4 4 3 3 2 2 4" xfId="31460"/>
    <cellStyle name="Vérification 2 3 4 4 3 3 2 3" xfId="23244"/>
    <cellStyle name="Vérification 2 3 4 4 3 3 2 3 2" xfId="35251"/>
    <cellStyle name="Vérification 2 3 4 4 3 3 2 4" xfId="12936"/>
    <cellStyle name="Vérification 2 3 4 4 3 3 2 5" xfId="29157"/>
    <cellStyle name="Vérification 2 3 4 4 3 3 3" xfId="6854"/>
    <cellStyle name="Vérification 2 3 4 4 3 3 3 2" xfId="23078"/>
    <cellStyle name="Vérification 2 3 4 4 3 3 3 2 2" xfId="35085"/>
    <cellStyle name="Vérification 2 3 4 4 3 3 3 3" xfId="11450"/>
    <cellStyle name="Vérification 2 3 4 4 3 3 3 4" xfId="27671"/>
    <cellStyle name="Vérification 2 3 4 4 3 3 4" xfId="21134"/>
    <cellStyle name="Vérification 2 3 4 4 3 3 4 2" xfId="34371"/>
    <cellStyle name="Vérification 2 3 4 4 3 3 5" xfId="10918"/>
    <cellStyle name="Vérification 2 3 4 4 3 3 6" xfId="27141"/>
    <cellStyle name="Vérification 2 3 4 4 3 4" xfId="3373"/>
    <cellStyle name="Vérification 2 3 4 4 3 4 2" xfId="8349"/>
    <cellStyle name="Vérification 2 3 4 4 3 4 2 2" xfId="24573"/>
    <cellStyle name="Vérification 2 3 4 4 3 4 2 2 2" xfId="36580"/>
    <cellStyle name="Vérification 2 3 4 4 3 4 2 3" xfId="14356"/>
    <cellStyle name="Vérification 2 3 4 4 3 4 2 4" xfId="30577"/>
    <cellStyle name="Vérification 2 3 4 4 3 4 3" xfId="9899"/>
    <cellStyle name="Vérification 2 3 4 4 3 4 3 2" xfId="26123"/>
    <cellStyle name="Vérification 2 3 4 4 3 4 3 2 2" xfId="38130"/>
    <cellStyle name="Vérification 2 3 4 4 3 4 3 3" xfId="15906"/>
    <cellStyle name="Vérification 2 3 4 4 3 4 3 4" xfId="32127"/>
    <cellStyle name="Vérification 2 3 4 4 3 4 4" xfId="19601"/>
    <cellStyle name="Vérification 2 3 4 4 3 4 4 2" xfId="33715"/>
    <cellStyle name="Vérification 2 3 4 4 3 4 5" xfId="11904"/>
    <cellStyle name="Vérification 2 3 4 4 3 4 6" xfId="28125"/>
    <cellStyle name="Vérification 2 3 4 4 3 5" xfId="3726"/>
    <cellStyle name="Vérification 2 3 4 4 3 5 2" xfId="8602"/>
    <cellStyle name="Vérification 2 3 4 4 3 5 2 2" xfId="24826"/>
    <cellStyle name="Vérification 2 3 4 4 3 5 2 2 2" xfId="36833"/>
    <cellStyle name="Vérification 2 3 4 4 3 5 2 3" xfId="14609"/>
    <cellStyle name="Vérification 2 3 4 4 3 5 2 4" xfId="30830"/>
    <cellStyle name="Vérification 2 3 4 4 3 5 3" xfId="19954"/>
    <cellStyle name="Vérification 2 3 4 4 3 5 3 2" xfId="34068"/>
    <cellStyle name="Vérification 2 3 4 4 3 5 4" xfId="12157"/>
    <cellStyle name="Vérification 2 3 4 4 3 5 5" xfId="28378"/>
    <cellStyle name="Vérification 2 3 4 4 3 6" xfId="6849"/>
    <cellStyle name="Vérification 2 3 4 4 3 6 2" xfId="23073"/>
    <cellStyle name="Vérification 2 3 4 4 3 6 2 2" xfId="35080"/>
    <cellStyle name="Vérification 2 3 4 4 3 6 3" xfId="12249"/>
    <cellStyle name="Vérification 2 3 4 4 3 6 4" xfId="28470"/>
    <cellStyle name="Vérification 2 3 4 4 3 7" xfId="17450"/>
    <cellStyle name="Vérification 2 3 4 4 3 7 2" xfId="32794"/>
    <cellStyle name="Vérification 2 3 4 4 3 8" xfId="10566"/>
    <cellStyle name="Vérification 2 3 4 4 3 9" xfId="26791"/>
    <cellStyle name="Vérification 2 3 4 4 4" xfId="2696"/>
    <cellStyle name="Vérification 2 3 4 4 4 2" xfId="6384"/>
    <cellStyle name="Vérification 2 3 4 4 4 2 2" xfId="8765"/>
    <cellStyle name="Vérification 2 3 4 4 4 2 2 2" xfId="24989"/>
    <cellStyle name="Vérification 2 3 4 4 4 2 2 2 2" xfId="36996"/>
    <cellStyle name="Vérification 2 3 4 4 4 2 2 3" xfId="14772"/>
    <cellStyle name="Vérification 2 3 4 4 4 2 2 4" xfId="30993"/>
    <cellStyle name="Vérification 2 3 4 4 4 2 3" xfId="10143"/>
    <cellStyle name="Vérification 2 3 4 4 4 2 3 2" xfId="26367"/>
    <cellStyle name="Vérification 2 3 4 4 4 2 3 2 2" xfId="38374"/>
    <cellStyle name="Vérification 2 3 4 4 4 2 3 3" xfId="16150"/>
    <cellStyle name="Vérification 2 3 4 4 4 2 3 4" xfId="32371"/>
    <cellStyle name="Vérification 2 3 4 4 4 2 4" xfId="22608"/>
    <cellStyle name="Vérification 2 3 4 4 4 2 4 2" xfId="34615"/>
    <cellStyle name="Vérification 2 3 4 4 4 2 5" xfId="12469"/>
    <cellStyle name="Vérification 2 3 4 4 4 2 6" xfId="28690"/>
    <cellStyle name="Vérification 2 3 4 4 4 3" xfId="7432"/>
    <cellStyle name="Vérification 2 3 4 4 4 3 2" xfId="9476"/>
    <cellStyle name="Vérification 2 3 4 4 4 3 2 2" xfId="25700"/>
    <cellStyle name="Vérification 2 3 4 4 4 3 2 2 2" xfId="37707"/>
    <cellStyle name="Vérification 2 3 4 4 4 3 2 3" xfId="15483"/>
    <cellStyle name="Vérification 2 3 4 4 4 3 2 4" xfId="31704"/>
    <cellStyle name="Vérification 2 3 4 4 4 3 3" xfId="23656"/>
    <cellStyle name="Vérification 2 3 4 4 4 3 3 2" xfId="35663"/>
    <cellStyle name="Vérification 2 3 4 4 4 3 4" xfId="13180"/>
    <cellStyle name="Vérification 2 3 4 4 4 3 5" xfId="29401"/>
    <cellStyle name="Vérification 2 3 4 4 4 4" xfId="7809"/>
    <cellStyle name="Vérification 2 3 4 4 4 4 2" xfId="24033"/>
    <cellStyle name="Vérification 2 3 4 4 4 4 2 2" xfId="36040"/>
    <cellStyle name="Vérification 2 3 4 4 4 4 3" xfId="13816"/>
    <cellStyle name="Vérification 2 3 4 4 4 4 4" xfId="30037"/>
    <cellStyle name="Vérification 2 3 4 4 4 5" xfId="18924"/>
    <cellStyle name="Vérification 2 3 4 4 4 5 2" xfId="33038"/>
    <cellStyle name="Vérification 2 3 4 4 4 6" xfId="11165"/>
    <cellStyle name="Vérification 2 3 4 4 4 7" xfId="27386"/>
    <cellStyle name="Vérification 2 3 4 4 5" xfId="4333"/>
    <cellStyle name="Vérification 2 3 4 4 5 2" xfId="6862"/>
    <cellStyle name="Vérification 2 3 4 4 5 2 2" xfId="9143"/>
    <cellStyle name="Vérification 2 3 4 4 5 2 2 2" xfId="25367"/>
    <cellStyle name="Vérification 2 3 4 4 5 2 2 2 2" xfId="37374"/>
    <cellStyle name="Vérification 2 3 4 4 5 2 2 3" xfId="15150"/>
    <cellStyle name="Vérification 2 3 4 4 5 2 2 4" xfId="31371"/>
    <cellStyle name="Vérification 2 3 4 4 5 2 3" xfId="23086"/>
    <cellStyle name="Vérification 2 3 4 4 5 2 3 2" xfId="35093"/>
    <cellStyle name="Vérification 2 3 4 4 5 2 4" xfId="12847"/>
    <cellStyle name="Vérification 2 3 4 4 5 2 5" xfId="29068"/>
    <cellStyle name="Vérification 2 3 4 4 5 3" xfId="7287"/>
    <cellStyle name="Vérification 2 3 4 4 5 3 2" xfId="23511"/>
    <cellStyle name="Vérification 2 3 4 4 5 3 2 2" xfId="35518"/>
    <cellStyle name="Vérification 2 3 4 4 5 3 3" xfId="13671"/>
    <cellStyle name="Vérification 2 3 4 4 5 3 4" xfId="29892"/>
    <cellStyle name="Vérification 2 3 4 4 5 4" xfId="20559"/>
    <cellStyle name="Vérification 2 3 4 4 5 4 2" xfId="34282"/>
    <cellStyle name="Vérification 2 3 4 4 5 5" xfId="10824"/>
    <cellStyle name="Vérification 2 3 4 4 5 6" xfId="27047"/>
    <cellStyle name="Vérification 2 3 4 4 6" xfId="3155"/>
    <cellStyle name="Vérification 2 3 4 4 6 2" xfId="8195"/>
    <cellStyle name="Vérification 2 3 4 4 6 2 2" xfId="24419"/>
    <cellStyle name="Vérification 2 3 4 4 6 2 2 2" xfId="36426"/>
    <cellStyle name="Vérification 2 3 4 4 6 2 3" xfId="14202"/>
    <cellStyle name="Vérification 2 3 4 4 6 2 4" xfId="30423"/>
    <cellStyle name="Vérification 2 3 4 4 6 3" xfId="9810"/>
    <cellStyle name="Vérification 2 3 4 4 6 3 2" xfId="26034"/>
    <cellStyle name="Vérification 2 3 4 4 6 3 2 2" xfId="38041"/>
    <cellStyle name="Vérification 2 3 4 4 6 3 3" xfId="15817"/>
    <cellStyle name="Vérification 2 3 4 4 6 3 4" xfId="32038"/>
    <cellStyle name="Vérification 2 3 4 4 6 4" xfId="19383"/>
    <cellStyle name="Vérification 2 3 4 4 6 4 2" xfId="33497"/>
    <cellStyle name="Vérification 2 3 4 4 6 5" xfId="11750"/>
    <cellStyle name="Vérification 2 3 4 4 6 6" xfId="27971"/>
    <cellStyle name="Vérification 2 3 4 4 7" xfId="3017"/>
    <cellStyle name="Vérification 2 3 4 4 7 2" xfId="8101"/>
    <cellStyle name="Vérification 2 3 4 4 7 2 2" xfId="24325"/>
    <cellStyle name="Vérification 2 3 4 4 7 2 2 2" xfId="36332"/>
    <cellStyle name="Vérification 2 3 4 4 7 2 3" xfId="14108"/>
    <cellStyle name="Vérification 2 3 4 4 7 2 4" xfId="30329"/>
    <cellStyle name="Vérification 2 3 4 4 7 3" xfId="19245"/>
    <cellStyle name="Vérification 2 3 4 4 7 3 2" xfId="33359"/>
    <cellStyle name="Vérification 2 3 4 4 7 4" xfId="11656"/>
    <cellStyle name="Vérification 2 3 4 4 7 5" xfId="27877"/>
    <cellStyle name="Vérification 2 3 4 4 8" xfId="7281"/>
    <cellStyle name="Vérification 2 3 4 4 8 2" xfId="23505"/>
    <cellStyle name="Vérification 2 3 4 4 8 2 2" xfId="35512"/>
    <cellStyle name="Vérification 2 3 4 4 8 3" xfId="13665"/>
    <cellStyle name="Vérification 2 3 4 4 8 4" xfId="29886"/>
    <cellStyle name="Vérification 2 3 4 4 9" xfId="16875"/>
    <cellStyle name="Vérification 2 3 4 4 9 2" xfId="32705"/>
    <cellStyle name="Vérification 2 3 4 5" xfId="750"/>
    <cellStyle name="Vérification 2 3 4 5 10" xfId="26724"/>
    <cellStyle name="Vérification 2 3 4 5 2" xfId="1418"/>
    <cellStyle name="Vérification 2 3 4 5 2 2" xfId="2896"/>
    <cellStyle name="Vérification 2 3 4 5 2 2 2" xfId="6584"/>
    <cellStyle name="Vérification 2 3 4 5 2 2 2 2" xfId="8965"/>
    <cellStyle name="Vérification 2 3 4 5 2 2 2 2 2" xfId="25189"/>
    <cellStyle name="Vérification 2 3 4 5 2 2 2 2 2 2" xfId="37196"/>
    <cellStyle name="Vérification 2 3 4 5 2 2 2 2 3" xfId="14972"/>
    <cellStyle name="Vérification 2 3 4 5 2 2 2 2 4" xfId="31193"/>
    <cellStyle name="Vérification 2 3 4 5 2 2 2 3" xfId="10343"/>
    <cellStyle name="Vérification 2 3 4 5 2 2 2 3 2" xfId="26567"/>
    <cellStyle name="Vérification 2 3 4 5 2 2 2 3 2 2" xfId="38574"/>
    <cellStyle name="Vérification 2 3 4 5 2 2 2 3 3" xfId="16350"/>
    <cellStyle name="Vérification 2 3 4 5 2 2 2 3 4" xfId="32571"/>
    <cellStyle name="Vérification 2 3 4 5 2 2 2 4" xfId="22808"/>
    <cellStyle name="Vérification 2 3 4 5 2 2 2 4 2" xfId="34815"/>
    <cellStyle name="Vérification 2 3 4 5 2 2 2 5" xfId="12669"/>
    <cellStyle name="Vérification 2 3 4 5 2 2 2 6" xfId="28890"/>
    <cellStyle name="Vérification 2 3 4 5 2 2 3" xfId="7632"/>
    <cellStyle name="Vérification 2 3 4 5 2 2 3 2" xfId="9676"/>
    <cellStyle name="Vérification 2 3 4 5 2 2 3 2 2" xfId="25900"/>
    <cellStyle name="Vérification 2 3 4 5 2 2 3 2 2 2" xfId="37907"/>
    <cellStyle name="Vérification 2 3 4 5 2 2 3 2 3" xfId="15683"/>
    <cellStyle name="Vérification 2 3 4 5 2 2 3 2 4" xfId="31904"/>
    <cellStyle name="Vérification 2 3 4 5 2 2 3 3" xfId="23856"/>
    <cellStyle name="Vérification 2 3 4 5 2 2 3 3 2" xfId="35863"/>
    <cellStyle name="Vérification 2 3 4 5 2 2 3 4" xfId="13380"/>
    <cellStyle name="Vérification 2 3 4 5 2 2 3 5" xfId="29601"/>
    <cellStyle name="Vérification 2 3 4 5 2 2 4" xfId="8009"/>
    <cellStyle name="Vérification 2 3 4 5 2 2 4 2" xfId="24233"/>
    <cellStyle name="Vérification 2 3 4 5 2 2 4 2 2" xfId="36240"/>
    <cellStyle name="Vérification 2 3 4 5 2 2 4 3" xfId="14016"/>
    <cellStyle name="Vérification 2 3 4 5 2 2 4 4" xfId="30237"/>
    <cellStyle name="Vérification 2 3 4 5 2 2 5" xfId="19124"/>
    <cellStyle name="Vérification 2 3 4 5 2 2 5 2" xfId="33238"/>
    <cellStyle name="Vérification 2 3 4 5 2 2 6" xfId="11365"/>
    <cellStyle name="Vérification 2 3 4 5 2 2 7" xfId="27586"/>
    <cellStyle name="Vérification 2 3 4 5 2 3" xfId="5115"/>
    <cellStyle name="Vérification 2 3 4 5 2 3 2" xfId="7142"/>
    <cellStyle name="Vérification 2 3 4 5 2 3 2 2" xfId="9343"/>
    <cellStyle name="Vérification 2 3 4 5 2 3 2 2 2" xfId="25567"/>
    <cellStyle name="Vérification 2 3 4 5 2 3 2 2 2 2" xfId="37574"/>
    <cellStyle name="Vérification 2 3 4 5 2 3 2 2 3" xfId="15350"/>
    <cellStyle name="Vérification 2 3 4 5 2 3 2 2 4" xfId="31571"/>
    <cellStyle name="Vérification 2 3 4 5 2 3 2 3" xfId="23366"/>
    <cellStyle name="Vérification 2 3 4 5 2 3 2 3 2" xfId="35373"/>
    <cellStyle name="Vérification 2 3 4 5 2 3 2 4" xfId="13047"/>
    <cellStyle name="Vérification 2 3 4 5 2 3 2 5" xfId="29268"/>
    <cellStyle name="Vérification 2 3 4 5 2 3 3" xfId="6774"/>
    <cellStyle name="Vérification 2 3 4 5 2 3 3 2" xfId="22998"/>
    <cellStyle name="Vérification 2 3 4 5 2 3 3 2 2" xfId="35005"/>
    <cellStyle name="Vérification 2 3 4 5 2 3 3 3" xfId="13468"/>
    <cellStyle name="Vérification 2 3 4 5 2 3 3 4" xfId="29689"/>
    <cellStyle name="Vérification 2 3 4 5 2 3 4" xfId="21341"/>
    <cellStyle name="Vérification 2 3 4 5 2 3 4 2" xfId="34482"/>
    <cellStyle name="Vérification 2 3 4 5 2 3 5" xfId="11029"/>
    <cellStyle name="Vérification 2 3 4 5 2 3 6" xfId="27252"/>
    <cellStyle name="Vérification 2 3 4 5 2 4" xfId="3506"/>
    <cellStyle name="Vérification 2 3 4 5 2 4 2" xfId="8473"/>
    <cellStyle name="Vérification 2 3 4 5 2 4 2 2" xfId="24697"/>
    <cellStyle name="Vérification 2 3 4 5 2 4 2 2 2" xfId="36704"/>
    <cellStyle name="Vérification 2 3 4 5 2 4 2 3" xfId="14480"/>
    <cellStyle name="Vérification 2 3 4 5 2 4 2 4" xfId="30701"/>
    <cellStyle name="Vérification 2 3 4 5 2 4 3" xfId="10010"/>
    <cellStyle name="Vérification 2 3 4 5 2 4 3 2" xfId="26234"/>
    <cellStyle name="Vérification 2 3 4 5 2 4 3 2 2" xfId="38241"/>
    <cellStyle name="Vérification 2 3 4 5 2 4 3 3" xfId="16017"/>
    <cellStyle name="Vérification 2 3 4 5 2 4 3 4" xfId="32238"/>
    <cellStyle name="Vérification 2 3 4 5 2 4 4" xfId="19734"/>
    <cellStyle name="Vérification 2 3 4 5 2 4 4 2" xfId="33848"/>
    <cellStyle name="Vérification 2 3 4 5 2 4 5" xfId="12028"/>
    <cellStyle name="Vérification 2 3 4 5 2 4 6" xfId="28249"/>
    <cellStyle name="Vérification 2 3 4 5 2 5" xfId="3290"/>
    <cellStyle name="Vérification 2 3 4 5 2 5 2" xfId="8281"/>
    <cellStyle name="Vérification 2 3 4 5 2 5 2 2" xfId="24505"/>
    <cellStyle name="Vérification 2 3 4 5 2 5 2 2 2" xfId="36512"/>
    <cellStyle name="Vérification 2 3 4 5 2 5 2 3" xfId="14288"/>
    <cellStyle name="Vérification 2 3 4 5 2 5 2 4" xfId="30509"/>
    <cellStyle name="Vérification 2 3 4 5 2 5 3" xfId="19518"/>
    <cellStyle name="Vérification 2 3 4 5 2 5 3 2" xfId="33632"/>
    <cellStyle name="Vérification 2 3 4 5 2 5 4" xfId="11836"/>
    <cellStyle name="Vérification 2 3 4 5 2 5 5" xfId="28057"/>
    <cellStyle name="Vérification 2 3 4 5 2 6" xfId="3668"/>
    <cellStyle name="Vérification 2 3 4 5 2 6 2" xfId="19896"/>
    <cellStyle name="Vérification 2 3 4 5 2 6 2 2" xfId="34010"/>
    <cellStyle name="Vérification 2 3 4 5 2 6 3" xfId="11549"/>
    <cellStyle name="Vérification 2 3 4 5 2 6 4" xfId="27770"/>
    <cellStyle name="Vérification 2 3 4 5 2 7" xfId="17657"/>
    <cellStyle name="Vérification 2 3 4 5 2 7 2" xfId="32905"/>
    <cellStyle name="Vérification 2 3 4 5 2 8" xfId="10677"/>
    <cellStyle name="Vérification 2 3 4 5 2 9" xfId="26902"/>
    <cellStyle name="Vérification 2 3 4 5 3" xfId="2718"/>
    <cellStyle name="Vérification 2 3 4 5 3 2" xfId="6406"/>
    <cellStyle name="Vérification 2 3 4 5 3 2 2" xfId="8787"/>
    <cellStyle name="Vérification 2 3 4 5 3 2 2 2" xfId="25011"/>
    <cellStyle name="Vérification 2 3 4 5 3 2 2 2 2" xfId="37018"/>
    <cellStyle name="Vérification 2 3 4 5 3 2 2 3" xfId="14794"/>
    <cellStyle name="Vérification 2 3 4 5 3 2 2 4" xfId="31015"/>
    <cellStyle name="Vérification 2 3 4 5 3 2 3" xfId="10165"/>
    <cellStyle name="Vérification 2 3 4 5 3 2 3 2" xfId="26389"/>
    <cellStyle name="Vérification 2 3 4 5 3 2 3 2 2" xfId="38396"/>
    <cellStyle name="Vérification 2 3 4 5 3 2 3 3" xfId="16172"/>
    <cellStyle name="Vérification 2 3 4 5 3 2 3 4" xfId="32393"/>
    <cellStyle name="Vérification 2 3 4 5 3 2 4" xfId="22630"/>
    <cellStyle name="Vérification 2 3 4 5 3 2 4 2" xfId="34637"/>
    <cellStyle name="Vérification 2 3 4 5 3 2 5" xfId="12491"/>
    <cellStyle name="Vérification 2 3 4 5 3 2 6" xfId="28712"/>
    <cellStyle name="Vérification 2 3 4 5 3 3" xfId="7454"/>
    <cellStyle name="Vérification 2 3 4 5 3 3 2" xfId="9498"/>
    <cellStyle name="Vérification 2 3 4 5 3 3 2 2" xfId="25722"/>
    <cellStyle name="Vérification 2 3 4 5 3 3 2 2 2" xfId="37729"/>
    <cellStyle name="Vérification 2 3 4 5 3 3 2 3" xfId="15505"/>
    <cellStyle name="Vérification 2 3 4 5 3 3 2 4" xfId="31726"/>
    <cellStyle name="Vérification 2 3 4 5 3 3 3" xfId="23678"/>
    <cellStyle name="Vérification 2 3 4 5 3 3 3 2" xfId="35685"/>
    <cellStyle name="Vérification 2 3 4 5 3 3 4" xfId="13202"/>
    <cellStyle name="Vérification 2 3 4 5 3 3 5" xfId="29423"/>
    <cellStyle name="Vérification 2 3 4 5 3 4" xfId="7831"/>
    <cellStyle name="Vérification 2 3 4 5 3 4 2" xfId="24055"/>
    <cellStyle name="Vérification 2 3 4 5 3 4 2 2" xfId="36062"/>
    <cellStyle name="Vérification 2 3 4 5 3 4 3" xfId="13838"/>
    <cellStyle name="Vérification 2 3 4 5 3 4 4" xfId="30059"/>
    <cellStyle name="Vérification 2 3 4 5 3 5" xfId="18946"/>
    <cellStyle name="Vérification 2 3 4 5 3 5 2" xfId="33060"/>
    <cellStyle name="Vérification 2 3 4 5 3 6" xfId="11187"/>
    <cellStyle name="Vérification 2 3 4 5 3 7" xfId="27408"/>
    <cellStyle name="Vérification 2 3 4 5 4" xfId="4451"/>
    <cellStyle name="Vérification 2 3 4 5 4 2" xfId="6896"/>
    <cellStyle name="Vérification 2 3 4 5 4 2 2" xfId="9165"/>
    <cellStyle name="Vérification 2 3 4 5 4 2 2 2" xfId="25389"/>
    <cellStyle name="Vérification 2 3 4 5 4 2 2 2 2" xfId="37396"/>
    <cellStyle name="Vérification 2 3 4 5 4 2 2 3" xfId="15172"/>
    <cellStyle name="Vérification 2 3 4 5 4 2 2 4" xfId="31393"/>
    <cellStyle name="Vérification 2 3 4 5 4 2 3" xfId="23120"/>
    <cellStyle name="Vérification 2 3 4 5 4 2 3 2" xfId="35127"/>
    <cellStyle name="Vérification 2 3 4 5 4 2 4" xfId="12869"/>
    <cellStyle name="Vérification 2 3 4 5 4 2 5" xfId="29090"/>
    <cellStyle name="Vérification 2 3 4 5 4 3" xfId="6930"/>
    <cellStyle name="Vérification 2 3 4 5 4 3 2" xfId="23154"/>
    <cellStyle name="Vérification 2 3 4 5 4 3 2 2" xfId="35161"/>
    <cellStyle name="Vérification 2 3 4 5 4 3 3" xfId="13462"/>
    <cellStyle name="Vérification 2 3 4 5 4 3 4" xfId="29683"/>
    <cellStyle name="Vérification 2 3 4 5 4 4" xfId="20677"/>
    <cellStyle name="Vérification 2 3 4 5 4 4 2" xfId="34304"/>
    <cellStyle name="Vérification 2 3 4 5 4 5" xfId="10850"/>
    <cellStyle name="Vérification 2 3 4 5 4 6" xfId="27073"/>
    <cellStyle name="Vérification 2 3 4 5 5" xfId="3207"/>
    <cellStyle name="Vérification 2 3 4 5 5 2" xfId="8228"/>
    <cellStyle name="Vérification 2 3 4 5 5 2 2" xfId="24452"/>
    <cellStyle name="Vérification 2 3 4 5 5 2 2 2" xfId="36459"/>
    <cellStyle name="Vérification 2 3 4 5 5 2 3" xfId="14235"/>
    <cellStyle name="Vérification 2 3 4 5 5 2 4" xfId="30456"/>
    <cellStyle name="Vérification 2 3 4 5 5 3" xfId="9832"/>
    <cellStyle name="Vérification 2 3 4 5 5 3 2" xfId="26056"/>
    <cellStyle name="Vérification 2 3 4 5 5 3 2 2" xfId="38063"/>
    <cellStyle name="Vérification 2 3 4 5 5 3 3" xfId="15839"/>
    <cellStyle name="Vérification 2 3 4 5 5 3 4" xfId="32060"/>
    <cellStyle name="Vérification 2 3 4 5 5 4" xfId="19435"/>
    <cellStyle name="Vérification 2 3 4 5 5 4 2" xfId="33549"/>
    <cellStyle name="Vérification 2 3 4 5 5 5" xfId="11783"/>
    <cellStyle name="Vérification 2 3 4 5 5 6" xfId="28004"/>
    <cellStyle name="Vérification 2 3 4 5 6" xfId="3774"/>
    <cellStyle name="Vérification 2 3 4 5 6 2" xfId="8624"/>
    <cellStyle name="Vérification 2 3 4 5 6 2 2" xfId="24848"/>
    <cellStyle name="Vérification 2 3 4 5 6 2 2 2" xfId="36855"/>
    <cellStyle name="Vérification 2 3 4 5 6 2 3" xfId="14631"/>
    <cellStyle name="Vérification 2 3 4 5 6 2 4" xfId="30852"/>
    <cellStyle name="Vérification 2 3 4 5 6 3" xfId="20002"/>
    <cellStyle name="Vérification 2 3 4 5 6 3 2" xfId="34116"/>
    <cellStyle name="Vérification 2 3 4 5 6 4" xfId="12179"/>
    <cellStyle name="Vérification 2 3 4 5 6 5" xfId="28400"/>
    <cellStyle name="Vérification 2 3 4 5 7" xfId="3025"/>
    <cellStyle name="Vérification 2 3 4 5 7 2" xfId="19253"/>
    <cellStyle name="Vérification 2 3 4 5 7 2 2" xfId="33367"/>
    <cellStyle name="Vérification 2 3 4 5 7 3" xfId="13452"/>
    <cellStyle name="Vérification 2 3 4 5 7 4" xfId="29673"/>
    <cellStyle name="Vérification 2 3 4 5 8" xfId="16993"/>
    <cellStyle name="Vérification 2 3 4 5 8 2" xfId="32727"/>
    <cellStyle name="Vérification 2 3 4 5 9" xfId="10499"/>
    <cellStyle name="Vérification 2 3 4 6" xfId="1329"/>
    <cellStyle name="Vérification 2 3 4 6 2" xfId="2807"/>
    <cellStyle name="Vérification 2 3 4 6 2 2" xfId="6495"/>
    <cellStyle name="Vérification 2 3 4 6 2 2 2" xfId="8876"/>
    <cellStyle name="Vérification 2 3 4 6 2 2 2 2" xfId="25100"/>
    <cellStyle name="Vérification 2 3 4 6 2 2 2 2 2" xfId="37107"/>
    <cellStyle name="Vérification 2 3 4 6 2 2 2 3" xfId="14883"/>
    <cellStyle name="Vérification 2 3 4 6 2 2 2 4" xfId="31104"/>
    <cellStyle name="Vérification 2 3 4 6 2 2 3" xfId="10254"/>
    <cellStyle name="Vérification 2 3 4 6 2 2 3 2" xfId="26478"/>
    <cellStyle name="Vérification 2 3 4 6 2 2 3 2 2" xfId="38485"/>
    <cellStyle name="Vérification 2 3 4 6 2 2 3 3" xfId="16261"/>
    <cellStyle name="Vérification 2 3 4 6 2 2 3 4" xfId="32482"/>
    <cellStyle name="Vérification 2 3 4 6 2 2 4" xfId="22719"/>
    <cellStyle name="Vérification 2 3 4 6 2 2 4 2" xfId="34726"/>
    <cellStyle name="Vérification 2 3 4 6 2 2 5" xfId="12580"/>
    <cellStyle name="Vérification 2 3 4 6 2 2 6" xfId="28801"/>
    <cellStyle name="Vérification 2 3 4 6 2 3" xfId="7543"/>
    <cellStyle name="Vérification 2 3 4 6 2 3 2" xfId="9587"/>
    <cellStyle name="Vérification 2 3 4 6 2 3 2 2" xfId="25811"/>
    <cellStyle name="Vérification 2 3 4 6 2 3 2 2 2" xfId="37818"/>
    <cellStyle name="Vérification 2 3 4 6 2 3 2 3" xfId="15594"/>
    <cellStyle name="Vérification 2 3 4 6 2 3 2 4" xfId="31815"/>
    <cellStyle name="Vérification 2 3 4 6 2 3 3" xfId="23767"/>
    <cellStyle name="Vérification 2 3 4 6 2 3 3 2" xfId="35774"/>
    <cellStyle name="Vérification 2 3 4 6 2 3 4" xfId="13291"/>
    <cellStyle name="Vérification 2 3 4 6 2 3 5" xfId="29512"/>
    <cellStyle name="Vérification 2 3 4 6 2 4" xfId="7920"/>
    <cellStyle name="Vérification 2 3 4 6 2 4 2" xfId="24144"/>
    <cellStyle name="Vérification 2 3 4 6 2 4 2 2" xfId="36151"/>
    <cellStyle name="Vérification 2 3 4 6 2 4 3" xfId="13927"/>
    <cellStyle name="Vérification 2 3 4 6 2 4 4" xfId="30148"/>
    <cellStyle name="Vérification 2 3 4 6 2 5" xfId="19035"/>
    <cellStyle name="Vérification 2 3 4 6 2 5 2" xfId="33149"/>
    <cellStyle name="Vérification 2 3 4 6 2 6" xfId="11276"/>
    <cellStyle name="Vérification 2 3 4 6 2 7" xfId="27497"/>
    <cellStyle name="Vérification 2 3 4 6 3" xfId="5026"/>
    <cellStyle name="Vérification 2 3 4 6 3 2" xfId="7053"/>
    <cellStyle name="Vérification 2 3 4 6 3 2 2" xfId="9254"/>
    <cellStyle name="Vérification 2 3 4 6 3 2 2 2" xfId="25478"/>
    <cellStyle name="Vérification 2 3 4 6 3 2 2 2 2" xfId="37485"/>
    <cellStyle name="Vérification 2 3 4 6 3 2 2 3" xfId="15261"/>
    <cellStyle name="Vérification 2 3 4 6 3 2 2 4" xfId="31482"/>
    <cellStyle name="Vérification 2 3 4 6 3 2 3" xfId="23277"/>
    <cellStyle name="Vérification 2 3 4 6 3 2 3 2" xfId="35284"/>
    <cellStyle name="Vérification 2 3 4 6 3 2 4" xfId="12958"/>
    <cellStyle name="Vérification 2 3 4 6 3 2 5" xfId="29179"/>
    <cellStyle name="Vérification 2 3 4 6 3 3" xfId="7172"/>
    <cellStyle name="Vérification 2 3 4 6 3 3 2" xfId="23396"/>
    <cellStyle name="Vérification 2 3 4 6 3 3 2 2" xfId="35403"/>
    <cellStyle name="Vérification 2 3 4 6 3 3 3" xfId="13556"/>
    <cellStyle name="Vérification 2 3 4 6 3 3 4" xfId="29777"/>
    <cellStyle name="Vérification 2 3 4 6 3 4" xfId="21252"/>
    <cellStyle name="Vérification 2 3 4 6 3 4 2" xfId="34393"/>
    <cellStyle name="Vérification 2 3 4 6 3 5" xfId="10940"/>
    <cellStyle name="Vérification 2 3 4 6 3 6" xfId="27163"/>
    <cellStyle name="Vérification 2 3 4 6 4" xfId="3417"/>
    <cellStyle name="Vérification 2 3 4 6 4 2" xfId="8384"/>
    <cellStyle name="Vérification 2 3 4 6 4 2 2" xfId="24608"/>
    <cellStyle name="Vérification 2 3 4 6 4 2 2 2" xfId="36615"/>
    <cellStyle name="Vérification 2 3 4 6 4 2 3" xfId="14391"/>
    <cellStyle name="Vérification 2 3 4 6 4 2 4" xfId="30612"/>
    <cellStyle name="Vérification 2 3 4 6 4 3" xfId="9921"/>
    <cellStyle name="Vérification 2 3 4 6 4 3 2" xfId="26145"/>
    <cellStyle name="Vérification 2 3 4 6 4 3 2 2" xfId="38152"/>
    <cellStyle name="Vérification 2 3 4 6 4 3 3" xfId="15928"/>
    <cellStyle name="Vérification 2 3 4 6 4 3 4" xfId="32149"/>
    <cellStyle name="Vérification 2 3 4 6 4 4" xfId="19645"/>
    <cellStyle name="Vérification 2 3 4 6 4 4 2" xfId="33759"/>
    <cellStyle name="Vérification 2 3 4 6 4 5" xfId="11939"/>
    <cellStyle name="Vérification 2 3 4 6 4 6" xfId="28160"/>
    <cellStyle name="Vérification 2 3 4 6 5" xfId="3006"/>
    <cellStyle name="Vérification 2 3 4 6 5 2" xfId="8093"/>
    <cellStyle name="Vérification 2 3 4 6 5 2 2" xfId="24317"/>
    <cellStyle name="Vérification 2 3 4 6 5 2 2 2" xfId="36324"/>
    <cellStyle name="Vérification 2 3 4 6 5 2 3" xfId="14100"/>
    <cellStyle name="Vérification 2 3 4 6 5 2 4" xfId="30321"/>
    <cellStyle name="Vérification 2 3 4 6 5 3" xfId="19234"/>
    <cellStyle name="Vérification 2 3 4 6 5 3 2" xfId="33348"/>
    <cellStyle name="Vérification 2 3 4 6 5 4" xfId="11648"/>
    <cellStyle name="Vérification 2 3 4 6 5 5" xfId="27869"/>
    <cellStyle name="Vérification 2 3 4 6 6" xfId="3245"/>
    <cellStyle name="Vérification 2 3 4 6 6 2" xfId="19473"/>
    <cellStyle name="Vérification 2 3 4 6 6 2 2" xfId="33587"/>
    <cellStyle name="Vérification 2 3 4 6 6 3" xfId="13444"/>
    <cellStyle name="Vérification 2 3 4 6 6 4" xfId="29665"/>
    <cellStyle name="Vérification 2 3 4 6 7" xfId="17568"/>
    <cellStyle name="Vérification 2 3 4 6 7 2" xfId="32816"/>
    <cellStyle name="Vérification 2 3 4 6 8" xfId="10588"/>
    <cellStyle name="Vérification 2 3 4 6 9" xfId="26813"/>
    <cellStyle name="Vérification 2 3 4 7" xfId="2488"/>
    <cellStyle name="Vérification 2 3 4 7 2" xfId="2919"/>
    <cellStyle name="Vérification 2 3 4 7 2 2" xfId="6607"/>
    <cellStyle name="Vérification 2 3 4 7 2 2 2" xfId="8988"/>
    <cellStyle name="Vérification 2 3 4 7 2 2 2 2" xfId="25212"/>
    <cellStyle name="Vérification 2 3 4 7 2 2 2 2 2" xfId="37219"/>
    <cellStyle name="Vérification 2 3 4 7 2 2 2 3" xfId="14995"/>
    <cellStyle name="Vérification 2 3 4 7 2 2 2 4" xfId="31216"/>
    <cellStyle name="Vérification 2 3 4 7 2 2 3" xfId="10366"/>
    <cellStyle name="Vérification 2 3 4 7 2 2 3 2" xfId="26590"/>
    <cellStyle name="Vérification 2 3 4 7 2 2 3 2 2" xfId="38597"/>
    <cellStyle name="Vérification 2 3 4 7 2 2 3 3" xfId="16373"/>
    <cellStyle name="Vérification 2 3 4 7 2 2 3 4" xfId="32594"/>
    <cellStyle name="Vérification 2 3 4 7 2 2 4" xfId="22831"/>
    <cellStyle name="Vérification 2 3 4 7 2 2 4 2" xfId="34838"/>
    <cellStyle name="Vérification 2 3 4 7 2 2 5" xfId="12692"/>
    <cellStyle name="Vérification 2 3 4 7 2 2 6" xfId="28913"/>
    <cellStyle name="Vérification 2 3 4 7 2 3" xfId="7655"/>
    <cellStyle name="Vérification 2 3 4 7 2 3 2" xfId="9699"/>
    <cellStyle name="Vérification 2 3 4 7 2 3 2 2" xfId="25923"/>
    <cellStyle name="Vérification 2 3 4 7 2 3 2 2 2" xfId="37930"/>
    <cellStyle name="Vérification 2 3 4 7 2 3 2 3" xfId="15706"/>
    <cellStyle name="Vérification 2 3 4 7 2 3 2 4" xfId="31927"/>
    <cellStyle name="Vérification 2 3 4 7 2 3 3" xfId="23879"/>
    <cellStyle name="Vérification 2 3 4 7 2 3 3 2" xfId="35886"/>
    <cellStyle name="Vérification 2 3 4 7 2 3 4" xfId="13403"/>
    <cellStyle name="Vérification 2 3 4 7 2 3 5" xfId="29624"/>
    <cellStyle name="Vérification 2 3 4 7 2 4" xfId="8032"/>
    <cellStyle name="Vérification 2 3 4 7 2 4 2" xfId="24256"/>
    <cellStyle name="Vérification 2 3 4 7 2 4 2 2" xfId="36263"/>
    <cellStyle name="Vérification 2 3 4 7 2 4 3" xfId="14039"/>
    <cellStyle name="Vérification 2 3 4 7 2 4 4" xfId="30260"/>
    <cellStyle name="Vérification 2 3 4 7 2 5" xfId="19147"/>
    <cellStyle name="Vérification 2 3 4 7 2 5 2" xfId="33261"/>
    <cellStyle name="Vérification 2 3 4 7 2 6" xfId="11388"/>
    <cellStyle name="Vérification 2 3 4 7 2 7" xfId="27609"/>
    <cellStyle name="Vérification 2 3 4 7 3" xfId="6178"/>
    <cellStyle name="Vérification 2 3 4 7 3 2" xfId="7313"/>
    <cellStyle name="Vérification 2 3 4 7 3 2 2" xfId="9366"/>
    <cellStyle name="Vérification 2 3 4 7 3 2 2 2" xfId="25590"/>
    <cellStyle name="Vérification 2 3 4 7 3 2 2 2 2" xfId="37597"/>
    <cellStyle name="Vérification 2 3 4 7 3 2 2 3" xfId="15373"/>
    <cellStyle name="Vérification 2 3 4 7 3 2 2 4" xfId="31594"/>
    <cellStyle name="Vérification 2 3 4 7 3 2 3" xfId="23537"/>
    <cellStyle name="Vérification 2 3 4 7 3 2 3 2" xfId="35544"/>
    <cellStyle name="Vérification 2 3 4 7 3 2 4" xfId="13070"/>
    <cellStyle name="Vérification 2 3 4 7 3 2 5" xfId="29291"/>
    <cellStyle name="Vérification 2 3 4 7 3 3" xfId="7699"/>
    <cellStyle name="Vérification 2 3 4 7 3 3 2" xfId="23923"/>
    <cellStyle name="Vérification 2 3 4 7 3 3 2 2" xfId="35930"/>
    <cellStyle name="Vérification 2 3 4 7 3 3 3" xfId="13706"/>
    <cellStyle name="Vérification 2 3 4 7 3 3 4" xfId="29927"/>
    <cellStyle name="Vérification 2 3 4 7 3 4" xfId="22402"/>
    <cellStyle name="Vérification 2 3 4 7 3 4 2" xfId="34505"/>
    <cellStyle name="Vérification 2 3 4 7 3 5" xfId="11054"/>
    <cellStyle name="Vérification 2 3 4 7 3 6" xfId="27275"/>
    <cellStyle name="Vérification 2 3 4 7 4" xfId="3804"/>
    <cellStyle name="Vérification 2 3 4 7 4 2" xfId="8643"/>
    <cellStyle name="Vérification 2 3 4 7 4 2 2" xfId="24867"/>
    <cellStyle name="Vérification 2 3 4 7 4 2 2 2" xfId="36874"/>
    <cellStyle name="Vérification 2 3 4 7 4 2 3" xfId="14650"/>
    <cellStyle name="Vérification 2 3 4 7 4 2 4" xfId="30871"/>
    <cellStyle name="Vérification 2 3 4 7 4 3" xfId="10033"/>
    <cellStyle name="Vérification 2 3 4 7 4 3 2" xfId="26257"/>
    <cellStyle name="Vérification 2 3 4 7 4 3 2 2" xfId="38264"/>
    <cellStyle name="Vérification 2 3 4 7 4 3 3" xfId="16040"/>
    <cellStyle name="Vérification 2 3 4 7 4 3 4" xfId="32261"/>
    <cellStyle name="Vérification 2 3 4 7 4 4" xfId="20032"/>
    <cellStyle name="Vérification 2 3 4 7 4 4 2" xfId="34146"/>
    <cellStyle name="Vérification 2 3 4 7 4 5" xfId="12198"/>
    <cellStyle name="Vérification 2 3 4 7 4 6" xfId="28419"/>
    <cellStyle name="Vérification 2 3 4 7 5" xfId="6676"/>
    <cellStyle name="Vérification 2 3 4 7 5 2" xfId="9032"/>
    <cellStyle name="Vérification 2 3 4 7 5 2 2" xfId="25256"/>
    <cellStyle name="Vérification 2 3 4 7 5 2 2 2" xfId="37263"/>
    <cellStyle name="Vérification 2 3 4 7 5 2 3" xfId="15039"/>
    <cellStyle name="Vérification 2 3 4 7 5 2 4" xfId="31260"/>
    <cellStyle name="Vérification 2 3 4 7 5 3" xfId="22900"/>
    <cellStyle name="Vérification 2 3 4 7 5 3 2" xfId="34907"/>
    <cellStyle name="Vérification 2 3 4 7 5 4" xfId="12736"/>
    <cellStyle name="Vérification 2 3 4 7 5 5" xfId="28957"/>
    <cellStyle name="Vérification 2 3 4 7 6" xfId="7043"/>
    <cellStyle name="Vérification 2 3 4 7 6 2" xfId="23267"/>
    <cellStyle name="Vérification 2 3 4 7 6 2 2" xfId="35274"/>
    <cellStyle name="Vérification 2 3 4 7 6 3" xfId="13538"/>
    <cellStyle name="Vérification 2 3 4 7 6 4" xfId="29759"/>
    <cellStyle name="Vérification 2 3 4 7 7" xfId="18718"/>
    <cellStyle name="Vérification 2 3 4 7 7 2" xfId="32928"/>
    <cellStyle name="Vérification 2 3 4 7 8" xfId="10702"/>
    <cellStyle name="Vérification 2 3 4 7 9" xfId="26925"/>
    <cellStyle name="Vérification 2 3 4 8" xfId="2607"/>
    <cellStyle name="Vérification 2 3 4 8 2" xfId="2940"/>
    <cellStyle name="Vérification 2 3 4 8 2 2" xfId="6628"/>
    <cellStyle name="Vérification 2 3 4 8 2 2 2" xfId="9009"/>
    <cellStyle name="Vérification 2 3 4 8 2 2 2 2" xfId="25233"/>
    <cellStyle name="Vérification 2 3 4 8 2 2 2 2 2" xfId="37240"/>
    <cellStyle name="Vérification 2 3 4 8 2 2 2 3" xfId="15016"/>
    <cellStyle name="Vérification 2 3 4 8 2 2 2 4" xfId="31237"/>
    <cellStyle name="Vérification 2 3 4 8 2 2 3" xfId="10387"/>
    <cellStyle name="Vérification 2 3 4 8 2 2 3 2" xfId="26611"/>
    <cellStyle name="Vérification 2 3 4 8 2 2 3 2 2" xfId="38618"/>
    <cellStyle name="Vérification 2 3 4 8 2 2 3 3" xfId="16394"/>
    <cellStyle name="Vérification 2 3 4 8 2 2 3 4" xfId="32615"/>
    <cellStyle name="Vérification 2 3 4 8 2 2 4" xfId="22852"/>
    <cellStyle name="Vérification 2 3 4 8 2 2 4 2" xfId="34859"/>
    <cellStyle name="Vérification 2 3 4 8 2 2 5" xfId="12713"/>
    <cellStyle name="Vérification 2 3 4 8 2 2 6" xfId="28934"/>
    <cellStyle name="Vérification 2 3 4 8 2 3" xfId="7676"/>
    <cellStyle name="Vérification 2 3 4 8 2 3 2" xfId="9720"/>
    <cellStyle name="Vérification 2 3 4 8 2 3 2 2" xfId="25944"/>
    <cellStyle name="Vérification 2 3 4 8 2 3 2 2 2" xfId="37951"/>
    <cellStyle name="Vérification 2 3 4 8 2 3 2 3" xfId="15727"/>
    <cellStyle name="Vérification 2 3 4 8 2 3 2 4" xfId="31948"/>
    <cellStyle name="Vérification 2 3 4 8 2 3 3" xfId="23900"/>
    <cellStyle name="Vérification 2 3 4 8 2 3 3 2" xfId="35907"/>
    <cellStyle name="Vérification 2 3 4 8 2 3 4" xfId="13424"/>
    <cellStyle name="Vérification 2 3 4 8 2 3 5" xfId="29645"/>
    <cellStyle name="Vérification 2 3 4 8 2 4" xfId="8053"/>
    <cellStyle name="Vérification 2 3 4 8 2 4 2" xfId="24277"/>
    <cellStyle name="Vérification 2 3 4 8 2 4 2 2" xfId="36284"/>
    <cellStyle name="Vérification 2 3 4 8 2 4 3" xfId="14060"/>
    <cellStyle name="Vérification 2 3 4 8 2 4 4" xfId="30281"/>
    <cellStyle name="Vérification 2 3 4 8 2 5" xfId="19168"/>
    <cellStyle name="Vérification 2 3 4 8 2 5 2" xfId="33282"/>
    <cellStyle name="Vérification 2 3 4 8 2 6" xfId="11409"/>
    <cellStyle name="Vérification 2 3 4 8 2 7" xfId="27630"/>
    <cellStyle name="Vérification 2 3 4 8 3" xfId="6295"/>
    <cellStyle name="Vérification 2 3 4 8 3 2" xfId="7343"/>
    <cellStyle name="Vérification 2 3 4 8 3 2 2" xfId="9387"/>
    <cellStyle name="Vérification 2 3 4 8 3 2 2 2" xfId="25611"/>
    <cellStyle name="Vérification 2 3 4 8 3 2 2 2 2" xfId="37618"/>
    <cellStyle name="Vérification 2 3 4 8 3 2 2 3" xfId="15394"/>
    <cellStyle name="Vérification 2 3 4 8 3 2 2 4" xfId="31615"/>
    <cellStyle name="Vérification 2 3 4 8 3 2 3" xfId="23567"/>
    <cellStyle name="Vérification 2 3 4 8 3 2 3 2" xfId="35574"/>
    <cellStyle name="Vérification 2 3 4 8 3 2 4" xfId="13091"/>
    <cellStyle name="Vérification 2 3 4 8 3 2 5" xfId="29312"/>
    <cellStyle name="Vérification 2 3 4 8 3 3" xfId="7720"/>
    <cellStyle name="Vérification 2 3 4 8 3 3 2" xfId="23944"/>
    <cellStyle name="Vérification 2 3 4 8 3 3 2 2" xfId="35951"/>
    <cellStyle name="Vérification 2 3 4 8 3 3 3" xfId="13727"/>
    <cellStyle name="Vérification 2 3 4 8 3 3 4" xfId="29948"/>
    <cellStyle name="Vérification 2 3 4 8 3 4" xfId="22519"/>
    <cellStyle name="Vérification 2 3 4 8 3 4 2" xfId="34526"/>
    <cellStyle name="Vérification 2 3 4 8 3 5" xfId="11076"/>
    <cellStyle name="Vérification 2 3 4 8 3 6" xfId="27297"/>
    <cellStyle name="Vérification 2 3 4 8 4" xfId="3850"/>
    <cellStyle name="Vérification 2 3 4 8 4 2" xfId="8676"/>
    <cellStyle name="Vérification 2 3 4 8 4 2 2" xfId="24900"/>
    <cellStyle name="Vérification 2 3 4 8 4 2 2 2" xfId="36907"/>
    <cellStyle name="Vérification 2 3 4 8 4 2 3" xfId="14683"/>
    <cellStyle name="Vérification 2 3 4 8 4 2 4" xfId="30904"/>
    <cellStyle name="Vérification 2 3 4 8 4 3" xfId="10054"/>
    <cellStyle name="Vérification 2 3 4 8 4 3 2" xfId="26278"/>
    <cellStyle name="Vérification 2 3 4 8 4 3 2 2" xfId="38285"/>
    <cellStyle name="Vérification 2 3 4 8 4 3 3" xfId="16061"/>
    <cellStyle name="Vérification 2 3 4 8 4 3 4" xfId="32282"/>
    <cellStyle name="Vérification 2 3 4 8 4 4" xfId="20078"/>
    <cellStyle name="Vérification 2 3 4 8 4 4 2" xfId="34192"/>
    <cellStyle name="Vérification 2 3 4 8 4 5" xfId="12231"/>
    <cellStyle name="Vérification 2 3 4 8 4 6" xfId="28452"/>
    <cellStyle name="Vérification 2 3 4 8 5" xfId="6707"/>
    <cellStyle name="Vérification 2 3 4 8 5 2" xfId="9053"/>
    <cellStyle name="Vérification 2 3 4 8 5 2 2" xfId="25277"/>
    <cellStyle name="Vérification 2 3 4 8 5 2 2 2" xfId="37284"/>
    <cellStyle name="Vérification 2 3 4 8 5 2 3" xfId="15060"/>
    <cellStyle name="Vérification 2 3 4 8 5 2 4" xfId="31281"/>
    <cellStyle name="Vérification 2 3 4 8 5 3" xfId="22931"/>
    <cellStyle name="Vérification 2 3 4 8 5 3 2" xfId="34938"/>
    <cellStyle name="Vérification 2 3 4 8 5 4" xfId="12757"/>
    <cellStyle name="Vérification 2 3 4 8 5 5" xfId="28978"/>
    <cellStyle name="Vérification 2 3 4 8 6" xfId="7302"/>
    <cellStyle name="Vérification 2 3 4 8 6 2" xfId="23526"/>
    <cellStyle name="Vérification 2 3 4 8 6 2 2" xfId="35533"/>
    <cellStyle name="Vérification 2 3 4 8 6 3" xfId="13682"/>
    <cellStyle name="Vérification 2 3 4 8 6 4" xfId="29903"/>
    <cellStyle name="Vérification 2 3 4 8 7" xfId="18835"/>
    <cellStyle name="Vérification 2 3 4 8 7 2" xfId="32949"/>
    <cellStyle name="Vérification 2 3 4 8 8" xfId="10723"/>
    <cellStyle name="Vérification 2 3 4 8 9" xfId="26946"/>
    <cellStyle name="Vérification 2 3 4 9" xfId="2629"/>
    <cellStyle name="Vérification 2 3 4 9 2" xfId="6317"/>
    <cellStyle name="Vérification 2 3 4 9 2 2" xfId="8698"/>
    <cellStyle name="Vérification 2 3 4 9 2 2 2" xfId="24922"/>
    <cellStyle name="Vérification 2 3 4 9 2 2 2 2" xfId="36929"/>
    <cellStyle name="Vérification 2 3 4 9 2 2 3" xfId="14705"/>
    <cellStyle name="Vérification 2 3 4 9 2 2 4" xfId="30926"/>
    <cellStyle name="Vérification 2 3 4 9 2 3" xfId="10076"/>
    <cellStyle name="Vérification 2 3 4 9 2 3 2" xfId="26300"/>
    <cellStyle name="Vérification 2 3 4 9 2 3 2 2" xfId="38307"/>
    <cellStyle name="Vérification 2 3 4 9 2 3 3" xfId="16083"/>
    <cellStyle name="Vérification 2 3 4 9 2 3 4" xfId="32304"/>
    <cellStyle name="Vérification 2 3 4 9 2 4" xfId="22541"/>
    <cellStyle name="Vérification 2 3 4 9 2 4 2" xfId="34548"/>
    <cellStyle name="Vérification 2 3 4 9 2 5" xfId="12402"/>
    <cellStyle name="Vérification 2 3 4 9 2 6" xfId="28623"/>
    <cellStyle name="Vérification 2 3 4 9 3" xfId="7365"/>
    <cellStyle name="Vérification 2 3 4 9 3 2" xfId="9409"/>
    <cellStyle name="Vérification 2 3 4 9 3 2 2" xfId="25633"/>
    <cellStyle name="Vérification 2 3 4 9 3 2 2 2" xfId="37640"/>
    <cellStyle name="Vérification 2 3 4 9 3 2 3" xfId="15416"/>
    <cellStyle name="Vérification 2 3 4 9 3 2 4" xfId="31637"/>
    <cellStyle name="Vérification 2 3 4 9 3 3" xfId="23589"/>
    <cellStyle name="Vérification 2 3 4 9 3 3 2" xfId="35596"/>
    <cellStyle name="Vérification 2 3 4 9 3 4" xfId="13113"/>
    <cellStyle name="Vérification 2 3 4 9 3 5" xfId="29334"/>
    <cellStyle name="Vérification 2 3 4 9 4" xfId="7742"/>
    <cellStyle name="Vérification 2 3 4 9 4 2" xfId="23966"/>
    <cellStyle name="Vérification 2 3 4 9 4 2 2" xfId="35973"/>
    <cellStyle name="Vérification 2 3 4 9 4 3" xfId="13749"/>
    <cellStyle name="Vérification 2 3 4 9 4 4" xfId="29970"/>
    <cellStyle name="Vérification 2 3 4 9 5" xfId="18857"/>
    <cellStyle name="Vérification 2 3 4 9 5 2" xfId="32971"/>
    <cellStyle name="Vérification 2 3 4 9 6" xfId="11098"/>
    <cellStyle name="Vérification 2 3 4 9 7" xfId="27319"/>
    <cellStyle name="Vérification 2 3 5" xfId="210"/>
    <cellStyle name="Vérification 2 3 5 10" xfId="3967"/>
    <cellStyle name="Vérification 2 3 5 10 2" xfId="6750"/>
    <cellStyle name="Vérification 2 3 5 10 2 2" xfId="9078"/>
    <cellStyle name="Vérification 2 3 5 10 2 2 2" xfId="25302"/>
    <cellStyle name="Vérification 2 3 5 10 2 2 2 2" xfId="37309"/>
    <cellStyle name="Vérification 2 3 5 10 2 2 3" xfId="15085"/>
    <cellStyle name="Vérification 2 3 5 10 2 2 4" xfId="31306"/>
    <cellStyle name="Vérification 2 3 5 10 2 3" xfId="22974"/>
    <cellStyle name="Vérification 2 3 5 10 2 3 2" xfId="34981"/>
    <cellStyle name="Vérification 2 3 5 10 2 4" xfId="12782"/>
    <cellStyle name="Vérification 2 3 5 10 2 5" xfId="29003"/>
    <cellStyle name="Vérification 2 3 5 10 3" xfId="3783"/>
    <cellStyle name="Vérification 2 3 5 10 3 2" xfId="20011"/>
    <cellStyle name="Vérification 2 3 5 10 3 2 2" xfId="34125"/>
    <cellStyle name="Vérification 2 3 5 10 3 3" xfId="12356"/>
    <cellStyle name="Vérification 2 3 5 10 3 4" xfId="28577"/>
    <cellStyle name="Vérification 2 3 5 10 4" xfId="20194"/>
    <cellStyle name="Vérification 2 3 5 10 4 2" xfId="34217"/>
    <cellStyle name="Vérification 2 3 5 10 5" xfId="10755"/>
    <cellStyle name="Vérification 2 3 5 10 6" xfId="26978"/>
    <cellStyle name="Vérification 2 3 5 11" xfId="3010"/>
    <cellStyle name="Vérification 2 3 5 11 2" xfId="8095"/>
    <cellStyle name="Vérification 2 3 5 11 2 2" xfId="24319"/>
    <cellStyle name="Vérification 2 3 5 11 2 2 2" xfId="36326"/>
    <cellStyle name="Vérification 2 3 5 11 2 3" xfId="14102"/>
    <cellStyle name="Vérification 2 3 5 11 2 4" xfId="30323"/>
    <cellStyle name="Vérification 2 3 5 11 3" xfId="9745"/>
    <cellStyle name="Vérification 2 3 5 11 3 2" xfId="25969"/>
    <cellStyle name="Vérification 2 3 5 11 3 2 2" xfId="37976"/>
    <cellStyle name="Vérification 2 3 5 11 3 3" xfId="15752"/>
    <cellStyle name="Vérification 2 3 5 11 3 4" xfId="31973"/>
    <cellStyle name="Vérification 2 3 5 11 4" xfId="19238"/>
    <cellStyle name="Vérification 2 3 5 11 4 2" xfId="33352"/>
    <cellStyle name="Vérification 2 3 5 11 5" xfId="11650"/>
    <cellStyle name="Vérification 2 3 5 11 6" xfId="27871"/>
    <cellStyle name="Vérification 2 3 5 12" xfId="3322"/>
    <cellStyle name="Vérification 2 3 5 12 2" xfId="8305"/>
    <cellStyle name="Vérification 2 3 5 12 2 2" xfId="24529"/>
    <cellStyle name="Vérification 2 3 5 12 2 2 2" xfId="36536"/>
    <cellStyle name="Vérification 2 3 5 12 2 3" xfId="14312"/>
    <cellStyle name="Vérification 2 3 5 12 2 4" xfId="30533"/>
    <cellStyle name="Vérification 2 3 5 12 3" xfId="19550"/>
    <cellStyle name="Vérification 2 3 5 12 3 2" xfId="33664"/>
    <cellStyle name="Vérification 2 3 5 12 4" xfId="11860"/>
    <cellStyle name="Vérification 2 3 5 12 5" xfId="28081"/>
    <cellStyle name="Vérification 2 3 5 13" xfId="7267"/>
    <cellStyle name="Vérification 2 3 5 13 2" xfId="23491"/>
    <cellStyle name="Vérification 2 3 5 13 2 2" xfId="35498"/>
    <cellStyle name="Vérification 2 3 5 13 3" xfId="13651"/>
    <cellStyle name="Vérification 2 3 5 13 4" xfId="29872"/>
    <cellStyle name="Vérification 2 3 5 14" xfId="16510"/>
    <cellStyle name="Vérification 2 3 5 14 2" xfId="32640"/>
    <cellStyle name="Vérification 2 3 5 15" xfId="10412"/>
    <cellStyle name="Vérification 2 3 5 16" xfId="26637"/>
    <cellStyle name="Vérification 2 3 5 2" xfId="416"/>
    <cellStyle name="Vérification 2 3 5 2 10" xfId="10435"/>
    <cellStyle name="Vérification 2 3 5 2 11" xfId="26660"/>
    <cellStyle name="Vérification 2 3 5 2 2" xfId="1354"/>
    <cellStyle name="Vérification 2 3 5 2 2 2" xfId="2832"/>
    <cellStyle name="Vérification 2 3 5 2 2 2 2" xfId="6520"/>
    <cellStyle name="Vérification 2 3 5 2 2 2 2 2" xfId="8901"/>
    <cellStyle name="Vérification 2 3 5 2 2 2 2 2 2" xfId="25125"/>
    <cellStyle name="Vérification 2 3 5 2 2 2 2 2 2 2" xfId="37132"/>
    <cellStyle name="Vérification 2 3 5 2 2 2 2 2 3" xfId="14908"/>
    <cellStyle name="Vérification 2 3 5 2 2 2 2 2 4" xfId="31129"/>
    <cellStyle name="Vérification 2 3 5 2 2 2 2 3" xfId="10279"/>
    <cellStyle name="Vérification 2 3 5 2 2 2 2 3 2" xfId="26503"/>
    <cellStyle name="Vérification 2 3 5 2 2 2 2 3 2 2" xfId="38510"/>
    <cellStyle name="Vérification 2 3 5 2 2 2 2 3 3" xfId="16286"/>
    <cellStyle name="Vérification 2 3 5 2 2 2 2 3 4" xfId="32507"/>
    <cellStyle name="Vérification 2 3 5 2 2 2 2 4" xfId="22744"/>
    <cellStyle name="Vérification 2 3 5 2 2 2 2 4 2" xfId="34751"/>
    <cellStyle name="Vérification 2 3 5 2 2 2 2 5" xfId="12605"/>
    <cellStyle name="Vérification 2 3 5 2 2 2 2 6" xfId="28826"/>
    <cellStyle name="Vérification 2 3 5 2 2 2 3" xfId="7568"/>
    <cellStyle name="Vérification 2 3 5 2 2 2 3 2" xfId="9612"/>
    <cellStyle name="Vérification 2 3 5 2 2 2 3 2 2" xfId="25836"/>
    <cellStyle name="Vérification 2 3 5 2 2 2 3 2 2 2" xfId="37843"/>
    <cellStyle name="Vérification 2 3 5 2 2 2 3 2 3" xfId="15619"/>
    <cellStyle name="Vérification 2 3 5 2 2 2 3 2 4" xfId="31840"/>
    <cellStyle name="Vérification 2 3 5 2 2 2 3 3" xfId="23792"/>
    <cellStyle name="Vérification 2 3 5 2 2 2 3 3 2" xfId="35799"/>
    <cellStyle name="Vérification 2 3 5 2 2 2 3 4" xfId="13316"/>
    <cellStyle name="Vérification 2 3 5 2 2 2 3 5" xfId="29537"/>
    <cellStyle name="Vérification 2 3 5 2 2 2 4" xfId="7945"/>
    <cellStyle name="Vérification 2 3 5 2 2 2 4 2" xfId="24169"/>
    <cellStyle name="Vérification 2 3 5 2 2 2 4 2 2" xfId="36176"/>
    <cellStyle name="Vérification 2 3 5 2 2 2 4 3" xfId="13952"/>
    <cellStyle name="Vérification 2 3 5 2 2 2 4 4" xfId="30173"/>
    <cellStyle name="Vérification 2 3 5 2 2 2 5" xfId="19060"/>
    <cellStyle name="Vérification 2 3 5 2 2 2 5 2" xfId="33174"/>
    <cellStyle name="Vérification 2 3 5 2 2 2 6" xfId="11301"/>
    <cellStyle name="Vérification 2 3 5 2 2 2 7" xfId="27522"/>
    <cellStyle name="Vérification 2 3 5 2 2 3" xfId="5051"/>
    <cellStyle name="Vérification 2 3 5 2 2 3 2" xfId="7078"/>
    <cellStyle name="Vérification 2 3 5 2 2 3 2 2" xfId="9279"/>
    <cellStyle name="Vérification 2 3 5 2 2 3 2 2 2" xfId="25503"/>
    <cellStyle name="Vérification 2 3 5 2 2 3 2 2 2 2" xfId="37510"/>
    <cellStyle name="Vérification 2 3 5 2 2 3 2 2 3" xfId="15286"/>
    <cellStyle name="Vérification 2 3 5 2 2 3 2 2 4" xfId="31507"/>
    <cellStyle name="Vérification 2 3 5 2 2 3 2 3" xfId="23302"/>
    <cellStyle name="Vérification 2 3 5 2 2 3 2 3 2" xfId="35309"/>
    <cellStyle name="Vérification 2 3 5 2 2 3 2 4" xfId="12983"/>
    <cellStyle name="Vérification 2 3 5 2 2 3 2 5" xfId="29204"/>
    <cellStyle name="Vérification 2 3 5 2 2 3 3" xfId="6679"/>
    <cellStyle name="Vérification 2 3 5 2 2 3 3 2" xfId="22903"/>
    <cellStyle name="Vérification 2 3 5 2 2 3 3 2 2" xfId="34910"/>
    <cellStyle name="Vérification 2 3 5 2 2 3 3 3" xfId="11542"/>
    <cellStyle name="Vérification 2 3 5 2 2 3 3 4" xfId="27763"/>
    <cellStyle name="Vérification 2 3 5 2 2 3 4" xfId="21277"/>
    <cellStyle name="Vérification 2 3 5 2 2 3 4 2" xfId="34418"/>
    <cellStyle name="Vérification 2 3 5 2 2 3 5" xfId="10965"/>
    <cellStyle name="Vérification 2 3 5 2 2 3 6" xfId="27188"/>
    <cellStyle name="Vérification 2 3 5 2 2 4" xfId="3442"/>
    <cellStyle name="Vérification 2 3 5 2 2 4 2" xfId="8409"/>
    <cellStyle name="Vérification 2 3 5 2 2 4 2 2" xfId="24633"/>
    <cellStyle name="Vérification 2 3 5 2 2 4 2 2 2" xfId="36640"/>
    <cellStyle name="Vérification 2 3 5 2 2 4 2 3" xfId="14416"/>
    <cellStyle name="Vérification 2 3 5 2 2 4 2 4" xfId="30637"/>
    <cellStyle name="Vérification 2 3 5 2 2 4 3" xfId="9946"/>
    <cellStyle name="Vérification 2 3 5 2 2 4 3 2" xfId="26170"/>
    <cellStyle name="Vérification 2 3 5 2 2 4 3 2 2" xfId="38177"/>
    <cellStyle name="Vérification 2 3 5 2 2 4 3 3" xfId="15953"/>
    <cellStyle name="Vérification 2 3 5 2 2 4 3 4" xfId="32174"/>
    <cellStyle name="Vérification 2 3 5 2 2 4 4" xfId="19670"/>
    <cellStyle name="Vérification 2 3 5 2 2 4 4 2" xfId="33784"/>
    <cellStyle name="Vérification 2 3 5 2 2 4 5" xfId="11964"/>
    <cellStyle name="Vérification 2 3 5 2 2 4 6" xfId="28185"/>
    <cellStyle name="Vérification 2 3 5 2 2 5" xfId="3051"/>
    <cellStyle name="Vérification 2 3 5 2 2 5 2" xfId="8121"/>
    <cellStyle name="Vérification 2 3 5 2 2 5 2 2" xfId="24345"/>
    <cellStyle name="Vérification 2 3 5 2 2 5 2 2 2" xfId="36352"/>
    <cellStyle name="Vérification 2 3 5 2 2 5 2 3" xfId="14128"/>
    <cellStyle name="Vérification 2 3 5 2 2 5 2 4" xfId="30349"/>
    <cellStyle name="Vérification 2 3 5 2 2 5 3" xfId="19279"/>
    <cellStyle name="Vérification 2 3 5 2 2 5 3 2" xfId="33393"/>
    <cellStyle name="Vérification 2 3 5 2 2 5 4" xfId="11676"/>
    <cellStyle name="Vérification 2 3 5 2 2 5 5" xfId="27897"/>
    <cellStyle name="Vérification 2 3 5 2 2 6" xfId="3346"/>
    <cellStyle name="Vérification 2 3 5 2 2 6 2" xfId="19574"/>
    <cellStyle name="Vérification 2 3 5 2 2 6 2 2" xfId="33688"/>
    <cellStyle name="Vérification 2 3 5 2 2 6 3" xfId="11592"/>
    <cellStyle name="Vérification 2 3 5 2 2 6 4" xfId="27813"/>
    <cellStyle name="Vérification 2 3 5 2 2 7" xfId="17593"/>
    <cellStyle name="Vérification 2 3 5 2 2 7 2" xfId="32841"/>
    <cellStyle name="Vérification 2 3 5 2 2 8" xfId="10613"/>
    <cellStyle name="Vérification 2 3 5 2 2 9" xfId="26838"/>
    <cellStyle name="Vérification 2 3 5 2 3" xfId="1031"/>
    <cellStyle name="Vérification 2 3 5 2 3 2" xfId="2743"/>
    <cellStyle name="Vérification 2 3 5 2 3 2 2" xfId="6431"/>
    <cellStyle name="Vérification 2 3 5 2 3 2 2 2" xfId="8812"/>
    <cellStyle name="Vérification 2 3 5 2 3 2 2 2 2" xfId="25036"/>
    <cellStyle name="Vérification 2 3 5 2 3 2 2 2 2 2" xfId="37043"/>
    <cellStyle name="Vérification 2 3 5 2 3 2 2 2 3" xfId="14819"/>
    <cellStyle name="Vérification 2 3 5 2 3 2 2 2 4" xfId="31040"/>
    <cellStyle name="Vérification 2 3 5 2 3 2 2 3" xfId="10190"/>
    <cellStyle name="Vérification 2 3 5 2 3 2 2 3 2" xfId="26414"/>
    <cellStyle name="Vérification 2 3 5 2 3 2 2 3 2 2" xfId="38421"/>
    <cellStyle name="Vérification 2 3 5 2 3 2 2 3 3" xfId="16197"/>
    <cellStyle name="Vérification 2 3 5 2 3 2 2 3 4" xfId="32418"/>
    <cellStyle name="Vérification 2 3 5 2 3 2 2 4" xfId="22655"/>
    <cellStyle name="Vérification 2 3 5 2 3 2 2 4 2" xfId="34662"/>
    <cellStyle name="Vérification 2 3 5 2 3 2 2 5" xfId="12516"/>
    <cellStyle name="Vérification 2 3 5 2 3 2 2 6" xfId="28737"/>
    <cellStyle name="Vérification 2 3 5 2 3 2 3" xfId="7479"/>
    <cellStyle name="Vérification 2 3 5 2 3 2 3 2" xfId="9523"/>
    <cellStyle name="Vérification 2 3 5 2 3 2 3 2 2" xfId="25747"/>
    <cellStyle name="Vérification 2 3 5 2 3 2 3 2 2 2" xfId="37754"/>
    <cellStyle name="Vérification 2 3 5 2 3 2 3 2 3" xfId="15530"/>
    <cellStyle name="Vérification 2 3 5 2 3 2 3 2 4" xfId="31751"/>
    <cellStyle name="Vérification 2 3 5 2 3 2 3 3" xfId="23703"/>
    <cellStyle name="Vérification 2 3 5 2 3 2 3 3 2" xfId="35710"/>
    <cellStyle name="Vérification 2 3 5 2 3 2 3 4" xfId="13227"/>
    <cellStyle name="Vérification 2 3 5 2 3 2 3 5" xfId="29448"/>
    <cellStyle name="Vérification 2 3 5 2 3 2 4" xfId="7856"/>
    <cellStyle name="Vérification 2 3 5 2 3 2 4 2" xfId="24080"/>
    <cellStyle name="Vérification 2 3 5 2 3 2 4 2 2" xfId="36087"/>
    <cellStyle name="Vérification 2 3 5 2 3 2 4 3" xfId="13863"/>
    <cellStyle name="Vérification 2 3 5 2 3 2 4 4" xfId="30084"/>
    <cellStyle name="Vérification 2 3 5 2 3 2 5" xfId="18971"/>
    <cellStyle name="Vérification 2 3 5 2 3 2 5 2" xfId="33085"/>
    <cellStyle name="Vérification 2 3 5 2 3 2 6" xfId="11212"/>
    <cellStyle name="Vérification 2 3 5 2 3 2 7" xfId="27433"/>
    <cellStyle name="Vérification 2 3 5 2 3 3" xfId="4728"/>
    <cellStyle name="Vérification 2 3 5 2 3 3 2" xfId="6962"/>
    <cellStyle name="Vérification 2 3 5 2 3 3 2 2" xfId="9190"/>
    <cellStyle name="Vérification 2 3 5 2 3 3 2 2 2" xfId="25414"/>
    <cellStyle name="Vérification 2 3 5 2 3 3 2 2 2 2" xfId="37421"/>
    <cellStyle name="Vérification 2 3 5 2 3 3 2 2 3" xfId="15197"/>
    <cellStyle name="Vérification 2 3 5 2 3 3 2 2 4" xfId="31418"/>
    <cellStyle name="Vérification 2 3 5 2 3 3 2 3" xfId="23186"/>
    <cellStyle name="Vérification 2 3 5 2 3 3 2 3 2" xfId="35193"/>
    <cellStyle name="Vérification 2 3 5 2 3 3 2 4" xfId="12894"/>
    <cellStyle name="Vérification 2 3 5 2 3 3 2 5" xfId="29115"/>
    <cellStyle name="Vérification 2 3 5 2 3 3 3" xfId="3279"/>
    <cellStyle name="Vérification 2 3 5 2 3 3 3 2" xfId="19507"/>
    <cellStyle name="Vérification 2 3 5 2 3 3 3 2 2" xfId="33621"/>
    <cellStyle name="Vérification 2 3 5 2 3 3 3 3" xfId="11499"/>
    <cellStyle name="Vérification 2 3 5 2 3 3 3 4" xfId="27720"/>
    <cellStyle name="Vérification 2 3 5 2 3 3 4" xfId="20954"/>
    <cellStyle name="Vérification 2 3 5 2 3 3 4 2" xfId="34329"/>
    <cellStyle name="Vérification 2 3 5 2 3 3 5" xfId="10876"/>
    <cellStyle name="Vérification 2 3 5 2 3 3 6" xfId="27099"/>
    <cellStyle name="Vérification 2 3 5 2 3 4" xfId="3297"/>
    <cellStyle name="Vérification 2 3 5 2 3 4 2" xfId="8286"/>
    <cellStyle name="Vérification 2 3 5 2 3 4 2 2" xfId="24510"/>
    <cellStyle name="Vérification 2 3 5 2 3 4 2 2 2" xfId="36517"/>
    <cellStyle name="Vérification 2 3 5 2 3 4 2 3" xfId="14293"/>
    <cellStyle name="Vérification 2 3 5 2 3 4 2 4" xfId="30514"/>
    <cellStyle name="Vérification 2 3 5 2 3 4 3" xfId="9857"/>
    <cellStyle name="Vérification 2 3 5 2 3 4 3 2" xfId="26081"/>
    <cellStyle name="Vérification 2 3 5 2 3 4 3 2 2" xfId="38088"/>
    <cellStyle name="Vérification 2 3 5 2 3 4 3 3" xfId="15864"/>
    <cellStyle name="Vérification 2 3 5 2 3 4 3 4" xfId="32085"/>
    <cellStyle name="Vérification 2 3 5 2 3 4 4" xfId="19525"/>
    <cellStyle name="Vérification 2 3 5 2 3 4 4 2" xfId="33639"/>
    <cellStyle name="Vérification 2 3 5 2 3 4 5" xfId="11841"/>
    <cellStyle name="Vérification 2 3 5 2 3 4 6" xfId="28062"/>
    <cellStyle name="Vérification 2 3 5 2 3 5" xfId="3829"/>
    <cellStyle name="Vérification 2 3 5 2 3 5 2" xfId="8658"/>
    <cellStyle name="Vérification 2 3 5 2 3 5 2 2" xfId="24882"/>
    <cellStyle name="Vérification 2 3 5 2 3 5 2 2 2" xfId="36889"/>
    <cellStyle name="Vérification 2 3 5 2 3 5 2 3" xfId="14665"/>
    <cellStyle name="Vérification 2 3 5 2 3 5 2 4" xfId="30886"/>
    <cellStyle name="Vérification 2 3 5 2 3 5 3" xfId="20057"/>
    <cellStyle name="Vérification 2 3 5 2 3 5 3 2" xfId="34171"/>
    <cellStyle name="Vérification 2 3 5 2 3 5 4" xfId="12213"/>
    <cellStyle name="Vérification 2 3 5 2 3 5 5" xfId="28434"/>
    <cellStyle name="Vérification 2 3 5 2 3 6" xfId="3405"/>
    <cellStyle name="Vérification 2 3 5 2 3 6 2" xfId="19633"/>
    <cellStyle name="Vérification 2 3 5 2 3 6 2 2" xfId="33747"/>
    <cellStyle name="Vérification 2 3 5 2 3 6 3" xfId="11422"/>
    <cellStyle name="Vérification 2 3 5 2 3 6 4" xfId="27643"/>
    <cellStyle name="Vérification 2 3 5 2 3 7" xfId="17270"/>
    <cellStyle name="Vérification 2 3 5 2 3 7 2" xfId="32752"/>
    <cellStyle name="Vérification 2 3 5 2 3 8" xfId="10524"/>
    <cellStyle name="Vérification 2 3 5 2 3 9" xfId="26749"/>
    <cellStyle name="Vérification 2 3 5 2 4" xfId="2654"/>
    <cellStyle name="Vérification 2 3 5 2 4 2" xfId="6342"/>
    <cellStyle name="Vérification 2 3 5 2 4 2 2" xfId="8723"/>
    <cellStyle name="Vérification 2 3 5 2 4 2 2 2" xfId="24947"/>
    <cellStyle name="Vérification 2 3 5 2 4 2 2 2 2" xfId="36954"/>
    <cellStyle name="Vérification 2 3 5 2 4 2 2 3" xfId="14730"/>
    <cellStyle name="Vérification 2 3 5 2 4 2 2 4" xfId="30951"/>
    <cellStyle name="Vérification 2 3 5 2 4 2 3" xfId="10101"/>
    <cellStyle name="Vérification 2 3 5 2 4 2 3 2" xfId="26325"/>
    <cellStyle name="Vérification 2 3 5 2 4 2 3 2 2" xfId="38332"/>
    <cellStyle name="Vérification 2 3 5 2 4 2 3 3" xfId="16108"/>
    <cellStyle name="Vérification 2 3 5 2 4 2 3 4" xfId="32329"/>
    <cellStyle name="Vérification 2 3 5 2 4 2 4" xfId="22566"/>
    <cellStyle name="Vérification 2 3 5 2 4 2 4 2" xfId="34573"/>
    <cellStyle name="Vérification 2 3 5 2 4 2 5" xfId="12427"/>
    <cellStyle name="Vérification 2 3 5 2 4 2 6" xfId="28648"/>
    <cellStyle name="Vérification 2 3 5 2 4 3" xfId="7390"/>
    <cellStyle name="Vérification 2 3 5 2 4 3 2" xfId="9434"/>
    <cellStyle name="Vérification 2 3 5 2 4 3 2 2" xfId="25658"/>
    <cellStyle name="Vérification 2 3 5 2 4 3 2 2 2" xfId="37665"/>
    <cellStyle name="Vérification 2 3 5 2 4 3 2 3" xfId="15441"/>
    <cellStyle name="Vérification 2 3 5 2 4 3 2 4" xfId="31662"/>
    <cellStyle name="Vérification 2 3 5 2 4 3 3" xfId="23614"/>
    <cellStyle name="Vérification 2 3 5 2 4 3 3 2" xfId="35621"/>
    <cellStyle name="Vérification 2 3 5 2 4 3 4" xfId="13138"/>
    <cellStyle name="Vérification 2 3 5 2 4 3 5" xfId="29359"/>
    <cellStyle name="Vérification 2 3 5 2 4 4" xfId="7767"/>
    <cellStyle name="Vérification 2 3 5 2 4 4 2" xfId="23991"/>
    <cellStyle name="Vérification 2 3 5 2 4 4 2 2" xfId="35998"/>
    <cellStyle name="Vérification 2 3 5 2 4 4 3" xfId="13774"/>
    <cellStyle name="Vérification 2 3 5 2 4 4 4" xfId="29995"/>
    <cellStyle name="Vérification 2 3 5 2 4 5" xfId="18882"/>
    <cellStyle name="Vérification 2 3 5 2 4 5 2" xfId="32996"/>
    <cellStyle name="Vérification 2 3 5 2 4 6" xfId="11123"/>
    <cellStyle name="Vérification 2 3 5 2 4 7" xfId="27344"/>
    <cellStyle name="Vérification 2 3 5 2 5" xfId="4153"/>
    <cellStyle name="Vérification 2 3 5 2 5 2" xfId="6797"/>
    <cellStyle name="Vérification 2 3 5 2 5 2 2" xfId="9101"/>
    <cellStyle name="Vérification 2 3 5 2 5 2 2 2" xfId="25325"/>
    <cellStyle name="Vérification 2 3 5 2 5 2 2 2 2" xfId="37332"/>
    <cellStyle name="Vérification 2 3 5 2 5 2 2 3" xfId="15108"/>
    <cellStyle name="Vérification 2 3 5 2 5 2 2 4" xfId="31329"/>
    <cellStyle name="Vérification 2 3 5 2 5 2 3" xfId="23021"/>
    <cellStyle name="Vérification 2 3 5 2 5 2 3 2" xfId="35028"/>
    <cellStyle name="Vérification 2 3 5 2 5 2 4" xfId="12805"/>
    <cellStyle name="Vérification 2 3 5 2 5 2 5" xfId="29026"/>
    <cellStyle name="Vérification 2 3 5 2 5 3" xfId="6869"/>
    <cellStyle name="Vérification 2 3 5 2 5 3 2" xfId="23093"/>
    <cellStyle name="Vérification 2 3 5 2 5 3 2 2" xfId="35100"/>
    <cellStyle name="Vérification 2 3 5 2 5 3 3" xfId="11455"/>
    <cellStyle name="Vérification 2 3 5 2 5 3 4" xfId="27676"/>
    <cellStyle name="Vérification 2 3 5 2 5 4" xfId="20379"/>
    <cellStyle name="Vérification 2 3 5 2 5 4 2" xfId="34240"/>
    <cellStyle name="Vérification 2 3 5 2 5 5" xfId="10780"/>
    <cellStyle name="Vérification 2 3 5 2 5 6" xfId="27003"/>
    <cellStyle name="Vérification 2 3 5 2 6" xfId="3075"/>
    <cellStyle name="Vérification 2 3 5 2 6 2" xfId="8137"/>
    <cellStyle name="Vérification 2 3 5 2 6 2 2" xfId="24361"/>
    <cellStyle name="Vérification 2 3 5 2 6 2 2 2" xfId="36368"/>
    <cellStyle name="Vérification 2 3 5 2 6 2 3" xfId="14144"/>
    <cellStyle name="Vérification 2 3 5 2 6 2 4" xfId="30365"/>
    <cellStyle name="Vérification 2 3 5 2 6 3" xfId="9768"/>
    <cellStyle name="Vérification 2 3 5 2 6 3 2" xfId="25992"/>
    <cellStyle name="Vérification 2 3 5 2 6 3 2 2" xfId="37999"/>
    <cellStyle name="Vérification 2 3 5 2 6 3 3" xfId="15775"/>
    <cellStyle name="Vérification 2 3 5 2 6 3 4" xfId="31996"/>
    <cellStyle name="Vérification 2 3 5 2 6 4" xfId="19303"/>
    <cellStyle name="Vérification 2 3 5 2 6 4 2" xfId="33417"/>
    <cellStyle name="Vérification 2 3 5 2 6 5" xfId="11692"/>
    <cellStyle name="Vérification 2 3 5 2 6 6" xfId="27913"/>
    <cellStyle name="Vérification 2 3 5 2 7" xfId="2955"/>
    <cellStyle name="Vérification 2 3 5 2 7 2" xfId="8067"/>
    <cellStyle name="Vérification 2 3 5 2 7 2 2" xfId="24291"/>
    <cellStyle name="Vérification 2 3 5 2 7 2 2 2" xfId="36298"/>
    <cellStyle name="Vérification 2 3 5 2 7 2 3" xfId="14074"/>
    <cellStyle name="Vérification 2 3 5 2 7 2 4" xfId="30295"/>
    <cellStyle name="Vérification 2 3 5 2 7 3" xfId="19183"/>
    <cellStyle name="Vérification 2 3 5 2 7 3 2" xfId="33297"/>
    <cellStyle name="Vérification 2 3 5 2 7 4" xfId="11622"/>
    <cellStyle name="Vérification 2 3 5 2 7 5" xfId="27843"/>
    <cellStyle name="Vérification 2 3 5 2 8" xfId="3622"/>
    <cellStyle name="Vérification 2 3 5 2 8 2" xfId="19850"/>
    <cellStyle name="Vérification 2 3 5 2 8 2 2" xfId="33964"/>
    <cellStyle name="Vérification 2 3 5 2 8 3" xfId="10737"/>
    <cellStyle name="Vérification 2 3 5 2 8 4" xfId="26960"/>
    <cellStyle name="Vérification 2 3 5 2 9" xfId="16695"/>
    <cellStyle name="Vérification 2 3 5 2 9 2" xfId="32663"/>
    <cellStyle name="Vérification 2 3 5 3" xfId="509"/>
    <cellStyle name="Vérification 2 3 5 3 10" xfId="10456"/>
    <cellStyle name="Vérification 2 3 5 3 11" xfId="26681"/>
    <cellStyle name="Vérification 2 3 5 3 2" xfId="1375"/>
    <cellStyle name="Vérification 2 3 5 3 2 2" xfId="2853"/>
    <cellStyle name="Vérification 2 3 5 3 2 2 2" xfId="6541"/>
    <cellStyle name="Vérification 2 3 5 3 2 2 2 2" xfId="8922"/>
    <cellStyle name="Vérification 2 3 5 3 2 2 2 2 2" xfId="25146"/>
    <cellStyle name="Vérification 2 3 5 3 2 2 2 2 2 2" xfId="37153"/>
    <cellStyle name="Vérification 2 3 5 3 2 2 2 2 3" xfId="14929"/>
    <cellStyle name="Vérification 2 3 5 3 2 2 2 2 4" xfId="31150"/>
    <cellStyle name="Vérification 2 3 5 3 2 2 2 3" xfId="10300"/>
    <cellStyle name="Vérification 2 3 5 3 2 2 2 3 2" xfId="26524"/>
    <cellStyle name="Vérification 2 3 5 3 2 2 2 3 2 2" xfId="38531"/>
    <cellStyle name="Vérification 2 3 5 3 2 2 2 3 3" xfId="16307"/>
    <cellStyle name="Vérification 2 3 5 3 2 2 2 3 4" xfId="32528"/>
    <cellStyle name="Vérification 2 3 5 3 2 2 2 4" xfId="22765"/>
    <cellStyle name="Vérification 2 3 5 3 2 2 2 4 2" xfId="34772"/>
    <cellStyle name="Vérification 2 3 5 3 2 2 2 5" xfId="12626"/>
    <cellStyle name="Vérification 2 3 5 3 2 2 2 6" xfId="28847"/>
    <cellStyle name="Vérification 2 3 5 3 2 2 3" xfId="7589"/>
    <cellStyle name="Vérification 2 3 5 3 2 2 3 2" xfId="9633"/>
    <cellStyle name="Vérification 2 3 5 3 2 2 3 2 2" xfId="25857"/>
    <cellStyle name="Vérification 2 3 5 3 2 2 3 2 2 2" xfId="37864"/>
    <cellStyle name="Vérification 2 3 5 3 2 2 3 2 3" xfId="15640"/>
    <cellStyle name="Vérification 2 3 5 3 2 2 3 2 4" xfId="31861"/>
    <cellStyle name="Vérification 2 3 5 3 2 2 3 3" xfId="23813"/>
    <cellStyle name="Vérification 2 3 5 3 2 2 3 3 2" xfId="35820"/>
    <cellStyle name="Vérification 2 3 5 3 2 2 3 4" xfId="13337"/>
    <cellStyle name="Vérification 2 3 5 3 2 2 3 5" xfId="29558"/>
    <cellStyle name="Vérification 2 3 5 3 2 2 4" xfId="7966"/>
    <cellStyle name="Vérification 2 3 5 3 2 2 4 2" xfId="24190"/>
    <cellStyle name="Vérification 2 3 5 3 2 2 4 2 2" xfId="36197"/>
    <cellStyle name="Vérification 2 3 5 3 2 2 4 3" xfId="13973"/>
    <cellStyle name="Vérification 2 3 5 3 2 2 4 4" xfId="30194"/>
    <cellStyle name="Vérification 2 3 5 3 2 2 5" xfId="19081"/>
    <cellStyle name="Vérification 2 3 5 3 2 2 5 2" xfId="33195"/>
    <cellStyle name="Vérification 2 3 5 3 2 2 6" xfId="11322"/>
    <cellStyle name="Vérification 2 3 5 3 2 2 7" xfId="27543"/>
    <cellStyle name="Vérification 2 3 5 3 2 3" xfId="5072"/>
    <cellStyle name="Vérification 2 3 5 3 2 3 2" xfId="7099"/>
    <cellStyle name="Vérification 2 3 5 3 2 3 2 2" xfId="9300"/>
    <cellStyle name="Vérification 2 3 5 3 2 3 2 2 2" xfId="25524"/>
    <cellStyle name="Vérification 2 3 5 3 2 3 2 2 2 2" xfId="37531"/>
    <cellStyle name="Vérification 2 3 5 3 2 3 2 2 3" xfId="15307"/>
    <cellStyle name="Vérification 2 3 5 3 2 3 2 2 4" xfId="31528"/>
    <cellStyle name="Vérification 2 3 5 3 2 3 2 3" xfId="23323"/>
    <cellStyle name="Vérification 2 3 5 3 2 3 2 3 2" xfId="35330"/>
    <cellStyle name="Vérification 2 3 5 3 2 3 2 4" xfId="13004"/>
    <cellStyle name="Vérification 2 3 5 3 2 3 2 5" xfId="29225"/>
    <cellStyle name="Vérification 2 3 5 3 2 3 3" xfId="3587"/>
    <cellStyle name="Vérification 2 3 5 3 2 3 3 2" xfId="19815"/>
    <cellStyle name="Vérification 2 3 5 3 2 3 3 2 2" xfId="33929"/>
    <cellStyle name="Vérification 2 3 5 3 2 3 3 3" xfId="11436"/>
    <cellStyle name="Vérification 2 3 5 3 2 3 3 4" xfId="27657"/>
    <cellStyle name="Vérification 2 3 5 3 2 3 4" xfId="21298"/>
    <cellStyle name="Vérification 2 3 5 3 2 3 4 2" xfId="34439"/>
    <cellStyle name="Vérification 2 3 5 3 2 3 5" xfId="10986"/>
    <cellStyle name="Vérification 2 3 5 3 2 3 6" xfId="27209"/>
    <cellStyle name="Vérification 2 3 5 3 2 4" xfId="3463"/>
    <cellStyle name="Vérification 2 3 5 3 2 4 2" xfId="8430"/>
    <cellStyle name="Vérification 2 3 5 3 2 4 2 2" xfId="24654"/>
    <cellStyle name="Vérification 2 3 5 3 2 4 2 2 2" xfId="36661"/>
    <cellStyle name="Vérification 2 3 5 3 2 4 2 3" xfId="14437"/>
    <cellStyle name="Vérification 2 3 5 3 2 4 2 4" xfId="30658"/>
    <cellStyle name="Vérification 2 3 5 3 2 4 3" xfId="9967"/>
    <cellStyle name="Vérification 2 3 5 3 2 4 3 2" xfId="26191"/>
    <cellStyle name="Vérification 2 3 5 3 2 4 3 2 2" xfId="38198"/>
    <cellStyle name="Vérification 2 3 5 3 2 4 3 3" xfId="15974"/>
    <cellStyle name="Vérification 2 3 5 3 2 4 3 4" xfId="32195"/>
    <cellStyle name="Vérification 2 3 5 3 2 4 4" xfId="19691"/>
    <cellStyle name="Vérification 2 3 5 3 2 4 4 2" xfId="33805"/>
    <cellStyle name="Vérification 2 3 5 3 2 4 5" xfId="11985"/>
    <cellStyle name="Vérification 2 3 5 3 2 4 6" xfId="28206"/>
    <cellStyle name="Vérification 2 3 5 3 2 5" xfId="3404"/>
    <cellStyle name="Vérification 2 3 5 3 2 5 2" xfId="8373"/>
    <cellStyle name="Vérification 2 3 5 3 2 5 2 2" xfId="24597"/>
    <cellStyle name="Vérification 2 3 5 3 2 5 2 2 2" xfId="36604"/>
    <cellStyle name="Vérification 2 3 5 3 2 5 2 3" xfId="14380"/>
    <cellStyle name="Vérification 2 3 5 3 2 5 2 4" xfId="30601"/>
    <cellStyle name="Vérification 2 3 5 3 2 5 3" xfId="19632"/>
    <cellStyle name="Vérification 2 3 5 3 2 5 3 2" xfId="33746"/>
    <cellStyle name="Vérification 2 3 5 3 2 5 4" xfId="11928"/>
    <cellStyle name="Vérification 2 3 5 3 2 5 5" xfId="28149"/>
    <cellStyle name="Vérification 2 3 5 3 2 6" xfId="6784"/>
    <cellStyle name="Vérification 2 3 5 3 2 6 2" xfId="23008"/>
    <cellStyle name="Vérification 2 3 5 3 2 6 2 2" xfId="35015"/>
    <cellStyle name="Vérification 2 3 5 3 2 6 3" xfId="13518"/>
    <cellStyle name="Vérification 2 3 5 3 2 6 4" xfId="29739"/>
    <cellStyle name="Vérification 2 3 5 3 2 7" xfId="17614"/>
    <cellStyle name="Vérification 2 3 5 3 2 7 2" xfId="32862"/>
    <cellStyle name="Vérification 2 3 5 3 2 8" xfId="10634"/>
    <cellStyle name="Vérification 2 3 5 3 2 9" xfId="26859"/>
    <cellStyle name="Vérification 2 3 5 3 3" xfId="1124"/>
    <cellStyle name="Vérification 2 3 5 3 3 2" xfId="2764"/>
    <cellStyle name="Vérification 2 3 5 3 3 2 2" xfId="6452"/>
    <cellStyle name="Vérification 2 3 5 3 3 2 2 2" xfId="8833"/>
    <cellStyle name="Vérification 2 3 5 3 3 2 2 2 2" xfId="25057"/>
    <cellStyle name="Vérification 2 3 5 3 3 2 2 2 2 2" xfId="37064"/>
    <cellStyle name="Vérification 2 3 5 3 3 2 2 2 3" xfId="14840"/>
    <cellStyle name="Vérification 2 3 5 3 3 2 2 2 4" xfId="31061"/>
    <cellStyle name="Vérification 2 3 5 3 3 2 2 3" xfId="10211"/>
    <cellStyle name="Vérification 2 3 5 3 3 2 2 3 2" xfId="26435"/>
    <cellStyle name="Vérification 2 3 5 3 3 2 2 3 2 2" xfId="38442"/>
    <cellStyle name="Vérification 2 3 5 3 3 2 2 3 3" xfId="16218"/>
    <cellStyle name="Vérification 2 3 5 3 3 2 2 3 4" xfId="32439"/>
    <cellStyle name="Vérification 2 3 5 3 3 2 2 4" xfId="22676"/>
    <cellStyle name="Vérification 2 3 5 3 3 2 2 4 2" xfId="34683"/>
    <cellStyle name="Vérification 2 3 5 3 3 2 2 5" xfId="12537"/>
    <cellStyle name="Vérification 2 3 5 3 3 2 2 6" xfId="28758"/>
    <cellStyle name="Vérification 2 3 5 3 3 2 3" xfId="7500"/>
    <cellStyle name="Vérification 2 3 5 3 3 2 3 2" xfId="9544"/>
    <cellStyle name="Vérification 2 3 5 3 3 2 3 2 2" xfId="25768"/>
    <cellStyle name="Vérification 2 3 5 3 3 2 3 2 2 2" xfId="37775"/>
    <cellStyle name="Vérification 2 3 5 3 3 2 3 2 3" xfId="15551"/>
    <cellStyle name="Vérification 2 3 5 3 3 2 3 2 4" xfId="31772"/>
    <cellStyle name="Vérification 2 3 5 3 3 2 3 3" xfId="23724"/>
    <cellStyle name="Vérification 2 3 5 3 3 2 3 3 2" xfId="35731"/>
    <cellStyle name="Vérification 2 3 5 3 3 2 3 4" xfId="13248"/>
    <cellStyle name="Vérification 2 3 5 3 3 2 3 5" xfId="29469"/>
    <cellStyle name="Vérification 2 3 5 3 3 2 4" xfId="7877"/>
    <cellStyle name="Vérification 2 3 5 3 3 2 4 2" xfId="24101"/>
    <cellStyle name="Vérification 2 3 5 3 3 2 4 2 2" xfId="36108"/>
    <cellStyle name="Vérification 2 3 5 3 3 2 4 3" xfId="13884"/>
    <cellStyle name="Vérification 2 3 5 3 3 2 4 4" xfId="30105"/>
    <cellStyle name="Vérification 2 3 5 3 3 2 5" xfId="18992"/>
    <cellStyle name="Vérification 2 3 5 3 3 2 5 2" xfId="33106"/>
    <cellStyle name="Vérification 2 3 5 3 3 2 6" xfId="11233"/>
    <cellStyle name="Vérification 2 3 5 3 3 2 7" xfId="27454"/>
    <cellStyle name="Vérification 2 3 5 3 3 3" xfId="4821"/>
    <cellStyle name="Vérification 2 3 5 3 3 3 2" xfId="6991"/>
    <cellStyle name="Vérification 2 3 5 3 3 3 2 2" xfId="9211"/>
    <cellStyle name="Vérification 2 3 5 3 3 3 2 2 2" xfId="25435"/>
    <cellStyle name="Vérification 2 3 5 3 3 3 2 2 2 2" xfId="37442"/>
    <cellStyle name="Vérification 2 3 5 3 3 3 2 2 3" xfId="15218"/>
    <cellStyle name="Vérification 2 3 5 3 3 3 2 2 4" xfId="31439"/>
    <cellStyle name="Vérification 2 3 5 3 3 3 2 3" xfId="23215"/>
    <cellStyle name="Vérification 2 3 5 3 3 3 2 3 2" xfId="35222"/>
    <cellStyle name="Vérification 2 3 5 3 3 3 2 4" xfId="12915"/>
    <cellStyle name="Vérification 2 3 5 3 3 3 2 5" xfId="29136"/>
    <cellStyle name="Vérification 2 3 5 3 3 3 3" xfId="6759"/>
    <cellStyle name="Vérification 2 3 5 3 3 3 3 2" xfId="22983"/>
    <cellStyle name="Vérification 2 3 5 3 3 3 3 2 2" xfId="34990"/>
    <cellStyle name="Vérification 2 3 5 3 3 3 3 3" xfId="11547"/>
    <cellStyle name="Vérification 2 3 5 3 3 3 3 4" xfId="27768"/>
    <cellStyle name="Vérification 2 3 5 3 3 3 4" xfId="21047"/>
    <cellStyle name="Vérification 2 3 5 3 3 3 4 2" xfId="34350"/>
    <cellStyle name="Vérification 2 3 5 3 3 3 5" xfId="10897"/>
    <cellStyle name="Vérification 2 3 5 3 3 3 6" xfId="27120"/>
    <cellStyle name="Vérification 2 3 5 3 3 4" xfId="3335"/>
    <cellStyle name="Vérification 2 3 5 3 3 4 2" xfId="8318"/>
    <cellStyle name="Vérification 2 3 5 3 3 4 2 2" xfId="24542"/>
    <cellStyle name="Vérification 2 3 5 3 3 4 2 2 2" xfId="36549"/>
    <cellStyle name="Vérification 2 3 5 3 3 4 2 3" xfId="14325"/>
    <cellStyle name="Vérification 2 3 5 3 3 4 2 4" xfId="30546"/>
    <cellStyle name="Vérification 2 3 5 3 3 4 3" xfId="9878"/>
    <cellStyle name="Vérification 2 3 5 3 3 4 3 2" xfId="26102"/>
    <cellStyle name="Vérification 2 3 5 3 3 4 3 2 2" xfId="38109"/>
    <cellStyle name="Vérification 2 3 5 3 3 4 3 3" xfId="15885"/>
    <cellStyle name="Vérification 2 3 5 3 3 4 3 4" xfId="32106"/>
    <cellStyle name="Vérification 2 3 5 3 3 4 4" xfId="19563"/>
    <cellStyle name="Vérification 2 3 5 3 3 4 4 2" xfId="33677"/>
    <cellStyle name="Vérification 2 3 5 3 3 4 5" xfId="11873"/>
    <cellStyle name="Vérification 2 3 5 3 3 4 6" xfId="28094"/>
    <cellStyle name="Vérification 2 3 5 3 3 5" xfId="3099"/>
    <cellStyle name="Vérification 2 3 5 3 3 5 2" xfId="8152"/>
    <cellStyle name="Vérification 2 3 5 3 3 5 2 2" xfId="24376"/>
    <cellStyle name="Vérification 2 3 5 3 3 5 2 2 2" xfId="36383"/>
    <cellStyle name="Vérification 2 3 5 3 3 5 2 3" xfId="14159"/>
    <cellStyle name="Vérification 2 3 5 3 3 5 2 4" xfId="30380"/>
    <cellStyle name="Vérification 2 3 5 3 3 5 3" xfId="19327"/>
    <cellStyle name="Vérification 2 3 5 3 3 5 3 2" xfId="33441"/>
    <cellStyle name="Vérification 2 3 5 3 3 5 4" xfId="11707"/>
    <cellStyle name="Vérification 2 3 5 3 3 5 5" xfId="27928"/>
    <cellStyle name="Vérification 2 3 5 3 3 6" xfId="6755"/>
    <cellStyle name="Vérification 2 3 5 3 3 6 2" xfId="22979"/>
    <cellStyle name="Vérification 2 3 5 3 3 6 2 2" xfId="34986"/>
    <cellStyle name="Vérification 2 3 5 3 3 6 3" xfId="11538"/>
    <cellStyle name="Vérification 2 3 5 3 3 6 4" xfId="27759"/>
    <cellStyle name="Vérification 2 3 5 3 3 7" xfId="17363"/>
    <cellStyle name="Vérification 2 3 5 3 3 7 2" xfId="32773"/>
    <cellStyle name="Vérification 2 3 5 3 3 8" xfId="10545"/>
    <cellStyle name="Vérification 2 3 5 3 3 9" xfId="26770"/>
    <cellStyle name="Vérification 2 3 5 3 4" xfId="2675"/>
    <cellStyle name="Vérification 2 3 5 3 4 2" xfId="6363"/>
    <cellStyle name="Vérification 2 3 5 3 4 2 2" xfId="8744"/>
    <cellStyle name="Vérification 2 3 5 3 4 2 2 2" xfId="24968"/>
    <cellStyle name="Vérification 2 3 5 3 4 2 2 2 2" xfId="36975"/>
    <cellStyle name="Vérification 2 3 5 3 4 2 2 3" xfId="14751"/>
    <cellStyle name="Vérification 2 3 5 3 4 2 2 4" xfId="30972"/>
    <cellStyle name="Vérification 2 3 5 3 4 2 3" xfId="10122"/>
    <cellStyle name="Vérification 2 3 5 3 4 2 3 2" xfId="26346"/>
    <cellStyle name="Vérification 2 3 5 3 4 2 3 2 2" xfId="38353"/>
    <cellStyle name="Vérification 2 3 5 3 4 2 3 3" xfId="16129"/>
    <cellStyle name="Vérification 2 3 5 3 4 2 3 4" xfId="32350"/>
    <cellStyle name="Vérification 2 3 5 3 4 2 4" xfId="22587"/>
    <cellStyle name="Vérification 2 3 5 3 4 2 4 2" xfId="34594"/>
    <cellStyle name="Vérification 2 3 5 3 4 2 5" xfId="12448"/>
    <cellStyle name="Vérification 2 3 5 3 4 2 6" xfId="28669"/>
    <cellStyle name="Vérification 2 3 5 3 4 3" xfId="7411"/>
    <cellStyle name="Vérification 2 3 5 3 4 3 2" xfId="9455"/>
    <cellStyle name="Vérification 2 3 5 3 4 3 2 2" xfId="25679"/>
    <cellStyle name="Vérification 2 3 5 3 4 3 2 2 2" xfId="37686"/>
    <cellStyle name="Vérification 2 3 5 3 4 3 2 3" xfId="15462"/>
    <cellStyle name="Vérification 2 3 5 3 4 3 2 4" xfId="31683"/>
    <cellStyle name="Vérification 2 3 5 3 4 3 3" xfId="23635"/>
    <cellStyle name="Vérification 2 3 5 3 4 3 3 2" xfId="35642"/>
    <cellStyle name="Vérification 2 3 5 3 4 3 4" xfId="13159"/>
    <cellStyle name="Vérification 2 3 5 3 4 3 5" xfId="29380"/>
    <cellStyle name="Vérification 2 3 5 3 4 4" xfId="7788"/>
    <cellStyle name="Vérification 2 3 5 3 4 4 2" xfId="24012"/>
    <cellStyle name="Vérification 2 3 5 3 4 4 2 2" xfId="36019"/>
    <cellStyle name="Vérification 2 3 5 3 4 4 3" xfId="13795"/>
    <cellStyle name="Vérification 2 3 5 3 4 4 4" xfId="30016"/>
    <cellStyle name="Vérification 2 3 5 3 4 5" xfId="18903"/>
    <cellStyle name="Vérification 2 3 5 3 4 5 2" xfId="33017"/>
    <cellStyle name="Vérification 2 3 5 3 4 6" xfId="11144"/>
    <cellStyle name="Vérification 2 3 5 3 4 7" xfId="27365"/>
    <cellStyle name="Vérification 2 3 5 3 5" xfId="4246"/>
    <cellStyle name="Vérification 2 3 5 3 5 2" xfId="6826"/>
    <cellStyle name="Vérification 2 3 5 3 5 2 2" xfId="9122"/>
    <cellStyle name="Vérification 2 3 5 3 5 2 2 2" xfId="25346"/>
    <cellStyle name="Vérification 2 3 5 3 5 2 2 2 2" xfId="37353"/>
    <cellStyle name="Vérification 2 3 5 3 5 2 2 3" xfId="15129"/>
    <cellStyle name="Vérification 2 3 5 3 5 2 2 4" xfId="31350"/>
    <cellStyle name="Vérification 2 3 5 3 5 2 3" xfId="23050"/>
    <cellStyle name="Vérification 2 3 5 3 5 2 3 2" xfId="35057"/>
    <cellStyle name="Vérification 2 3 5 3 5 2 4" xfId="12826"/>
    <cellStyle name="Vérification 2 3 5 3 5 2 5" xfId="29047"/>
    <cellStyle name="Vérification 2 3 5 3 5 3" xfId="3747"/>
    <cellStyle name="Vérification 2 3 5 3 5 3 2" xfId="19975"/>
    <cellStyle name="Vérification 2 3 5 3 5 3 2 2" xfId="34089"/>
    <cellStyle name="Vérification 2 3 5 3 5 3 3" xfId="11516"/>
    <cellStyle name="Vérification 2 3 5 3 5 3 4" xfId="27737"/>
    <cellStyle name="Vérification 2 3 5 3 5 4" xfId="20472"/>
    <cellStyle name="Vérification 2 3 5 3 5 4 2" xfId="34261"/>
    <cellStyle name="Vérification 2 3 5 3 5 5" xfId="10801"/>
    <cellStyle name="Vérification 2 3 5 3 5 6" xfId="27024"/>
    <cellStyle name="Vérification 2 3 5 3 6" xfId="3114"/>
    <cellStyle name="Vérification 2 3 5 3 6 2" xfId="8166"/>
    <cellStyle name="Vérification 2 3 5 3 6 2 2" xfId="24390"/>
    <cellStyle name="Vérification 2 3 5 3 6 2 2 2" xfId="36397"/>
    <cellStyle name="Vérification 2 3 5 3 6 2 3" xfId="14173"/>
    <cellStyle name="Vérification 2 3 5 3 6 2 4" xfId="30394"/>
    <cellStyle name="Vérification 2 3 5 3 6 3" xfId="9789"/>
    <cellStyle name="Vérification 2 3 5 3 6 3 2" xfId="26013"/>
    <cellStyle name="Vérification 2 3 5 3 6 3 2 2" xfId="38020"/>
    <cellStyle name="Vérification 2 3 5 3 6 3 3" xfId="15796"/>
    <cellStyle name="Vérification 2 3 5 3 6 3 4" xfId="32017"/>
    <cellStyle name="Vérification 2 3 5 3 6 4" xfId="19342"/>
    <cellStyle name="Vérification 2 3 5 3 6 4 2" xfId="33456"/>
    <cellStyle name="Vérification 2 3 5 3 6 5" xfId="11721"/>
    <cellStyle name="Vérification 2 3 5 3 6 6" xfId="27942"/>
    <cellStyle name="Vérification 2 3 5 3 7" xfId="3727"/>
    <cellStyle name="Vérification 2 3 5 3 7 2" xfId="8603"/>
    <cellStyle name="Vérification 2 3 5 3 7 2 2" xfId="24827"/>
    <cellStyle name="Vérification 2 3 5 3 7 2 2 2" xfId="36834"/>
    <cellStyle name="Vérification 2 3 5 3 7 2 3" xfId="14610"/>
    <cellStyle name="Vérification 2 3 5 3 7 2 4" xfId="30831"/>
    <cellStyle name="Vérification 2 3 5 3 7 3" xfId="19955"/>
    <cellStyle name="Vérification 2 3 5 3 7 3 2" xfId="34069"/>
    <cellStyle name="Vérification 2 3 5 3 7 4" xfId="12158"/>
    <cellStyle name="Vérification 2 3 5 3 7 5" xfId="28379"/>
    <cellStyle name="Vérification 2 3 5 3 8" xfId="3748"/>
    <cellStyle name="Vérification 2 3 5 3 8 2" xfId="19976"/>
    <cellStyle name="Vérification 2 3 5 3 8 2 2" xfId="34090"/>
    <cellStyle name="Vérification 2 3 5 3 8 3" xfId="13442"/>
    <cellStyle name="Vérification 2 3 5 3 8 4" xfId="29663"/>
    <cellStyle name="Vérification 2 3 5 3 9" xfId="16788"/>
    <cellStyle name="Vérification 2 3 5 3 9 2" xfId="32684"/>
    <cellStyle name="Vérification 2 3 5 4" xfId="640"/>
    <cellStyle name="Vérification 2 3 5 4 10" xfId="10479"/>
    <cellStyle name="Vérification 2 3 5 4 11" xfId="26704"/>
    <cellStyle name="Vérification 2 3 5 4 2" xfId="1398"/>
    <cellStyle name="Vérification 2 3 5 4 2 2" xfId="2876"/>
    <cellStyle name="Vérification 2 3 5 4 2 2 2" xfId="6564"/>
    <cellStyle name="Vérification 2 3 5 4 2 2 2 2" xfId="8945"/>
    <cellStyle name="Vérification 2 3 5 4 2 2 2 2 2" xfId="25169"/>
    <cellStyle name="Vérification 2 3 5 4 2 2 2 2 2 2" xfId="37176"/>
    <cellStyle name="Vérification 2 3 5 4 2 2 2 2 3" xfId="14952"/>
    <cellStyle name="Vérification 2 3 5 4 2 2 2 2 4" xfId="31173"/>
    <cellStyle name="Vérification 2 3 5 4 2 2 2 3" xfId="10323"/>
    <cellStyle name="Vérification 2 3 5 4 2 2 2 3 2" xfId="26547"/>
    <cellStyle name="Vérification 2 3 5 4 2 2 2 3 2 2" xfId="38554"/>
    <cellStyle name="Vérification 2 3 5 4 2 2 2 3 3" xfId="16330"/>
    <cellStyle name="Vérification 2 3 5 4 2 2 2 3 4" xfId="32551"/>
    <cellStyle name="Vérification 2 3 5 4 2 2 2 4" xfId="22788"/>
    <cellStyle name="Vérification 2 3 5 4 2 2 2 4 2" xfId="34795"/>
    <cellStyle name="Vérification 2 3 5 4 2 2 2 5" xfId="12649"/>
    <cellStyle name="Vérification 2 3 5 4 2 2 2 6" xfId="28870"/>
    <cellStyle name="Vérification 2 3 5 4 2 2 3" xfId="7612"/>
    <cellStyle name="Vérification 2 3 5 4 2 2 3 2" xfId="9656"/>
    <cellStyle name="Vérification 2 3 5 4 2 2 3 2 2" xfId="25880"/>
    <cellStyle name="Vérification 2 3 5 4 2 2 3 2 2 2" xfId="37887"/>
    <cellStyle name="Vérification 2 3 5 4 2 2 3 2 3" xfId="15663"/>
    <cellStyle name="Vérification 2 3 5 4 2 2 3 2 4" xfId="31884"/>
    <cellStyle name="Vérification 2 3 5 4 2 2 3 3" xfId="23836"/>
    <cellStyle name="Vérification 2 3 5 4 2 2 3 3 2" xfId="35843"/>
    <cellStyle name="Vérification 2 3 5 4 2 2 3 4" xfId="13360"/>
    <cellStyle name="Vérification 2 3 5 4 2 2 3 5" xfId="29581"/>
    <cellStyle name="Vérification 2 3 5 4 2 2 4" xfId="7989"/>
    <cellStyle name="Vérification 2 3 5 4 2 2 4 2" xfId="24213"/>
    <cellStyle name="Vérification 2 3 5 4 2 2 4 2 2" xfId="36220"/>
    <cellStyle name="Vérification 2 3 5 4 2 2 4 3" xfId="13996"/>
    <cellStyle name="Vérification 2 3 5 4 2 2 4 4" xfId="30217"/>
    <cellStyle name="Vérification 2 3 5 4 2 2 5" xfId="19104"/>
    <cellStyle name="Vérification 2 3 5 4 2 2 5 2" xfId="33218"/>
    <cellStyle name="Vérification 2 3 5 4 2 2 6" xfId="11345"/>
    <cellStyle name="Vérification 2 3 5 4 2 2 7" xfId="27566"/>
    <cellStyle name="Vérification 2 3 5 4 2 3" xfId="5095"/>
    <cellStyle name="Vérification 2 3 5 4 2 3 2" xfId="7122"/>
    <cellStyle name="Vérification 2 3 5 4 2 3 2 2" xfId="9323"/>
    <cellStyle name="Vérification 2 3 5 4 2 3 2 2 2" xfId="25547"/>
    <cellStyle name="Vérification 2 3 5 4 2 3 2 2 2 2" xfId="37554"/>
    <cellStyle name="Vérification 2 3 5 4 2 3 2 2 3" xfId="15330"/>
    <cellStyle name="Vérification 2 3 5 4 2 3 2 2 4" xfId="31551"/>
    <cellStyle name="Vérification 2 3 5 4 2 3 2 3" xfId="23346"/>
    <cellStyle name="Vérification 2 3 5 4 2 3 2 3 2" xfId="35353"/>
    <cellStyle name="Vérification 2 3 5 4 2 3 2 4" xfId="13027"/>
    <cellStyle name="Vérification 2 3 5 4 2 3 2 5" xfId="29248"/>
    <cellStyle name="Vérification 2 3 5 4 2 3 3" xfId="6951"/>
    <cellStyle name="Vérification 2 3 5 4 2 3 3 2" xfId="23175"/>
    <cellStyle name="Vérification 2 3 5 4 2 3 3 2 2" xfId="35182"/>
    <cellStyle name="Vérification 2 3 5 4 2 3 3 3" xfId="13455"/>
    <cellStyle name="Vérification 2 3 5 4 2 3 3 4" xfId="29676"/>
    <cellStyle name="Vérification 2 3 5 4 2 3 4" xfId="21321"/>
    <cellStyle name="Vérification 2 3 5 4 2 3 4 2" xfId="34462"/>
    <cellStyle name="Vérification 2 3 5 4 2 3 5" xfId="11009"/>
    <cellStyle name="Vérification 2 3 5 4 2 3 6" xfId="27232"/>
    <cellStyle name="Vérification 2 3 5 4 2 4" xfId="3486"/>
    <cellStyle name="Vérification 2 3 5 4 2 4 2" xfId="8453"/>
    <cellStyle name="Vérification 2 3 5 4 2 4 2 2" xfId="24677"/>
    <cellStyle name="Vérification 2 3 5 4 2 4 2 2 2" xfId="36684"/>
    <cellStyle name="Vérification 2 3 5 4 2 4 2 3" xfId="14460"/>
    <cellStyle name="Vérification 2 3 5 4 2 4 2 4" xfId="30681"/>
    <cellStyle name="Vérification 2 3 5 4 2 4 3" xfId="9990"/>
    <cellStyle name="Vérification 2 3 5 4 2 4 3 2" xfId="26214"/>
    <cellStyle name="Vérification 2 3 5 4 2 4 3 2 2" xfId="38221"/>
    <cellStyle name="Vérification 2 3 5 4 2 4 3 3" xfId="15997"/>
    <cellStyle name="Vérification 2 3 5 4 2 4 3 4" xfId="32218"/>
    <cellStyle name="Vérification 2 3 5 4 2 4 4" xfId="19714"/>
    <cellStyle name="Vérification 2 3 5 4 2 4 4 2" xfId="33828"/>
    <cellStyle name="Vérification 2 3 5 4 2 4 5" xfId="12008"/>
    <cellStyle name="Vérification 2 3 5 4 2 4 6" xfId="28229"/>
    <cellStyle name="Vérification 2 3 5 4 2 5" xfId="3244"/>
    <cellStyle name="Vérification 2 3 5 4 2 5 2" xfId="8252"/>
    <cellStyle name="Vérification 2 3 5 4 2 5 2 2" xfId="24476"/>
    <cellStyle name="Vérification 2 3 5 4 2 5 2 2 2" xfId="36483"/>
    <cellStyle name="Vérification 2 3 5 4 2 5 2 3" xfId="14259"/>
    <cellStyle name="Vérification 2 3 5 4 2 5 2 4" xfId="30480"/>
    <cellStyle name="Vérification 2 3 5 4 2 5 3" xfId="19472"/>
    <cellStyle name="Vérification 2 3 5 4 2 5 3 2" xfId="33586"/>
    <cellStyle name="Vérification 2 3 5 4 2 5 4" xfId="11807"/>
    <cellStyle name="Vérification 2 3 5 4 2 5 5" xfId="28028"/>
    <cellStyle name="Vérification 2 3 5 4 2 6" xfId="2957"/>
    <cellStyle name="Vérification 2 3 5 4 2 6 2" xfId="19185"/>
    <cellStyle name="Vérification 2 3 5 4 2 6 2 2" xfId="33299"/>
    <cellStyle name="Vérification 2 3 5 4 2 6 3" xfId="12345"/>
    <cellStyle name="Vérification 2 3 5 4 2 6 4" xfId="28566"/>
    <cellStyle name="Vérification 2 3 5 4 2 7" xfId="17637"/>
    <cellStyle name="Vérification 2 3 5 4 2 7 2" xfId="32885"/>
    <cellStyle name="Vérification 2 3 5 4 2 8" xfId="10657"/>
    <cellStyle name="Vérification 2 3 5 4 2 9" xfId="26882"/>
    <cellStyle name="Vérification 2 3 5 4 3" xfId="1237"/>
    <cellStyle name="Vérification 2 3 5 4 3 2" xfId="2787"/>
    <cellStyle name="Vérification 2 3 5 4 3 2 2" xfId="6475"/>
    <cellStyle name="Vérification 2 3 5 4 3 2 2 2" xfId="8856"/>
    <cellStyle name="Vérification 2 3 5 4 3 2 2 2 2" xfId="25080"/>
    <cellStyle name="Vérification 2 3 5 4 3 2 2 2 2 2" xfId="37087"/>
    <cellStyle name="Vérification 2 3 5 4 3 2 2 2 3" xfId="14863"/>
    <cellStyle name="Vérification 2 3 5 4 3 2 2 2 4" xfId="31084"/>
    <cellStyle name="Vérification 2 3 5 4 3 2 2 3" xfId="10234"/>
    <cellStyle name="Vérification 2 3 5 4 3 2 2 3 2" xfId="26458"/>
    <cellStyle name="Vérification 2 3 5 4 3 2 2 3 2 2" xfId="38465"/>
    <cellStyle name="Vérification 2 3 5 4 3 2 2 3 3" xfId="16241"/>
    <cellStyle name="Vérification 2 3 5 4 3 2 2 3 4" xfId="32462"/>
    <cellStyle name="Vérification 2 3 5 4 3 2 2 4" xfId="22699"/>
    <cellStyle name="Vérification 2 3 5 4 3 2 2 4 2" xfId="34706"/>
    <cellStyle name="Vérification 2 3 5 4 3 2 2 5" xfId="12560"/>
    <cellStyle name="Vérification 2 3 5 4 3 2 2 6" xfId="28781"/>
    <cellStyle name="Vérification 2 3 5 4 3 2 3" xfId="7523"/>
    <cellStyle name="Vérification 2 3 5 4 3 2 3 2" xfId="9567"/>
    <cellStyle name="Vérification 2 3 5 4 3 2 3 2 2" xfId="25791"/>
    <cellStyle name="Vérification 2 3 5 4 3 2 3 2 2 2" xfId="37798"/>
    <cellStyle name="Vérification 2 3 5 4 3 2 3 2 3" xfId="15574"/>
    <cellStyle name="Vérification 2 3 5 4 3 2 3 2 4" xfId="31795"/>
    <cellStyle name="Vérification 2 3 5 4 3 2 3 3" xfId="23747"/>
    <cellStyle name="Vérification 2 3 5 4 3 2 3 3 2" xfId="35754"/>
    <cellStyle name="Vérification 2 3 5 4 3 2 3 4" xfId="13271"/>
    <cellStyle name="Vérification 2 3 5 4 3 2 3 5" xfId="29492"/>
    <cellStyle name="Vérification 2 3 5 4 3 2 4" xfId="7900"/>
    <cellStyle name="Vérification 2 3 5 4 3 2 4 2" xfId="24124"/>
    <cellStyle name="Vérification 2 3 5 4 3 2 4 2 2" xfId="36131"/>
    <cellStyle name="Vérification 2 3 5 4 3 2 4 3" xfId="13907"/>
    <cellStyle name="Vérification 2 3 5 4 3 2 4 4" xfId="30128"/>
    <cellStyle name="Vérification 2 3 5 4 3 2 5" xfId="19015"/>
    <cellStyle name="Vérification 2 3 5 4 3 2 5 2" xfId="33129"/>
    <cellStyle name="Vérification 2 3 5 4 3 2 6" xfId="11256"/>
    <cellStyle name="Vérification 2 3 5 4 3 2 7" xfId="27477"/>
    <cellStyle name="Vérification 2 3 5 4 3 3" xfId="4934"/>
    <cellStyle name="Vérification 2 3 5 4 3 3 2" xfId="7026"/>
    <cellStyle name="Vérification 2 3 5 4 3 3 2 2" xfId="9234"/>
    <cellStyle name="Vérification 2 3 5 4 3 3 2 2 2" xfId="25458"/>
    <cellStyle name="Vérification 2 3 5 4 3 3 2 2 2 2" xfId="37465"/>
    <cellStyle name="Vérification 2 3 5 4 3 3 2 2 3" xfId="15241"/>
    <cellStyle name="Vérification 2 3 5 4 3 3 2 2 4" xfId="31462"/>
    <cellStyle name="Vérification 2 3 5 4 3 3 2 3" xfId="23250"/>
    <cellStyle name="Vérification 2 3 5 4 3 3 2 3 2" xfId="35257"/>
    <cellStyle name="Vérification 2 3 5 4 3 3 2 4" xfId="12938"/>
    <cellStyle name="Vérification 2 3 5 4 3 3 2 5" xfId="29159"/>
    <cellStyle name="Vérification 2 3 5 4 3 3 3" xfId="6844"/>
    <cellStyle name="Vérification 2 3 5 4 3 3 3 2" xfId="23068"/>
    <cellStyle name="Vérification 2 3 5 4 3 3 3 2 2" xfId="35075"/>
    <cellStyle name="Vérification 2 3 5 4 3 3 3 3" xfId="12275"/>
    <cellStyle name="Vérification 2 3 5 4 3 3 3 4" xfId="28496"/>
    <cellStyle name="Vérification 2 3 5 4 3 3 4" xfId="21160"/>
    <cellStyle name="Vérification 2 3 5 4 3 3 4 2" xfId="34373"/>
    <cellStyle name="Vérification 2 3 5 4 3 3 5" xfId="10920"/>
    <cellStyle name="Vérification 2 3 5 4 3 3 6" xfId="27143"/>
    <cellStyle name="Vérification 2 3 5 4 3 4" xfId="3379"/>
    <cellStyle name="Vérification 2 3 5 4 3 4 2" xfId="8355"/>
    <cellStyle name="Vérification 2 3 5 4 3 4 2 2" xfId="24579"/>
    <cellStyle name="Vérification 2 3 5 4 3 4 2 2 2" xfId="36586"/>
    <cellStyle name="Vérification 2 3 5 4 3 4 2 3" xfId="14362"/>
    <cellStyle name="Vérification 2 3 5 4 3 4 2 4" xfId="30583"/>
    <cellStyle name="Vérification 2 3 5 4 3 4 3" xfId="9901"/>
    <cellStyle name="Vérification 2 3 5 4 3 4 3 2" xfId="26125"/>
    <cellStyle name="Vérification 2 3 5 4 3 4 3 2 2" xfId="38132"/>
    <cellStyle name="Vérification 2 3 5 4 3 4 3 3" xfId="15908"/>
    <cellStyle name="Vérification 2 3 5 4 3 4 3 4" xfId="32129"/>
    <cellStyle name="Vérification 2 3 5 4 3 4 4" xfId="19607"/>
    <cellStyle name="Vérification 2 3 5 4 3 4 4 2" xfId="33721"/>
    <cellStyle name="Vérification 2 3 5 4 3 4 5" xfId="11910"/>
    <cellStyle name="Vérification 2 3 5 4 3 4 6" xfId="28131"/>
    <cellStyle name="Vérification 2 3 5 4 3 5" xfId="3711"/>
    <cellStyle name="Vérification 2 3 5 4 3 5 2" xfId="8595"/>
    <cellStyle name="Vérification 2 3 5 4 3 5 2 2" xfId="24819"/>
    <cellStyle name="Vérification 2 3 5 4 3 5 2 2 2" xfId="36826"/>
    <cellStyle name="Vérification 2 3 5 4 3 5 2 3" xfId="14602"/>
    <cellStyle name="Vérification 2 3 5 4 3 5 2 4" xfId="30823"/>
    <cellStyle name="Vérification 2 3 5 4 3 5 3" xfId="19939"/>
    <cellStyle name="Vérification 2 3 5 4 3 5 3 2" xfId="34053"/>
    <cellStyle name="Vérification 2 3 5 4 3 5 4" xfId="12150"/>
    <cellStyle name="Vérification 2 3 5 4 3 5 5" xfId="28371"/>
    <cellStyle name="Vérification 2 3 5 4 3 6" xfId="3606"/>
    <cellStyle name="Vérification 2 3 5 4 3 6 2" xfId="19834"/>
    <cellStyle name="Vérification 2 3 5 4 3 6 2 2" xfId="33948"/>
    <cellStyle name="Vérification 2 3 5 4 3 6 3" xfId="12302"/>
    <cellStyle name="Vérification 2 3 5 4 3 6 4" xfId="28523"/>
    <cellStyle name="Vérification 2 3 5 4 3 7" xfId="17476"/>
    <cellStyle name="Vérification 2 3 5 4 3 7 2" xfId="32796"/>
    <cellStyle name="Vérification 2 3 5 4 3 8" xfId="10568"/>
    <cellStyle name="Vérification 2 3 5 4 3 9" xfId="26793"/>
    <cellStyle name="Vérification 2 3 5 4 4" xfId="2698"/>
    <cellStyle name="Vérification 2 3 5 4 4 2" xfId="6386"/>
    <cellStyle name="Vérification 2 3 5 4 4 2 2" xfId="8767"/>
    <cellStyle name="Vérification 2 3 5 4 4 2 2 2" xfId="24991"/>
    <cellStyle name="Vérification 2 3 5 4 4 2 2 2 2" xfId="36998"/>
    <cellStyle name="Vérification 2 3 5 4 4 2 2 3" xfId="14774"/>
    <cellStyle name="Vérification 2 3 5 4 4 2 2 4" xfId="30995"/>
    <cellStyle name="Vérification 2 3 5 4 4 2 3" xfId="10145"/>
    <cellStyle name="Vérification 2 3 5 4 4 2 3 2" xfId="26369"/>
    <cellStyle name="Vérification 2 3 5 4 4 2 3 2 2" xfId="38376"/>
    <cellStyle name="Vérification 2 3 5 4 4 2 3 3" xfId="16152"/>
    <cellStyle name="Vérification 2 3 5 4 4 2 3 4" xfId="32373"/>
    <cellStyle name="Vérification 2 3 5 4 4 2 4" xfId="22610"/>
    <cellStyle name="Vérification 2 3 5 4 4 2 4 2" xfId="34617"/>
    <cellStyle name="Vérification 2 3 5 4 4 2 5" xfId="12471"/>
    <cellStyle name="Vérification 2 3 5 4 4 2 6" xfId="28692"/>
    <cellStyle name="Vérification 2 3 5 4 4 3" xfId="7434"/>
    <cellStyle name="Vérification 2 3 5 4 4 3 2" xfId="9478"/>
    <cellStyle name="Vérification 2 3 5 4 4 3 2 2" xfId="25702"/>
    <cellStyle name="Vérification 2 3 5 4 4 3 2 2 2" xfId="37709"/>
    <cellStyle name="Vérification 2 3 5 4 4 3 2 3" xfId="15485"/>
    <cellStyle name="Vérification 2 3 5 4 4 3 2 4" xfId="31706"/>
    <cellStyle name="Vérification 2 3 5 4 4 3 3" xfId="23658"/>
    <cellStyle name="Vérification 2 3 5 4 4 3 3 2" xfId="35665"/>
    <cellStyle name="Vérification 2 3 5 4 4 3 4" xfId="13182"/>
    <cellStyle name="Vérification 2 3 5 4 4 3 5" xfId="29403"/>
    <cellStyle name="Vérification 2 3 5 4 4 4" xfId="7811"/>
    <cellStyle name="Vérification 2 3 5 4 4 4 2" xfId="24035"/>
    <cellStyle name="Vérification 2 3 5 4 4 4 2 2" xfId="36042"/>
    <cellStyle name="Vérification 2 3 5 4 4 4 3" xfId="13818"/>
    <cellStyle name="Vérification 2 3 5 4 4 4 4" xfId="30039"/>
    <cellStyle name="Vérification 2 3 5 4 4 5" xfId="18926"/>
    <cellStyle name="Vérification 2 3 5 4 4 5 2" xfId="33040"/>
    <cellStyle name="Vérification 2 3 5 4 4 6" xfId="11167"/>
    <cellStyle name="Vérification 2 3 5 4 4 7" xfId="27388"/>
    <cellStyle name="Vérification 2 3 5 4 5" xfId="4359"/>
    <cellStyle name="Vérification 2 3 5 4 5 2" xfId="6866"/>
    <cellStyle name="Vérification 2 3 5 4 5 2 2" xfId="9145"/>
    <cellStyle name="Vérification 2 3 5 4 5 2 2 2" xfId="25369"/>
    <cellStyle name="Vérification 2 3 5 4 5 2 2 2 2" xfId="37376"/>
    <cellStyle name="Vérification 2 3 5 4 5 2 2 3" xfId="15152"/>
    <cellStyle name="Vérification 2 3 5 4 5 2 2 4" xfId="31373"/>
    <cellStyle name="Vérification 2 3 5 4 5 2 3" xfId="23090"/>
    <cellStyle name="Vérification 2 3 5 4 5 2 3 2" xfId="35097"/>
    <cellStyle name="Vérification 2 3 5 4 5 2 4" xfId="12849"/>
    <cellStyle name="Vérification 2 3 5 4 5 2 5" xfId="29070"/>
    <cellStyle name="Vérification 2 3 5 4 5 3" xfId="7284"/>
    <cellStyle name="Vérification 2 3 5 4 5 3 2" xfId="23508"/>
    <cellStyle name="Vérification 2 3 5 4 5 3 2 2" xfId="35515"/>
    <cellStyle name="Vérification 2 3 5 4 5 3 3" xfId="13668"/>
    <cellStyle name="Vérification 2 3 5 4 5 3 4" xfId="29889"/>
    <cellStyle name="Vérification 2 3 5 4 5 4" xfId="20585"/>
    <cellStyle name="Vérification 2 3 5 4 5 4 2" xfId="34284"/>
    <cellStyle name="Vérification 2 3 5 4 5 5" xfId="10826"/>
    <cellStyle name="Vérification 2 3 5 4 5 6" xfId="27049"/>
    <cellStyle name="Vérification 2 3 5 4 6" xfId="3163"/>
    <cellStyle name="Vérification 2 3 5 4 6 2" xfId="8199"/>
    <cellStyle name="Vérification 2 3 5 4 6 2 2" xfId="24423"/>
    <cellStyle name="Vérification 2 3 5 4 6 2 2 2" xfId="36430"/>
    <cellStyle name="Vérification 2 3 5 4 6 2 3" xfId="14206"/>
    <cellStyle name="Vérification 2 3 5 4 6 2 4" xfId="30427"/>
    <cellStyle name="Vérification 2 3 5 4 6 3" xfId="9812"/>
    <cellStyle name="Vérification 2 3 5 4 6 3 2" xfId="26036"/>
    <cellStyle name="Vérification 2 3 5 4 6 3 2 2" xfId="38043"/>
    <cellStyle name="Vérification 2 3 5 4 6 3 3" xfId="15819"/>
    <cellStyle name="Vérification 2 3 5 4 6 3 4" xfId="32040"/>
    <cellStyle name="Vérification 2 3 5 4 6 4" xfId="19391"/>
    <cellStyle name="Vérification 2 3 5 4 6 4 2" xfId="33505"/>
    <cellStyle name="Vérification 2 3 5 4 6 5" xfId="11754"/>
    <cellStyle name="Vérification 2 3 5 4 6 6" xfId="27975"/>
    <cellStyle name="Vérification 2 3 5 4 7" xfId="2995"/>
    <cellStyle name="Vérification 2 3 5 4 7 2" xfId="8085"/>
    <cellStyle name="Vérification 2 3 5 4 7 2 2" xfId="24309"/>
    <cellStyle name="Vérification 2 3 5 4 7 2 2 2" xfId="36316"/>
    <cellStyle name="Vérification 2 3 5 4 7 2 3" xfId="14092"/>
    <cellStyle name="Vérification 2 3 5 4 7 2 4" xfId="30313"/>
    <cellStyle name="Vérification 2 3 5 4 7 3" xfId="19223"/>
    <cellStyle name="Vérification 2 3 5 4 7 3 2" xfId="33337"/>
    <cellStyle name="Vérification 2 3 5 4 7 4" xfId="11640"/>
    <cellStyle name="Vérification 2 3 5 4 7 5" xfId="27861"/>
    <cellStyle name="Vérification 2 3 5 4 8" xfId="7277"/>
    <cellStyle name="Vérification 2 3 5 4 8 2" xfId="23501"/>
    <cellStyle name="Vérification 2 3 5 4 8 2 2" xfId="35508"/>
    <cellStyle name="Vérification 2 3 5 4 8 3" xfId="13661"/>
    <cellStyle name="Vérification 2 3 5 4 8 4" xfId="29882"/>
    <cellStyle name="Vérification 2 3 5 4 9" xfId="16901"/>
    <cellStyle name="Vérification 2 3 5 4 9 2" xfId="32707"/>
    <cellStyle name="Vérification 2 3 5 5" xfId="752"/>
    <cellStyle name="Vérification 2 3 5 5 10" xfId="26726"/>
    <cellStyle name="Vérification 2 3 5 5 2" xfId="1420"/>
    <cellStyle name="Vérification 2 3 5 5 2 2" xfId="2898"/>
    <cellStyle name="Vérification 2 3 5 5 2 2 2" xfId="6586"/>
    <cellStyle name="Vérification 2 3 5 5 2 2 2 2" xfId="8967"/>
    <cellStyle name="Vérification 2 3 5 5 2 2 2 2 2" xfId="25191"/>
    <cellStyle name="Vérification 2 3 5 5 2 2 2 2 2 2" xfId="37198"/>
    <cellStyle name="Vérification 2 3 5 5 2 2 2 2 3" xfId="14974"/>
    <cellStyle name="Vérification 2 3 5 5 2 2 2 2 4" xfId="31195"/>
    <cellStyle name="Vérification 2 3 5 5 2 2 2 3" xfId="10345"/>
    <cellStyle name="Vérification 2 3 5 5 2 2 2 3 2" xfId="26569"/>
    <cellStyle name="Vérification 2 3 5 5 2 2 2 3 2 2" xfId="38576"/>
    <cellStyle name="Vérification 2 3 5 5 2 2 2 3 3" xfId="16352"/>
    <cellStyle name="Vérification 2 3 5 5 2 2 2 3 4" xfId="32573"/>
    <cellStyle name="Vérification 2 3 5 5 2 2 2 4" xfId="22810"/>
    <cellStyle name="Vérification 2 3 5 5 2 2 2 4 2" xfId="34817"/>
    <cellStyle name="Vérification 2 3 5 5 2 2 2 5" xfId="12671"/>
    <cellStyle name="Vérification 2 3 5 5 2 2 2 6" xfId="28892"/>
    <cellStyle name="Vérification 2 3 5 5 2 2 3" xfId="7634"/>
    <cellStyle name="Vérification 2 3 5 5 2 2 3 2" xfId="9678"/>
    <cellStyle name="Vérification 2 3 5 5 2 2 3 2 2" xfId="25902"/>
    <cellStyle name="Vérification 2 3 5 5 2 2 3 2 2 2" xfId="37909"/>
    <cellStyle name="Vérification 2 3 5 5 2 2 3 2 3" xfId="15685"/>
    <cellStyle name="Vérification 2 3 5 5 2 2 3 2 4" xfId="31906"/>
    <cellStyle name="Vérification 2 3 5 5 2 2 3 3" xfId="23858"/>
    <cellStyle name="Vérification 2 3 5 5 2 2 3 3 2" xfId="35865"/>
    <cellStyle name="Vérification 2 3 5 5 2 2 3 4" xfId="13382"/>
    <cellStyle name="Vérification 2 3 5 5 2 2 3 5" xfId="29603"/>
    <cellStyle name="Vérification 2 3 5 5 2 2 4" xfId="8011"/>
    <cellStyle name="Vérification 2 3 5 5 2 2 4 2" xfId="24235"/>
    <cellStyle name="Vérification 2 3 5 5 2 2 4 2 2" xfId="36242"/>
    <cellStyle name="Vérification 2 3 5 5 2 2 4 3" xfId="14018"/>
    <cellStyle name="Vérification 2 3 5 5 2 2 4 4" xfId="30239"/>
    <cellStyle name="Vérification 2 3 5 5 2 2 5" xfId="19126"/>
    <cellStyle name="Vérification 2 3 5 5 2 2 5 2" xfId="33240"/>
    <cellStyle name="Vérification 2 3 5 5 2 2 6" xfId="11367"/>
    <cellStyle name="Vérification 2 3 5 5 2 2 7" xfId="27588"/>
    <cellStyle name="Vérification 2 3 5 5 2 3" xfId="5117"/>
    <cellStyle name="Vérification 2 3 5 5 2 3 2" xfId="7144"/>
    <cellStyle name="Vérification 2 3 5 5 2 3 2 2" xfId="9345"/>
    <cellStyle name="Vérification 2 3 5 5 2 3 2 2 2" xfId="25569"/>
    <cellStyle name="Vérification 2 3 5 5 2 3 2 2 2 2" xfId="37576"/>
    <cellStyle name="Vérification 2 3 5 5 2 3 2 2 3" xfId="15352"/>
    <cellStyle name="Vérification 2 3 5 5 2 3 2 2 4" xfId="31573"/>
    <cellStyle name="Vérification 2 3 5 5 2 3 2 3" xfId="23368"/>
    <cellStyle name="Vérification 2 3 5 5 2 3 2 3 2" xfId="35375"/>
    <cellStyle name="Vérification 2 3 5 5 2 3 2 4" xfId="13049"/>
    <cellStyle name="Vérification 2 3 5 5 2 3 2 5" xfId="29270"/>
    <cellStyle name="Vérification 2 3 5 5 2 3 3" xfId="3614"/>
    <cellStyle name="Vérification 2 3 5 5 2 3 3 2" xfId="19842"/>
    <cellStyle name="Vérification 2 3 5 5 2 3 3 2 2" xfId="33956"/>
    <cellStyle name="Vérification 2 3 5 5 2 3 3 3" xfId="13438"/>
    <cellStyle name="Vérification 2 3 5 5 2 3 3 4" xfId="29659"/>
    <cellStyle name="Vérification 2 3 5 5 2 3 4" xfId="21343"/>
    <cellStyle name="Vérification 2 3 5 5 2 3 4 2" xfId="34484"/>
    <cellStyle name="Vérification 2 3 5 5 2 3 5" xfId="11031"/>
    <cellStyle name="Vérification 2 3 5 5 2 3 6" xfId="27254"/>
    <cellStyle name="Vérification 2 3 5 5 2 4" xfId="3508"/>
    <cellStyle name="Vérification 2 3 5 5 2 4 2" xfId="8475"/>
    <cellStyle name="Vérification 2 3 5 5 2 4 2 2" xfId="24699"/>
    <cellStyle name="Vérification 2 3 5 5 2 4 2 2 2" xfId="36706"/>
    <cellStyle name="Vérification 2 3 5 5 2 4 2 3" xfId="14482"/>
    <cellStyle name="Vérification 2 3 5 5 2 4 2 4" xfId="30703"/>
    <cellStyle name="Vérification 2 3 5 5 2 4 3" xfId="10012"/>
    <cellStyle name="Vérification 2 3 5 5 2 4 3 2" xfId="26236"/>
    <cellStyle name="Vérification 2 3 5 5 2 4 3 2 2" xfId="38243"/>
    <cellStyle name="Vérification 2 3 5 5 2 4 3 3" xfId="16019"/>
    <cellStyle name="Vérification 2 3 5 5 2 4 3 4" xfId="32240"/>
    <cellStyle name="Vérification 2 3 5 5 2 4 4" xfId="19736"/>
    <cellStyle name="Vérification 2 3 5 5 2 4 4 2" xfId="33850"/>
    <cellStyle name="Vérification 2 3 5 5 2 4 5" xfId="12030"/>
    <cellStyle name="Vérification 2 3 5 5 2 4 6" xfId="28251"/>
    <cellStyle name="Vérification 2 3 5 5 2 5" xfId="3003"/>
    <cellStyle name="Vérification 2 3 5 5 2 5 2" xfId="8091"/>
    <cellStyle name="Vérification 2 3 5 5 2 5 2 2" xfId="24315"/>
    <cellStyle name="Vérification 2 3 5 5 2 5 2 2 2" xfId="36322"/>
    <cellStyle name="Vérification 2 3 5 5 2 5 2 3" xfId="14098"/>
    <cellStyle name="Vérification 2 3 5 5 2 5 2 4" xfId="30319"/>
    <cellStyle name="Vérification 2 3 5 5 2 5 3" xfId="19231"/>
    <cellStyle name="Vérification 2 3 5 5 2 5 3 2" xfId="33345"/>
    <cellStyle name="Vérification 2 3 5 5 2 5 4" xfId="11646"/>
    <cellStyle name="Vérification 2 3 5 5 2 5 5" xfId="27867"/>
    <cellStyle name="Vérification 2 3 5 5 2 6" xfId="6722"/>
    <cellStyle name="Vérification 2 3 5 5 2 6 2" xfId="22946"/>
    <cellStyle name="Vérification 2 3 5 5 2 6 2 2" xfId="34953"/>
    <cellStyle name="Vérification 2 3 5 5 2 6 3" xfId="11466"/>
    <cellStyle name="Vérification 2 3 5 5 2 6 4" xfId="27687"/>
    <cellStyle name="Vérification 2 3 5 5 2 7" xfId="17659"/>
    <cellStyle name="Vérification 2 3 5 5 2 7 2" xfId="32907"/>
    <cellStyle name="Vérification 2 3 5 5 2 8" xfId="10679"/>
    <cellStyle name="Vérification 2 3 5 5 2 9" xfId="26904"/>
    <cellStyle name="Vérification 2 3 5 5 3" xfId="2720"/>
    <cellStyle name="Vérification 2 3 5 5 3 2" xfId="6408"/>
    <cellStyle name="Vérification 2 3 5 5 3 2 2" xfId="8789"/>
    <cellStyle name="Vérification 2 3 5 5 3 2 2 2" xfId="25013"/>
    <cellStyle name="Vérification 2 3 5 5 3 2 2 2 2" xfId="37020"/>
    <cellStyle name="Vérification 2 3 5 5 3 2 2 3" xfId="14796"/>
    <cellStyle name="Vérification 2 3 5 5 3 2 2 4" xfId="31017"/>
    <cellStyle name="Vérification 2 3 5 5 3 2 3" xfId="10167"/>
    <cellStyle name="Vérification 2 3 5 5 3 2 3 2" xfId="26391"/>
    <cellStyle name="Vérification 2 3 5 5 3 2 3 2 2" xfId="38398"/>
    <cellStyle name="Vérification 2 3 5 5 3 2 3 3" xfId="16174"/>
    <cellStyle name="Vérification 2 3 5 5 3 2 3 4" xfId="32395"/>
    <cellStyle name="Vérification 2 3 5 5 3 2 4" xfId="22632"/>
    <cellStyle name="Vérification 2 3 5 5 3 2 4 2" xfId="34639"/>
    <cellStyle name="Vérification 2 3 5 5 3 2 5" xfId="12493"/>
    <cellStyle name="Vérification 2 3 5 5 3 2 6" xfId="28714"/>
    <cellStyle name="Vérification 2 3 5 5 3 3" xfId="7456"/>
    <cellStyle name="Vérification 2 3 5 5 3 3 2" xfId="9500"/>
    <cellStyle name="Vérification 2 3 5 5 3 3 2 2" xfId="25724"/>
    <cellStyle name="Vérification 2 3 5 5 3 3 2 2 2" xfId="37731"/>
    <cellStyle name="Vérification 2 3 5 5 3 3 2 3" xfId="15507"/>
    <cellStyle name="Vérification 2 3 5 5 3 3 2 4" xfId="31728"/>
    <cellStyle name="Vérification 2 3 5 5 3 3 3" xfId="23680"/>
    <cellStyle name="Vérification 2 3 5 5 3 3 3 2" xfId="35687"/>
    <cellStyle name="Vérification 2 3 5 5 3 3 4" xfId="13204"/>
    <cellStyle name="Vérification 2 3 5 5 3 3 5" xfId="29425"/>
    <cellStyle name="Vérification 2 3 5 5 3 4" xfId="7833"/>
    <cellStyle name="Vérification 2 3 5 5 3 4 2" xfId="24057"/>
    <cellStyle name="Vérification 2 3 5 5 3 4 2 2" xfId="36064"/>
    <cellStyle name="Vérification 2 3 5 5 3 4 3" xfId="13840"/>
    <cellStyle name="Vérification 2 3 5 5 3 4 4" xfId="30061"/>
    <cellStyle name="Vérification 2 3 5 5 3 5" xfId="18948"/>
    <cellStyle name="Vérification 2 3 5 5 3 5 2" xfId="33062"/>
    <cellStyle name="Vérification 2 3 5 5 3 6" xfId="11189"/>
    <cellStyle name="Vérification 2 3 5 5 3 7" xfId="27410"/>
    <cellStyle name="Vérification 2 3 5 5 4" xfId="4453"/>
    <cellStyle name="Vérification 2 3 5 5 4 2" xfId="6898"/>
    <cellStyle name="Vérification 2 3 5 5 4 2 2" xfId="9167"/>
    <cellStyle name="Vérification 2 3 5 5 4 2 2 2" xfId="25391"/>
    <cellStyle name="Vérification 2 3 5 5 4 2 2 2 2" xfId="37398"/>
    <cellStyle name="Vérification 2 3 5 5 4 2 2 3" xfId="15174"/>
    <cellStyle name="Vérification 2 3 5 5 4 2 2 4" xfId="31395"/>
    <cellStyle name="Vérification 2 3 5 5 4 2 3" xfId="23122"/>
    <cellStyle name="Vérification 2 3 5 5 4 2 3 2" xfId="35129"/>
    <cellStyle name="Vérification 2 3 5 5 4 2 4" xfId="12871"/>
    <cellStyle name="Vérification 2 3 5 5 4 2 5" xfId="29092"/>
    <cellStyle name="Vérification 2 3 5 5 4 3" xfId="3604"/>
    <cellStyle name="Vérification 2 3 5 5 4 3 2" xfId="19832"/>
    <cellStyle name="Vérification 2 3 5 5 4 3 2 2" xfId="33946"/>
    <cellStyle name="Vérification 2 3 5 5 4 3 3" xfId="11579"/>
    <cellStyle name="Vérification 2 3 5 5 4 3 4" xfId="27800"/>
    <cellStyle name="Vérification 2 3 5 5 4 4" xfId="20679"/>
    <cellStyle name="Vérification 2 3 5 5 4 4 2" xfId="34306"/>
    <cellStyle name="Vérification 2 3 5 5 4 5" xfId="10852"/>
    <cellStyle name="Vérification 2 3 5 5 4 6" xfId="27075"/>
    <cellStyle name="Vérification 2 3 5 5 5" xfId="3209"/>
    <cellStyle name="Vérification 2 3 5 5 5 2" xfId="8230"/>
    <cellStyle name="Vérification 2 3 5 5 5 2 2" xfId="24454"/>
    <cellStyle name="Vérification 2 3 5 5 5 2 2 2" xfId="36461"/>
    <cellStyle name="Vérification 2 3 5 5 5 2 3" xfId="14237"/>
    <cellStyle name="Vérification 2 3 5 5 5 2 4" xfId="30458"/>
    <cellStyle name="Vérification 2 3 5 5 5 3" xfId="9834"/>
    <cellStyle name="Vérification 2 3 5 5 5 3 2" xfId="26058"/>
    <cellStyle name="Vérification 2 3 5 5 5 3 2 2" xfId="38065"/>
    <cellStyle name="Vérification 2 3 5 5 5 3 3" xfId="15841"/>
    <cellStyle name="Vérification 2 3 5 5 5 3 4" xfId="32062"/>
    <cellStyle name="Vérification 2 3 5 5 5 4" xfId="19437"/>
    <cellStyle name="Vérification 2 3 5 5 5 4 2" xfId="33551"/>
    <cellStyle name="Vérification 2 3 5 5 5 5" xfId="11785"/>
    <cellStyle name="Vérification 2 3 5 5 5 6" xfId="28006"/>
    <cellStyle name="Vérification 2 3 5 5 6" xfId="3638"/>
    <cellStyle name="Vérification 2 3 5 5 6 2" xfId="8553"/>
    <cellStyle name="Vérification 2 3 5 5 6 2 2" xfId="24777"/>
    <cellStyle name="Vérification 2 3 5 5 6 2 2 2" xfId="36784"/>
    <cellStyle name="Vérification 2 3 5 5 6 2 3" xfId="14560"/>
    <cellStyle name="Vérification 2 3 5 5 6 2 4" xfId="30781"/>
    <cellStyle name="Vérification 2 3 5 5 6 3" xfId="19866"/>
    <cellStyle name="Vérification 2 3 5 5 6 3 2" xfId="33980"/>
    <cellStyle name="Vérification 2 3 5 5 6 4" xfId="12108"/>
    <cellStyle name="Vérification 2 3 5 5 6 5" xfId="28329"/>
    <cellStyle name="Vérification 2 3 5 5 7" xfId="3696"/>
    <cellStyle name="Vérification 2 3 5 5 7 2" xfId="19924"/>
    <cellStyle name="Vérification 2 3 5 5 7 2 2" xfId="34038"/>
    <cellStyle name="Vérification 2 3 5 5 7 3" xfId="13526"/>
    <cellStyle name="Vérification 2 3 5 5 7 4" xfId="29747"/>
    <cellStyle name="Vérification 2 3 5 5 8" xfId="16995"/>
    <cellStyle name="Vérification 2 3 5 5 8 2" xfId="32729"/>
    <cellStyle name="Vérification 2 3 5 5 9" xfId="10501"/>
    <cellStyle name="Vérification 2 3 5 6" xfId="1331"/>
    <cellStyle name="Vérification 2 3 5 6 2" xfId="2809"/>
    <cellStyle name="Vérification 2 3 5 6 2 2" xfId="6497"/>
    <cellStyle name="Vérification 2 3 5 6 2 2 2" xfId="8878"/>
    <cellStyle name="Vérification 2 3 5 6 2 2 2 2" xfId="25102"/>
    <cellStyle name="Vérification 2 3 5 6 2 2 2 2 2" xfId="37109"/>
    <cellStyle name="Vérification 2 3 5 6 2 2 2 3" xfId="14885"/>
    <cellStyle name="Vérification 2 3 5 6 2 2 2 4" xfId="31106"/>
    <cellStyle name="Vérification 2 3 5 6 2 2 3" xfId="10256"/>
    <cellStyle name="Vérification 2 3 5 6 2 2 3 2" xfId="26480"/>
    <cellStyle name="Vérification 2 3 5 6 2 2 3 2 2" xfId="38487"/>
    <cellStyle name="Vérification 2 3 5 6 2 2 3 3" xfId="16263"/>
    <cellStyle name="Vérification 2 3 5 6 2 2 3 4" xfId="32484"/>
    <cellStyle name="Vérification 2 3 5 6 2 2 4" xfId="22721"/>
    <cellStyle name="Vérification 2 3 5 6 2 2 4 2" xfId="34728"/>
    <cellStyle name="Vérification 2 3 5 6 2 2 5" xfId="12582"/>
    <cellStyle name="Vérification 2 3 5 6 2 2 6" xfId="28803"/>
    <cellStyle name="Vérification 2 3 5 6 2 3" xfId="7545"/>
    <cellStyle name="Vérification 2 3 5 6 2 3 2" xfId="9589"/>
    <cellStyle name="Vérification 2 3 5 6 2 3 2 2" xfId="25813"/>
    <cellStyle name="Vérification 2 3 5 6 2 3 2 2 2" xfId="37820"/>
    <cellStyle name="Vérification 2 3 5 6 2 3 2 3" xfId="15596"/>
    <cellStyle name="Vérification 2 3 5 6 2 3 2 4" xfId="31817"/>
    <cellStyle name="Vérification 2 3 5 6 2 3 3" xfId="23769"/>
    <cellStyle name="Vérification 2 3 5 6 2 3 3 2" xfId="35776"/>
    <cellStyle name="Vérification 2 3 5 6 2 3 4" xfId="13293"/>
    <cellStyle name="Vérification 2 3 5 6 2 3 5" xfId="29514"/>
    <cellStyle name="Vérification 2 3 5 6 2 4" xfId="7922"/>
    <cellStyle name="Vérification 2 3 5 6 2 4 2" xfId="24146"/>
    <cellStyle name="Vérification 2 3 5 6 2 4 2 2" xfId="36153"/>
    <cellStyle name="Vérification 2 3 5 6 2 4 3" xfId="13929"/>
    <cellStyle name="Vérification 2 3 5 6 2 4 4" xfId="30150"/>
    <cellStyle name="Vérification 2 3 5 6 2 5" xfId="19037"/>
    <cellStyle name="Vérification 2 3 5 6 2 5 2" xfId="33151"/>
    <cellStyle name="Vérification 2 3 5 6 2 6" xfId="11278"/>
    <cellStyle name="Vérification 2 3 5 6 2 7" xfId="27499"/>
    <cellStyle name="Vérification 2 3 5 6 3" xfId="5028"/>
    <cellStyle name="Vérification 2 3 5 6 3 2" xfId="7055"/>
    <cellStyle name="Vérification 2 3 5 6 3 2 2" xfId="9256"/>
    <cellStyle name="Vérification 2 3 5 6 3 2 2 2" xfId="25480"/>
    <cellStyle name="Vérification 2 3 5 6 3 2 2 2 2" xfId="37487"/>
    <cellStyle name="Vérification 2 3 5 6 3 2 2 3" xfId="15263"/>
    <cellStyle name="Vérification 2 3 5 6 3 2 2 4" xfId="31484"/>
    <cellStyle name="Vérification 2 3 5 6 3 2 3" xfId="23279"/>
    <cellStyle name="Vérification 2 3 5 6 3 2 3 2" xfId="35286"/>
    <cellStyle name="Vérification 2 3 5 6 3 2 4" xfId="12960"/>
    <cellStyle name="Vérification 2 3 5 6 3 2 5" xfId="29181"/>
    <cellStyle name="Vérification 2 3 5 6 3 3" xfId="6927"/>
    <cellStyle name="Vérification 2 3 5 6 3 3 2" xfId="23151"/>
    <cellStyle name="Vérification 2 3 5 6 3 3 2 2" xfId="35158"/>
    <cellStyle name="Vérification 2 3 5 6 3 3 3" xfId="12301"/>
    <cellStyle name="Vérification 2 3 5 6 3 3 4" xfId="28522"/>
    <cellStyle name="Vérification 2 3 5 6 3 4" xfId="21254"/>
    <cellStyle name="Vérification 2 3 5 6 3 4 2" xfId="34395"/>
    <cellStyle name="Vérification 2 3 5 6 3 5" xfId="10942"/>
    <cellStyle name="Vérification 2 3 5 6 3 6" xfId="27165"/>
    <cellStyle name="Vérification 2 3 5 6 4" xfId="3419"/>
    <cellStyle name="Vérification 2 3 5 6 4 2" xfId="8386"/>
    <cellStyle name="Vérification 2 3 5 6 4 2 2" xfId="24610"/>
    <cellStyle name="Vérification 2 3 5 6 4 2 2 2" xfId="36617"/>
    <cellStyle name="Vérification 2 3 5 6 4 2 3" xfId="14393"/>
    <cellStyle name="Vérification 2 3 5 6 4 2 4" xfId="30614"/>
    <cellStyle name="Vérification 2 3 5 6 4 3" xfId="9923"/>
    <cellStyle name="Vérification 2 3 5 6 4 3 2" xfId="26147"/>
    <cellStyle name="Vérification 2 3 5 6 4 3 2 2" xfId="38154"/>
    <cellStyle name="Vérification 2 3 5 6 4 3 3" xfId="15930"/>
    <cellStyle name="Vérification 2 3 5 6 4 3 4" xfId="32151"/>
    <cellStyle name="Vérification 2 3 5 6 4 4" xfId="19647"/>
    <cellStyle name="Vérification 2 3 5 6 4 4 2" xfId="33761"/>
    <cellStyle name="Vérification 2 3 5 6 4 5" xfId="11941"/>
    <cellStyle name="Vérification 2 3 5 6 4 6" xfId="28162"/>
    <cellStyle name="Vérification 2 3 5 6 5" xfId="3530"/>
    <cellStyle name="Vérification 2 3 5 6 5 2" xfId="8493"/>
    <cellStyle name="Vérification 2 3 5 6 5 2 2" xfId="24717"/>
    <cellStyle name="Vérification 2 3 5 6 5 2 2 2" xfId="36724"/>
    <cellStyle name="Vérification 2 3 5 6 5 2 3" xfId="14500"/>
    <cellStyle name="Vérification 2 3 5 6 5 2 4" xfId="30721"/>
    <cellStyle name="Vérification 2 3 5 6 5 3" xfId="19758"/>
    <cellStyle name="Vérification 2 3 5 6 5 3 2" xfId="33872"/>
    <cellStyle name="Vérification 2 3 5 6 5 4" xfId="12048"/>
    <cellStyle name="Vérification 2 3 5 6 5 5" xfId="28269"/>
    <cellStyle name="Vérification 2 3 5 6 6" xfId="3819"/>
    <cellStyle name="Vérification 2 3 5 6 6 2" xfId="20047"/>
    <cellStyle name="Vérification 2 3 5 6 6 2 2" xfId="34161"/>
    <cellStyle name="Vérification 2 3 5 6 6 3" xfId="11522"/>
    <cellStyle name="Vérification 2 3 5 6 6 4" xfId="27743"/>
    <cellStyle name="Vérification 2 3 5 6 7" xfId="17570"/>
    <cellStyle name="Vérification 2 3 5 6 7 2" xfId="32818"/>
    <cellStyle name="Vérification 2 3 5 6 8" xfId="10590"/>
    <cellStyle name="Vérification 2 3 5 6 9" xfId="26815"/>
    <cellStyle name="Vérification 2 3 5 7" xfId="2514"/>
    <cellStyle name="Vérification 2 3 5 7 2" xfId="2921"/>
    <cellStyle name="Vérification 2 3 5 7 2 2" xfId="6609"/>
    <cellStyle name="Vérification 2 3 5 7 2 2 2" xfId="8990"/>
    <cellStyle name="Vérification 2 3 5 7 2 2 2 2" xfId="25214"/>
    <cellStyle name="Vérification 2 3 5 7 2 2 2 2 2" xfId="37221"/>
    <cellStyle name="Vérification 2 3 5 7 2 2 2 3" xfId="14997"/>
    <cellStyle name="Vérification 2 3 5 7 2 2 2 4" xfId="31218"/>
    <cellStyle name="Vérification 2 3 5 7 2 2 3" xfId="10368"/>
    <cellStyle name="Vérification 2 3 5 7 2 2 3 2" xfId="26592"/>
    <cellStyle name="Vérification 2 3 5 7 2 2 3 2 2" xfId="38599"/>
    <cellStyle name="Vérification 2 3 5 7 2 2 3 3" xfId="16375"/>
    <cellStyle name="Vérification 2 3 5 7 2 2 3 4" xfId="32596"/>
    <cellStyle name="Vérification 2 3 5 7 2 2 4" xfId="22833"/>
    <cellStyle name="Vérification 2 3 5 7 2 2 4 2" xfId="34840"/>
    <cellStyle name="Vérification 2 3 5 7 2 2 5" xfId="12694"/>
    <cellStyle name="Vérification 2 3 5 7 2 2 6" xfId="28915"/>
    <cellStyle name="Vérification 2 3 5 7 2 3" xfId="7657"/>
    <cellStyle name="Vérification 2 3 5 7 2 3 2" xfId="9701"/>
    <cellStyle name="Vérification 2 3 5 7 2 3 2 2" xfId="25925"/>
    <cellStyle name="Vérification 2 3 5 7 2 3 2 2 2" xfId="37932"/>
    <cellStyle name="Vérification 2 3 5 7 2 3 2 3" xfId="15708"/>
    <cellStyle name="Vérification 2 3 5 7 2 3 2 4" xfId="31929"/>
    <cellStyle name="Vérification 2 3 5 7 2 3 3" xfId="23881"/>
    <cellStyle name="Vérification 2 3 5 7 2 3 3 2" xfId="35888"/>
    <cellStyle name="Vérification 2 3 5 7 2 3 4" xfId="13405"/>
    <cellStyle name="Vérification 2 3 5 7 2 3 5" xfId="29626"/>
    <cellStyle name="Vérification 2 3 5 7 2 4" xfId="8034"/>
    <cellStyle name="Vérification 2 3 5 7 2 4 2" xfId="24258"/>
    <cellStyle name="Vérification 2 3 5 7 2 4 2 2" xfId="36265"/>
    <cellStyle name="Vérification 2 3 5 7 2 4 3" xfId="14041"/>
    <cellStyle name="Vérification 2 3 5 7 2 4 4" xfId="30262"/>
    <cellStyle name="Vérification 2 3 5 7 2 5" xfId="19149"/>
    <cellStyle name="Vérification 2 3 5 7 2 5 2" xfId="33263"/>
    <cellStyle name="Vérification 2 3 5 7 2 6" xfId="11390"/>
    <cellStyle name="Vérification 2 3 5 7 2 7" xfId="27611"/>
    <cellStyle name="Vérification 2 3 5 7 3" xfId="6204"/>
    <cellStyle name="Vérification 2 3 5 7 3 2" xfId="7317"/>
    <cellStyle name="Vérification 2 3 5 7 3 2 2" xfId="9368"/>
    <cellStyle name="Vérification 2 3 5 7 3 2 2 2" xfId="25592"/>
    <cellStyle name="Vérification 2 3 5 7 3 2 2 2 2" xfId="37599"/>
    <cellStyle name="Vérification 2 3 5 7 3 2 2 3" xfId="15375"/>
    <cellStyle name="Vérification 2 3 5 7 3 2 2 4" xfId="31596"/>
    <cellStyle name="Vérification 2 3 5 7 3 2 3" xfId="23541"/>
    <cellStyle name="Vérification 2 3 5 7 3 2 3 2" xfId="35548"/>
    <cellStyle name="Vérification 2 3 5 7 3 2 4" xfId="13072"/>
    <cellStyle name="Vérification 2 3 5 7 3 2 5" xfId="29293"/>
    <cellStyle name="Vérification 2 3 5 7 3 3" xfId="7701"/>
    <cellStyle name="Vérification 2 3 5 7 3 3 2" xfId="23925"/>
    <cellStyle name="Vérification 2 3 5 7 3 3 2 2" xfId="35932"/>
    <cellStyle name="Vérification 2 3 5 7 3 3 3" xfId="13708"/>
    <cellStyle name="Vérification 2 3 5 7 3 3 4" xfId="29929"/>
    <cellStyle name="Vérification 2 3 5 7 3 4" xfId="22428"/>
    <cellStyle name="Vérification 2 3 5 7 3 4 2" xfId="34507"/>
    <cellStyle name="Vérification 2 3 5 7 3 5" xfId="11056"/>
    <cellStyle name="Vérification 2 3 5 7 3 6" xfId="27277"/>
    <cellStyle name="Vérification 2 3 5 7 4" xfId="3809"/>
    <cellStyle name="Vérification 2 3 5 7 4 2" xfId="8647"/>
    <cellStyle name="Vérification 2 3 5 7 4 2 2" xfId="24871"/>
    <cellStyle name="Vérification 2 3 5 7 4 2 2 2" xfId="36878"/>
    <cellStyle name="Vérification 2 3 5 7 4 2 3" xfId="14654"/>
    <cellStyle name="Vérification 2 3 5 7 4 2 4" xfId="30875"/>
    <cellStyle name="Vérification 2 3 5 7 4 3" xfId="10035"/>
    <cellStyle name="Vérification 2 3 5 7 4 3 2" xfId="26259"/>
    <cellStyle name="Vérification 2 3 5 7 4 3 2 2" xfId="38266"/>
    <cellStyle name="Vérification 2 3 5 7 4 3 3" xfId="16042"/>
    <cellStyle name="Vérification 2 3 5 7 4 3 4" xfId="32263"/>
    <cellStyle name="Vérification 2 3 5 7 4 4" xfId="20037"/>
    <cellStyle name="Vérification 2 3 5 7 4 4 2" xfId="34151"/>
    <cellStyle name="Vérification 2 3 5 7 4 5" xfId="12202"/>
    <cellStyle name="Vérification 2 3 5 7 4 6" xfId="28423"/>
    <cellStyle name="Vérification 2 3 5 7 5" xfId="6680"/>
    <cellStyle name="Vérification 2 3 5 7 5 2" xfId="9034"/>
    <cellStyle name="Vérification 2 3 5 7 5 2 2" xfId="25258"/>
    <cellStyle name="Vérification 2 3 5 7 5 2 2 2" xfId="37265"/>
    <cellStyle name="Vérification 2 3 5 7 5 2 3" xfId="15041"/>
    <cellStyle name="Vérification 2 3 5 7 5 2 4" xfId="31262"/>
    <cellStyle name="Vérification 2 3 5 7 5 3" xfId="22904"/>
    <cellStyle name="Vérification 2 3 5 7 5 3 2" xfId="34911"/>
    <cellStyle name="Vérification 2 3 5 7 5 4" xfId="12738"/>
    <cellStyle name="Vérification 2 3 5 7 5 5" xfId="28959"/>
    <cellStyle name="Vérification 2 3 5 7 6" xfId="7037"/>
    <cellStyle name="Vérification 2 3 5 7 6 2" xfId="23261"/>
    <cellStyle name="Vérification 2 3 5 7 6 2 2" xfId="35268"/>
    <cellStyle name="Vérification 2 3 5 7 6 3" xfId="13535"/>
    <cellStyle name="Vérification 2 3 5 7 6 4" xfId="29756"/>
    <cellStyle name="Vérification 2 3 5 7 7" xfId="18744"/>
    <cellStyle name="Vérification 2 3 5 7 7 2" xfId="32930"/>
    <cellStyle name="Vérification 2 3 5 7 8" xfId="10704"/>
    <cellStyle name="Vérification 2 3 5 7 9" xfId="26927"/>
    <cellStyle name="Vérification 2 3 5 8" xfId="2609"/>
    <cellStyle name="Vérification 2 3 5 8 2" xfId="2942"/>
    <cellStyle name="Vérification 2 3 5 8 2 2" xfId="6630"/>
    <cellStyle name="Vérification 2 3 5 8 2 2 2" xfId="9011"/>
    <cellStyle name="Vérification 2 3 5 8 2 2 2 2" xfId="25235"/>
    <cellStyle name="Vérification 2 3 5 8 2 2 2 2 2" xfId="37242"/>
    <cellStyle name="Vérification 2 3 5 8 2 2 2 3" xfId="15018"/>
    <cellStyle name="Vérification 2 3 5 8 2 2 2 4" xfId="31239"/>
    <cellStyle name="Vérification 2 3 5 8 2 2 3" xfId="10389"/>
    <cellStyle name="Vérification 2 3 5 8 2 2 3 2" xfId="26613"/>
    <cellStyle name="Vérification 2 3 5 8 2 2 3 2 2" xfId="38620"/>
    <cellStyle name="Vérification 2 3 5 8 2 2 3 3" xfId="16396"/>
    <cellStyle name="Vérification 2 3 5 8 2 2 3 4" xfId="32617"/>
    <cellStyle name="Vérification 2 3 5 8 2 2 4" xfId="22854"/>
    <cellStyle name="Vérification 2 3 5 8 2 2 4 2" xfId="34861"/>
    <cellStyle name="Vérification 2 3 5 8 2 2 5" xfId="12715"/>
    <cellStyle name="Vérification 2 3 5 8 2 2 6" xfId="28936"/>
    <cellStyle name="Vérification 2 3 5 8 2 3" xfId="7678"/>
    <cellStyle name="Vérification 2 3 5 8 2 3 2" xfId="9722"/>
    <cellStyle name="Vérification 2 3 5 8 2 3 2 2" xfId="25946"/>
    <cellStyle name="Vérification 2 3 5 8 2 3 2 2 2" xfId="37953"/>
    <cellStyle name="Vérification 2 3 5 8 2 3 2 3" xfId="15729"/>
    <cellStyle name="Vérification 2 3 5 8 2 3 2 4" xfId="31950"/>
    <cellStyle name="Vérification 2 3 5 8 2 3 3" xfId="23902"/>
    <cellStyle name="Vérification 2 3 5 8 2 3 3 2" xfId="35909"/>
    <cellStyle name="Vérification 2 3 5 8 2 3 4" xfId="13426"/>
    <cellStyle name="Vérification 2 3 5 8 2 3 5" xfId="29647"/>
    <cellStyle name="Vérification 2 3 5 8 2 4" xfId="8055"/>
    <cellStyle name="Vérification 2 3 5 8 2 4 2" xfId="24279"/>
    <cellStyle name="Vérification 2 3 5 8 2 4 2 2" xfId="36286"/>
    <cellStyle name="Vérification 2 3 5 8 2 4 3" xfId="14062"/>
    <cellStyle name="Vérification 2 3 5 8 2 4 4" xfId="30283"/>
    <cellStyle name="Vérification 2 3 5 8 2 5" xfId="19170"/>
    <cellStyle name="Vérification 2 3 5 8 2 5 2" xfId="33284"/>
    <cellStyle name="Vérification 2 3 5 8 2 6" xfId="11411"/>
    <cellStyle name="Vérification 2 3 5 8 2 7" xfId="27632"/>
    <cellStyle name="Vérification 2 3 5 8 3" xfId="6297"/>
    <cellStyle name="Vérification 2 3 5 8 3 2" xfId="7345"/>
    <cellStyle name="Vérification 2 3 5 8 3 2 2" xfId="9389"/>
    <cellStyle name="Vérification 2 3 5 8 3 2 2 2" xfId="25613"/>
    <cellStyle name="Vérification 2 3 5 8 3 2 2 2 2" xfId="37620"/>
    <cellStyle name="Vérification 2 3 5 8 3 2 2 3" xfId="15396"/>
    <cellStyle name="Vérification 2 3 5 8 3 2 2 4" xfId="31617"/>
    <cellStyle name="Vérification 2 3 5 8 3 2 3" xfId="23569"/>
    <cellStyle name="Vérification 2 3 5 8 3 2 3 2" xfId="35576"/>
    <cellStyle name="Vérification 2 3 5 8 3 2 4" xfId="13093"/>
    <cellStyle name="Vérification 2 3 5 8 3 2 5" xfId="29314"/>
    <cellStyle name="Vérification 2 3 5 8 3 3" xfId="7722"/>
    <cellStyle name="Vérification 2 3 5 8 3 3 2" xfId="23946"/>
    <cellStyle name="Vérification 2 3 5 8 3 3 2 2" xfId="35953"/>
    <cellStyle name="Vérification 2 3 5 8 3 3 3" xfId="13729"/>
    <cellStyle name="Vérification 2 3 5 8 3 3 4" xfId="29950"/>
    <cellStyle name="Vérification 2 3 5 8 3 4" xfId="22521"/>
    <cellStyle name="Vérification 2 3 5 8 3 4 2" xfId="34528"/>
    <cellStyle name="Vérification 2 3 5 8 3 5" xfId="11078"/>
    <cellStyle name="Vérification 2 3 5 8 3 6" xfId="27299"/>
    <cellStyle name="Vérification 2 3 5 8 4" xfId="3852"/>
    <cellStyle name="Vérification 2 3 5 8 4 2" xfId="8678"/>
    <cellStyle name="Vérification 2 3 5 8 4 2 2" xfId="24902"/>
    <cellStyle name="Vérification 2 3 5 8 4 2 2 2" xfId="36909"/>
    <cellStyle name="Vérification 2 3 5 8 4 2 3" xfId="14685"/>
    <cellStyle name="Vérification 2 3 5 8 4 2 4" xfId="30906"/>
    <cellStyle name="Vérification 2 3 5 8 4 3" xfId="10056"/>
    <cellStyle name="Vérification 2 3 5 8 4 3 2" xfId="26280"/>
    <cellStyle name="Vérification 2 3 5 8 4 3 2 2" xfId="38287"/>
    <cellStyle name="Vérification 2 3 5 8 4 3 3" xfId="16063"/>
    <cellStyle name="Vérification 2 3 5 8 4 3 4" xfId="32284"/>
    <cellStyle name="Vérification 2 3 5 8 4 4" xfId="20080"/>
    <cellStyle name="Vérification 2 3 5 8 4 4 2" xfId="34194"/>
    <cellStyle name="Vérification 2 3 5 8 4 5" xfId="12233"/>
    <cellStyle name="Vérification 2 3 5 8 4 6" xfId="28454"/>
    <cellStyle name="Vérification 2 3 5 8 5" xfId="6709"/>
    <cellStyle name="Vérification 2 3 5 8 5 2" xfId="9055"/>
    <cellStyle name="Vérification 2 3 5 8 5 2 2" xfId="25279"/>
    <cellStyle name="Vérification 2 3 5 8 5 2 2 2" xfId="37286"/>
    <cellStyle name="Vérification 2 3 5 8 5 2 3" xfId="15062"/>
    <cellStyle name="Vérification 2 3 5 8 5 2 4" xfId="31283"/>
    <cellStyle name="Vérification 2 3 5 8 5 3" xfId="22933"/>
    <cellStyle name="Vérification 2 3 5 8 5 3 2" xfId="34940"/>
    <cellStyle name="Vérification 2 3 5 8 5 4" xfId="12759"/>
    <cellStyle name="Vérification 2 3 5 8 5 5" xfId="28980"/>
    <cellStyle name="Vérification 2 3 5 8 6" xfId="7163"/>
    <cellStyle name="Vérification 2 3 5 8 6 2" xfId="23387"/>
    <cellStyle name="Vérification 2 3 5 8 6 2 2" xfId="35394"/>
    <cellStyle name="Vérification 2 3 5 8 6 3" xfId="13547"/>
    <cellStyle name="Vérification 2 3 5 8 6 4" xfId="29768"/>
    <cellStyle name="Vérification 2 3 5 8 7" xfId="18837"/>
    <cellStyle name="Vérification 2 3 5 8 7 2" xfId="32951"/>
    <cellStyle name="Vérification 2 3 5 8 8" xfId="10725"/>
    <cellStyle name="Vérification 2 3 5 8 9" xfId="26948"/>
    <cellStyle name="Vérification 2 3 5 9" xfId="2631"/>
    <cellStyle name="Vérification 2 3 5 9 2" xfId="6319"/>
    <cellStyle name="Vérification 2 3 5 9 2 2" xfId="8700"/>
    <cellStyle name="Vérification 2 3 5 9 2 2 2" xfId="24924"/>
    <cellStyle name="Vérification 2 3 5 9 2 2 2 2" xfId="36931"/>
    <cellStyle name="Vérification 2 3 5 9 2 2 3" xfId="14707"/>
    <cellStyle name="Vérification 2 3 5 9 2 2 4" xfId="30928"/>
    <cellStyle name="Vérification 2 3 5 9 2 3" xfId="10078"/>
    <cellStyle name="Vérification 2 3 5 9 2 3 2" xfId="26302"/>
    <cellStyle name="Vérification 2 3 5 9 2 3 2 2" xfId="38309"/>
    <cellStyle name="Vérification 2 3 5 9 2 3 3" xfId="16085"/>
    <cellStyle name="Vérification 2 3 5 9 2 3 4" xfId="32306"/>
    <cellStyle name="Vérification 2 3 5 9 2 4" xfId="22543"/>
    <cellStyle name="Vérification 2 3 5 9 2 4 2" xfId="34550"/>
    <cellStyle name="Vérification 2 3 5 9 2 5" xfId="12404"/>
    <cellStyle name="Vérification 2 3 5 9 2 6" xfId="28625"/>
    <cellStyle name="Vérification 2 3 5 9 3" xfId="7367"/>
    <cellStyle name="Vérification 2 3 5 9 3 2" xfId="9411"/>
    <cellStyle name="Vérification 2 3 5 9 3 2 2" xfId="25635"/>
    <cellStyle name="Vérification 2 3 5 9 3 2 2 2" xfId="37642"/>
    <cellStyle name="Vérification 2 3 5 9 3 2 3" xfId="15418"/>
    <cellStyle name="Vérification 2 3 5 9 3 2 4" xfId="31639"/>
    <cellStyle name="Vérification 2 3 5 9 3 3" xfId="23591"/>
    <cellStyle name="Vérification 2 3 5 9 3 3 2" xfId="35598"/>
    <cellStyle name="Vérification 2 3 5 9 3 4" xfId="13115"/>
    <cellStyle name="Vérification 2 3 5 9 3 5" xfId="29336"/>
    <cellStyle name="Vérification 2 3 5 9 4" xfId="7744"/>
    <cellStyle name="Vérification 2 3 5 9 4 2" xfId="23968"/>
    <cellStyle name="Vérification 2 3 5 9 4 2 2" xfId="35975"/>
    <cellStyle name="Vérification 2 3 5 9 4 3" xfId="13751"/>
    <cellStyle name="Vérification 2 3 5 9 4 4" xfId="29972"/>
    <cellStyle name="Vérification 2 3 5 9 5" xfId="18859"/>
    <cellStyle name="Vérification 2 3 5 9 5 2" xfId="32973"/>
    <cellStyle name="Vérification 2 3 5 9 6" xfId="11100"/>
    <cellStyle name="Vérification 2 3 5 9 7" xfId="27321"/>
    <cellStyle name="Vérification 2 3 6" xfId="212"/>
    <cellStyle name="Vérification 2 3 6 10" xfId="3969"/>
    <cellStyle name="Vérification 2 3 6 10 2" xfId="6752"/>
    <cellStyle name="Vérification 2 3 6 10 2 2" xfId="9080"/>
    <cellStyle name="Vérification 2 3 6 10 2 2 2" xfId="25304"/>
    <cellStyle name="Vérification 2 3 6 10 2 2 2 2" xfId="37311"/>
    <cellStyle name="Vérification 2 3 6 10 2 2 3" xfId="15087"/>
    <cellStyle name="Vérification 2 3 6 10 2 2 4" xfId="31308"/>
    <cellStyle name="Vérification 2 3 6 10 2 3" xfId="22976"/>
    <cellStyle name="Vérification 2 3 6 10 2 3 2" xfId="34983"/>
    <cellStyle name="Vérification 2 3 6 10 2 4" xfId="12784"/>
    <cellStyle name="Vérification 2 3 6 10 2 5" xfId="29005"/>
    <cellStyle name="Vérification 2 3 6 10 3" xfId="7196"/>
    <cellStyle name="Vérification 2 3 6 10 3 2" xfId="23420"/>
    <cellStyle name="Vérification 2 3 6 10 3 2 2" xfId="35427"/>
    <cellStyle name="Vérification 2 3 6 10 3 3" xfId="13580"/>
    <cellStyle name="Vérification 2 3 6 10 3 4" xfId="29801"/>
    <cellStyle name="Vérification 2 3 6 10 4" xfId="20196"/>
    <cellStyle name="Vérification 2 3 6 10 4 2" xfId="34219"/>
    <cellStyle name="Vérification 2 3 6 10 5" xfId="10757"/>
    <cellStyle name="Vérification 2 3 6 10 6" xfId="26980"/>
    <cellStyle name="Vérification 2 3 6 11" xfId="3012"/>
    <cellStyle name="Vérification 2 3 6 11 2" xfId="8097"/>
    <cellStyle name="Vérification 2 3 6 11 2 2" xfId="24321"/>
    <cellStyle name="Vérification 2 3 6 11 2 2 2" xfId="36328"/>
    <cellStyle name="Vérification 2 3 6 11 2 3" xfId="14104"/>
    <cellStyle name="Vérification 2 3 6 11 2 4" xfId="30325"/>
    <cellStyle name="Vérification 2 3 6 11 3" xfId="9747"/>
    <cellStyle name="Vérification 2 3 6 11 3 2" xfId="25971"/>
    <cellStyle name="Vérification 2 3 6 11 3 2 2" xfId="37978"/>
    <cellStyle name="Vérification 2 3 6 11 3 3" xfId="15754"/>
    <cellStyle name="Vérification 2 3 6 11 3 4" xfId="31975"/>
    <cellStyle name="Vérification 2 3 6 11 4" xfId="19240"/>
    <cellStyle name="Vérification 2 3 6 11 4 2" xfId="33354"/>
    <cellStyle name="Vérification 2 3 6 11 5" xfId="11652"/>
    <cellStyle name="Vérification 2 3 6 11 6" xfId="27873"/>
    <cellStyle name="Vérification 2 3 6 12" xfId="3034"/>
    <cellStyle name="Vérification 2 3 6 12 2" xfId="8112"/>
    <cellStyle name="Vérification 2 3 6 12 2 2" xfId="24336"/>
    <cellStyle name="Vérification 2 3 6 12 2 2 2" xfId="36343"/>
    <cellStyle name="Vérification 2 3 6 12 2 3" xfId="14119"/>
    <cellStyle name="Vérification 2 3 6 12 2 4" xfId="30340"/>
    <cellStyle name="Vérification 2 3 6 12 3" xfId="19262"/>
    <cellStyle name="Vérification 2 3 6 12 3 2" xfId="33376"/>
    <cellStyle name="Vérification 2 3 6 12 4" xfId="11667"/>
    <cellStyle name="Vérification 2 3 6 12 5" xfId="27888"/>
    <cellStyle name="Vérification 2 3 6 13" xfId="3125"/>
    <cellStyle name="Vérification 2 3 6 13 2" xfId="19353"/>
    <cellStyle name="Vérification 2 3 6 13 2 2" xfId="33467"/>
    <cellStyle name="Vérification 2 3 6 13 3" xfId="12253"/>
    <cellStyle name="Vérification 2 3 6 13 4" xfId="28474"/>
    <cellStyle name="Vérification 2 3 6 14" xfId="16512"/>
    <cellStyle name="Vérification 2 3 6 14 2" xfId="32642"/>
    <cellStyle name="Vérification 2 3 6 15" xfId="10414"/>
    <cellStyle name="Vérification 2 3 6 16" xfId="26639"/>
    <cellStyle name="Vérification 2 3 6 2" xfId="418"/>
    <cellStyle name="Vérification 2 3 6 2 10" xfId="10437"/>
    <cellStyle name="Vérification 2 3 6 2 11" xfId="26662"/>
    <cellStyle name="Vérification 2 3 6 2 2" xfId="1356"/>
    <cellStyle name="Vérification 2 3 6 2 2 2" xfId="2834"/>
    <cellStyle name="Vérification 2 3 6 2 2 2 2" xfId="6522"/>
    <cellStyle name="Vérification 2 3 6 2 2 2 2 2" xfId="8903"/>
    <cellStyle name="Vérification 2 3 6 2 2 2 2 2 2" xfId="25127"/>
    <cellStyle name="Vérification 2 3 6 2 2 2 2 2 2 2" xfId="37134"/>
    <cellStyle name="Vérification 2 3 6 2 2 2 2 2 3" xfId="14910"/>
    <cellStyle name="Vérification 2 3 6 2 2 2 2 2 4" xfId="31131"/>
    <cellStyle name="Vérification 2 3 6 2 2 2 2 3" xfId="10281"/>
    <cellStyle name="Vérification 2 3 6 2 2 2 2 3 2" xfId="26505"/>
    <cellStyle name="Vérification 2 3 6 2 2 2 2 3 2 2" xfId="38512"/>
    <cellStyle name="Vérification 2 3 6 2 2 2 2 3 3" xfId="16288"/>
    <cellStyle name="Vérification 2 3 6 2 2 2 2 3 4" xfId="32509"/>
    <cellStyle name="Vérification 2 3 6 2 2 2 2 4" xfId="22746"/>
    <cellStyle name="Vérification 2 3 6 2 2 2 2 4 2" xfId="34753"/>
    <cellStyle name="Vérification 2 3 6 2 2 2 2 5" xfId="12607"/>
    <cellStyle name="Vérification 2 3 6 2 2 2 2 6" xfId="28828"/>
    <cellStyle name="Vérification 2 3 6 2 2 2 3" xfId="7570"/>
    <cellStyle name="Vérification 2 3 6 2 2 2 3 2" xfId="9614"/>
    <cellStyle name="Vérification 2 3 6 2 2 2 3 2 2" xfId="25838"/>
    <cellStyle name="Vérification 2 3 6 2 2 2 3 2 2 2" xfId="37845"/>
    <cellStyle name="Vérification 2 3 6 2 2 2 3 2 3" xfId="15621"/>
    <cellStyle name="Vérification 2 3 6 2 2 2 3 2 4" xfId="31842"/>
    <cellStyle name="Vérification 2 3 6 2 2 2 3 3" xfId="23794"/>
    <cellStyle name="Vérification 2 3 6 2 2 2 3 3 2" xfId="35801"/>
    <cellStyle name="Vérification 2 3 6 2 2 2 3 4" xfId="13318"/>
    <cellStyle name="Vérification 2 3 6 2 2 2 3 5" xfId="29539"/>
    <cellStyle name="Vérification 2 3 6 2 2 2 4" xfId="7947"/>
    <cellStyle name="Vérification 2 3 6 2 2 2 4 2" xfId="24171"/>
    <cellStyle name="Vérification 2 3 6 2 2 2 4 2 2" xfId="36178"/>
    <cellStyle name="Vérification 2 3 6 2 2 2 4 3" xfId="13954"/>
    <cellStyle name="Vérification 2 3 6 2 2 2 4 4" xfId="30175"/>
    <cellStyle name="Vérification 2 3 6 2 2 2 5" xfId="19062"/>
    <cellStyle name="Vérification 2 3 6 2 2 2 5 2" xfId="33176"/>
    <cellStyle name="Vérification 2 3 6 2 2 2 6" xfId="11303"/>
    <cellStyle name="Vérification 2 3 6 2 2 2 7" xfId="27524"/>
    <cellStyle name="Vérification 2 3 6 2 2 3" xfId="5053"/>
    <cellStyle name="Vérification 2 3 6 2 2 3 2" xfId="7080"/>
    <cellStyle name="Vérification 2 3 6 2 2 3 2 2" xfId="9281"/>
    <cellStyle name="Vérification 2 3 6 2 2 3 2 2 2" xfId="25505"/>
    <cellStyle name="Vérification 2 3 6 2 2 3 2 2 2 2" xfId="37512"/>
    <cellStyle name="Vérification 2 3 6 2 2 3 2 2 3" xfId="15288"/>
    <cellStyle name="Vérification 2 3 6 2 2 3 2 2 4" xfId="31509"/>
    <cellStyle name="Vérification 2 3 6 2 2 3 2 3" xfId="23304"/>
    <cellStyle name="Vérification 2 3 6 2 2 3 2 3 2" xfId="35311"/>
    <cellStyle name="Vérification 2 3 6 2 2 3 2 4" xfId="12985"/>
    <cellStyle name="Vérification 2 3 6 2 2 3 2 5" xfId="29206"/>
    <cellStyle name="Vérification 2 3 6 2 2 3 3" xfId="3650"/>
    <cellStyle name="Vérification 2 3 6 2 2 3 3 2" xfId="19878"/>
    <cellStyle name="Vérification 2 3 6 2 2 3 3 2 2" xfId="33992"/>
    <cellStyle name="Vérification 2 3 6 2 2 3 3 3" xfId="11561"/>
    <cellStyle name="Vérification 2 3 6 2 2 3 3 4" xfId="27782"/>
    <cellStyle name="Vérification 2 3 6 2 2 3 4" xfId="21279"/>
    <cellStyle name="Vérification 2 3 6 2 2 3 4 2" xfId="34420"/>
    <cellStyle name="Vérification 2 3 6 2 2 3 5" xfId="10967"/>
    <cellStyle name="Vérification 2 3 6 2 2 3 6" xfId="27190"/>
    <cellStyle name="Vérification 2 3 6 2 2 4" xfId="3444"/>
    <cellStyle name="Vérification 2 3 6 2 2 4 2" xfId="8411"/>
    <cellStyle name="Vérification 2 3 6 2 2 4 2 2" xfId="24635"/>
    <cellStyle name="Vérification 2 3 6 2 2 4 2 2 2" xfId="36642"/>
    <cellStyle name="Vérification 2 3 6 2 2 4 2 3" xfId="14418"/>
    <cellStyle name="Vérification 2 3 6 2 2 4 2 4" xfId="30639"/>
    <cellStyle name="Vérification 2 3 6 2 2 4 3" xfId="9948"/>
    <cellStyle name="Vérification 2 3 6 2 2 4 3 2" xfId="26172"/>
    <cellStyle name="Vérification 2 3 6 2 2 4 3 2 2" xfId="38179"/>
    <cellStyle name="Vérification 2 3 6 2 2 4 3 3" xfId="15955"/>
    <cellStyle name="Vérification 2 3 6 2 2 4 3 4" xfId="32176"/>
    <cellStyle name="Vérification 2 3 6 2 2 4 4" xfId="19672"/>
    <cellStyle name="Vérification 2 3 6 2 2 4 4 2" xfId="33786"/>
    <cellStyle name="Vérification 2 3 6 2 2 4 5" xfId="11966"/>
    <cellStyle name="Vérification 2 3 6 2 2 4 6" xfId="28187"/>
    <cellStyle name="Vérification 2 3 6 2 2 5" xfId="3781"/>
    <cellStyle name="Vérification 2 3 6 2 2 5 2" xfId="8628"/>
    <cellStyle name="Vérification 2 3 6 2 2 5 2 2" xfId="24852"/>
    <cellStyle name="Vérification 2 3 6 2 2 5 2 2 2" xfId="36859"/>
    <cellStyle name="Vérification 2 3 6 2 2 5 2 3" xfId="14635"/>
    <cellStyle name="Vérification 2 3 6 2 2 5 2 4" xfId="30856"/>
    <cellStyle name="Vérification 2 3 6 2 2 5 3" xfId="20009"/>
    <cellStyle name="Vérification 2 3 6 2 2 5 3 2" xfId="34123"/>
    <cellStyle name="Vérification 2 3 6 2 2 5 4" xfId="12183"/>
    <cellStyle name="Vérification 2 3 6 2 2 5 5" xfId="28404"/>
    <cellStyle name="Vérification 2 3 6 2 2 6" xfId="2953"/>
    <cellStyle name="Vérification 2 3 6 2 2 6 2" xfId="19181"/>
    <cellStyle name="Vérification 2 3 6 2 2 6 2 2" xfId="33295"/>
    <cellStyle name="Vérification 2 3 6 2 2 6 3" xfId="12335"/>
    <cellStyle name="Vérification 2 3 6 2 2 6 4" xfId="28556"/>
    <cellStyle name="Vérification 2 3 6 2 2 7" xfId="17595"/>
    <cellStyle name="Vérification 2 3 6 2 2 7 2" xfId="32843"/>
    <cellStyle name="Vérification 2 3 6 2 2 8" xfId="10615"/>
    <cellStyle name="Vérification 2 3 6 2 2 9" xfId="26840"/>
    <cellStyle name="Vérification 2 3 6 2 3" xfId="1033"/>
    <cellStyle name="Vérification 2 3 6 2 3 2" xfId="2745"/>
    <cellStyle name="Vérification 2 3 6 2 3 2 2" xfId="6433"/>
    <cellStyle name="Vérification 2 3 6 2 3 2 2 2" xfId="8814"/>
    <cellStyle name="Vérification 2 3 6 2 3 2 2 2 2" xfId="25038"/>
    <cellStyle name="Vérification 2 3 6 2 3 2 2 2 2 2" xfId="37045"/>
    <cellStyle name="Vérification 2 3 6 2 3 2 2 2 3" xfId="14821"/>
    <cellStyle name="Vérification 2 3 6 2 3 2 2 2 4" xfId="31042"/>
    <cellStyle name="Vérification 2 3 6 2 3 2 2 3" xfId="10192"/>
    <cellStyle name="Vérification 2 3 6 2 3 2 2 3 2" xfId="26416"/>
    <cellStyle name="Vérification 2 3 6 2 3 2 2 3 2 2" xfId="38423"/>
    <cellStyle name="Vérification 2 3 6 2 3 2 2 3 3" xfId="16199"/>
    <cellStyle name="Vérification 2 3 6 2 3 2 2 3 4" xfId="32420"/>
    <cellStyle name="Vérification 2 3 6 2 3 2 2 4" xfId="22657"/>
    <cellStyle name="Vérification 2 3 6 2 3 2 2 4 2" xfId="34664"/>
    <cellStyle name="Vérification 2 3 6 2 3 2 2 5" xfId="12518"/>
    <cellStyle name="Vérification 2 3 6 2 3 2 2 6" xfId="28739"/>
    <cellStyle name="Vérification 2 3 6 2 3 2 3" xfId="7481"/>
    <cellStyle name="Vérification 2 3 6 2 3 2 3 2" xfId="9525"/>
    <cellStyle name="Vérification 2 3 6 2 3 2 3 2 2" xfId="25749"/>
    <cellStyle name="Vérification 2 3 6 2 3 2 3 2 2 2" xfId="37756"/>
    <cellStyle name="Vérification 2 3 6 2 3 2 3 2 3" xfId="15532"/>
    <cellStyle name="Vérification 2 3 6 2 3 2 3 2 4" xfId="31753"/>
    <cellStyle name="Vérification 2 3 6 2 3 2 3 3" xfId="23705"/>
    <cellStyle name="Vérification 2 3 6 2 3 2 3 3 2" xfId="35712"/>
    <cellStyle name="Vérification 2 3 6 2 3 2 3 4" xfId="13229"/>
    <cellStyle name="Vérification 2 3 6 2 3 2 3 5" xfId="29450"/>
    <cellStyle name="Vérification 2 3 6 2 3 2 4" xfId="7858"/>
    <cellStyle name="Vérification 2 3 6 2 3 2 4 2" xfId="24082"/>
    <cellStyle name="Vérification 2 3 6 2 3 2 4 2 2" xfId="36089"/>
    <cellStyle name="Vérification 2 3 6 2 3 2 4 3" xfId="13865"/>
    <cellStyle name="Vérification 2 3 6 2 3 2 4 4" xfId="30086"/>
    <cellStyle name="Vérification 2 3 6 2 3 2 5" xfId="18973"/>
    <cellStyle name="Vérification 2 3 6 2 3 2 5 2" xfId="33087"/>
    <cellStyle name="Vérification 2 3 6 2 3 2 6" xfId="11214"/>
    <cellStyle name="Vérification 2 3 6 2 3 2 7" xfId="27435"/>
    <cellStyle name="Vérification 2 3 6 2 3 3" xfId="4730"/>
    <cellStyle name="Vérification 2 3 6 2 3 3 2" xfId="6964"/>
    <cellStyle name="Vérification 2 3 6 2 3 3 2 2" xfId="9192"/>
    <cellStyle name="Vérification 2 3 6 2 3 3 2 2 2" xfId="25416"/>
    <cellStyle name="Vérification 2 3 6 2 3 3 2 2 2 2" xfId="37423"/>
    <cellStyle name="Vérification 2 3 6 2 3 3 2 2 3" xfId="15199"/>
    <cellStyle name="Vérification 2 3 6 2 3 3 2 2 4" xfId="31420"/>
    <cellStyle name="Vérification 2 3 6 2 3 3 2 3" xfId="23188"/>
    <cellStyle name="Vérification 2 3 6 2 3 3 2 3 2" xfId="35195"/>
    <cellStyle name="Vérification 2 3 6 2 3 3 2 4" xfId="12896"/>
    <cellStyle name="Vérification 2 3 6 2 3 3 2 5" xfId="29117"/>
    <cellStyle name="Vérification 2 3 6 2 3 3 3" xfId="3639"/>
    <cellStyle name="Vérification 2 3 6 2 3 3 3 2" xfId="19867"/>
    <cellStyle name="Vérification 2 3 6 2 3 3 3 2 2" xfId="33981"/>
    <cellStyle name="Vérification 2 3 6 2 3 3 3 3" xfId="12346"/>
    <cellStyle name="Vérification 2 3 6 2 3 3 3 4" xfId="28567"/>
    <cellStyle name="Vérification 2 3 6 2 3 3 4" xfId="20956"/>
    <cellStyle name="Vérification 2 3 6 2 3 3 4 2" xfId="34331"/>
    <cellStyle name="Vérification 2 3 6 2 3 3 5" xfId="10878"/>
    <cellStyle name="Vérification 2 3 6 2 3 3 6" xfId="27101"/>
    <cellStyle name="Vérification 2 3 6 2 3 4" xfId="3299"/>
    <cellStyle name="Vérification 2 3 6 2 3 4 2" xfId="8288"/>
    <cellStyle name="Vérification 2 3 6 2 3 4 2 2" xfId="24512"/>
    <cellStyle name="Vérification 2 3 6 2 3 4 2 2 2" xfId="36519"/>
    <cellStyle name="Vérification 2 3 6 2 3 4 2 3" xfId="14295"/>
    <cellStyle name="Vérification 2 3 6 2 3 4 2 4" xfId="30516"/>
    <cellStyle name="Vérification 2 3 6 2 3 4 3" xfId="9859"/>
    <cellStyle name="Vérification 2 3 6 2 3 4 3 2" xfId="26083"/>
    <cellStyle name="Vérification 2 3 6 2 3 4 3 2 2" xfId="38090"/>
    <cellStyle name="Vérification 2 3 6 2 3 4 3 3" xfId="15866"/>
    <cellStyle name="Vérification 2 3 6 2 3 4 3 4" xfId="32087"/>
    <cellStyle name="Vérification 2 3 6 2 3 4 4" xfId="19527"/>
    <cellStyle name="Vérification 2 3 6 2 3 4 4 2" xfId="33641"/>
    <cellStyle name="Vérification 2 3 6 2 3 4 5" xfId="11843"/>
    <cellStyle name="Vérification 2 3 6 2 3 4 6" xfId="28064"/>
    <cellStyle name="Vérification 2 3 6 2 3 5" xfId="3671"/>
    <cellStyle name="Vérification 2 3 6 2 3 5 2" xfId="8567"/>
    <cellStyle name="Vérification 2 3 6 2 3 5 2 2" xfId="24791"/>
    <cellStyle name="Vérification 2 3 6 2 3 5 2 2 2" xfId="36798"/>
    <cellStyle name="Vérification 2 3 6 2 3 5 2 3" xfId="14574"/>
    <cellStyle name="Vérification 2 3 6 2 3 5 2 4" xfId="30795"/>
    <cellStyle name="Vérification 2 3 6 2 3 5 3" xfId="19899"/>
    <cellStyle name="Vérification 2 3 6 2 3 5 3 2" xfId="34013"/>
    <cellStyle name="Vérification 2 3 6 2 3 5 4" xfId="12122"/>
    <cellStyle name="Vérification 2 3 6 2 3 5 5" xfId="28343"/>
    <cellStyle name="Vérification 2 3 6 2 3 6" xfId="6859"/>
    <cellStyle name="Vérification 2 3 6 2 3 6 2" xfId="23083"/>
    <cellStyle name="Vérification 2 3 6 2 3 6 2 2" xfId="35090"/>
    <cellStyle name="Vérification 2 3 6 2 3 6 3" xfId="11459"/>
    <cellStyle name="Vérification 2 3 6 2 3 6 4" xfId="27680"/>
    <cellStyle name="Vérification 2 3 6 2 3 7" xfId="17272"/>
    <cellStyle name="Vérification 2 3 6 2 3 7 2" xfId="32754"/>
    <cellStyle name="Vérification 2 3 6 2 3 8" xfId="10526"/>
    <cellStyle name="Vérification 2 3 6 2 3 9" xfId="26751"/>
    <cellStyle name="Vérification 2 3 6 2 4" xfId="2656"/>
    <cellStyle name="Vérification 2 3 6 2 4 2" xfId="6344"/>
    <cellStyle name="Vérification 2 3 6 2 4 2 2" xfId="8725"/>
    <cellStyle name="Vérification 2 3 6 2 4 2 2 2" xfId="24949"/>
    <cellStyle name="Vérification 2 3 6 2 4 2 2 2 2" xfId="36956"/>
    <cellStyle name="Vérification 2 3 6 2 4 2 2 3" xfId="14732"/>
    <cellStyle name="Vérification 2 3 6 2 4 2 2 4" xfId="30953"/>
    <cellStyle name="Vérification 2 3 6 2 4 2 3" xfId="10103"/>
    <cellStyle name="Vérification 2 3 6 2 4 2 3 2" xfId="26327"/>
    <cellStyle name="Vérification 2 3 6 2 4 2 3 2 2" xfId="38334"/>
    <cellStyle name="Vérification 2 3 6 2 4 2 3 3" xfId="16110"/>
    <cellStyle name="Vérification 2 3 6 2 4 2 3 4" xfId="32331"/>
    <cellStyle name="Vérification 2 3 6 2 4 2 4" xfId="22568"/>
    <cellStyle name="Vérification 2 3 6 2 4 2 4 2" xfId="34575"/>
    <cellStyle name="Vérification 2 3 6 2 4 2 5" xfId="12429"/>
    <cellStyle name="Vérification 2 3 6 2 4 2 6" xfId="28650"/>
    <cellStyle name="Vérification 2 3 6 2 4 3" xfId="7392"/>
    <cellStyle name="Vérification 2 3 6 2 4 3 2" xfId="9436"/>
    <cellStyle name="Vérification 2 3 6 2 4 3 2 2" xfId="25660"/>
    <cellStyle name="Vérification 2 3 6 2 4 3 2 2 2" xfId="37667"/>
    <cellStyle name="Vérification 2 3 6 2 4 3 2 3" xfId="15443"/>
    <cellStyle name="Vérification 2 3 6 2 4 3 2 4" xfId="31664"/>
    <cellStyle name="Vérification 2 3 6 2 4 3 3" xfId="23616"/>
    <cellStyle name="Vérification 2 3 6 2 4 3 3 2" xfId="35623"/>
    <cellStyle name="Vérification 2 3 6 2 4 3 4" xfId="13140"/>
    <cellStyle name="Vérification 2 3 6 2 4 3 5" xfId="29361"/>
    <cellStyle name="Vérification 2 3 6 2 4 4" xfId="7769"/>
    <cellStyle name="Vérification 2 3 6 2 4 4 2" xfId="23993"/>
    <cellStyle name="Vérification 2 3 6 2 4 4 2 2" xfId="36000"/>
    <cellStyle name="Vérification 2 3 6 2 4 4 3" xfId="13776"/>
    <cellStyle name="Vérification 2 3 6 2 4 4 4" xfId="29997"/>
    <cellStyle name="Vérification 2 3 6 2 4 5" xfId="18884"/>
    <cellStyle name="Vérification 2 3 6 2 4 5 2" xfId="32998"/>
    <cellStyle name="Vérification 2 3 6 2 4 6" xfId="11125"/>
    <cellStyle name="Vérification 2 3 6 2 4 7" xfId="27346"/>
    <cellStyle name="Vérification 2 3 6 2 5" xfId="4155"/>
    <cellStyle name="Vérification 2 3 6 2 5 2" xfId="6799"/>
    <cellStyle name="Vérification 2 3 6 2 5 2 2" xfId="9103"/>
    <cellStyle name="Vérification 2 3 6 2 5 2 2 2" xfId="25327"/>
    <cellStyle name="Vérification 2 3 6 2 5 2 2 2 2" xfId="37334"/>
    <cellStyle name="Vérification 2 3 6 2 5 2 2 3" xfId="15110"/>
    <cellStyle name="Vérification 2 3 6 2 5 2 2 4" xfId="31331"/>
    <cellStyle name="Vérification 2 3 6 2 5 2 3" xfId="23023"/>
    <cellStyle name="Vérification 2 3 6 2 5 2 3 2" xfId="35030"/>
    <cellStyle name="Vérification 2 3 6 2 5 2 4" xfId="12807"/>
    <cellStyle name="Vérification 2 3 6 2 5 2 5" xfId="29028"/>
    <cellStyle name="Vérification 2 3 6 2 5 3" xfId="3166"/>
    <cellStyle name="Vérification 2 3 6 2 5 3 2" xfId="19394"/>
    <cellStyle name="Vérification 2 3 6 2 5 3 2 2" xfId="33508"/>
    <cellStyle name="Vérification 2 3 6 2 5 3 3" xfId="10740"/>
    <cellStyle name="Vérification 2 3 6 2 5 3 4" xfId="26963"/>
    <cellStyle name="Vérification 2 3 6 2 5 4" xfId="20381"/>
    <cellStyle name="Vérification 2 3 6 2 5 4 2" xfId="34242"/>
    <cellStyle name="Vérification 2 3 6 2 5 5" xfId="10782"/>
    <cellStyle name="Vérification 2 3 6 2 5 6" xfId="27005"/>
    <cellStyle name="Vérification 2 3 6 2 6" xfId="3077"/>
    <cellStyle name="Vérification 2 3 6 2 6 2" xfId="8139"/>
    <cellStyle name="Vérification 2 3 6 2 6 2 2" xfId="24363"/>
    <cellStyle name="Vérification 2 3 6 2 6 2 2 2" xfId="36370"/>
    <cellStyle name="Vérification 2 3 6 2 6 2 3" xfId="14146"/>
    <cellStyle name="Vérification 2 3 6 2 6 2 4" xfId="30367"/>
    <cellStyle name="Vérification 2 3 6 2 6 3" xfId="9770"/>
    <cellStyle name="Vérification 2 3 6 2 6 3 2" xfId="25994"/>
    <cellStyle name="Vérification 2 3 6 2 6 3 2 2" xfId="38001"/>
    <cellStyle name="Vérification 2 3 6 2 6 3 3" xfId="15777"/>
    <cellStyle name="Vérification 2 3 6 2 6 3 4" xfId="31998"/>
    <cellStyle name="Vérification 2 3 6 2 6 4" xfId="19305"/>
    <cellStyle name="Vérification 2 3 6 2 6 4 2" xfId="33419"/>
    <cellStyle name="Vérification 2 3 6 2 6 5" xfId="11694"/>
    <cellStyle name="Vérification 2 3 6 2 6 6" xfId="27915"/>
    <cellStyle name="Vérification 2 3 6 2 7" xfId="2954"/>
    <cellStyle name="Vérification 2 3 6 2 7 2" xfId="8066"/>
    <cellStyle name="Vérification 2 3 6 2 7 2 2" xfId="24290"/>
    <cellStyle name="Vérification 2 3 6 2 7 2 2 2" xfId="36297"/>
    <cellStyle name="Vérification 2 3 6 2 7 2 3" xfId="14073"/>
    <cellStyle name="Vérification 2 3 6 2 7 2 4" xfId="30294"/>
    <cellStyle name="Vérification 2 3 6 2 7 3" xfId="19182"/>
    <cellStyle name="Vérification 2 3 6 2 7 3 2" xfId="33296"/>
    <cellStyle name="Vérification 2 3 6 2 7 4" xfId="11621"/>
    <cellStyle name="Vérification 2 3 6 2 7 5" xfId="27842"/>
    <cellStyle name="Vérification 2 3 6 2 8" xfId="3537"/>
    <cellStyle name="Vérification 2 3 6 2 8 2" xfId="19765"/>
    <cellStyle name="Vérification 2 3 6 2 8 2 2" xfId="33879"/>
    <cellStyle name="Vérification 2 3 6 2 8 3" xfId="11607"/>
    <cellStyle name="Vérification 2 3 6 2 8 4" xfId="27828"/>
    <cellStyle name="Vérification 2 3 6 2 9" xfId="16697"/>
    <cellStyle name="Vérification 2 3 6 2 9 2" xfId="32665"/>
    <cellStyle name="Vérification 2 3 6 3" xfId="511"/>
    <cellStyle name="Vérification 2 3 6 3 10" xfId="10458"/>
    <cellStyle name="Vérification 2 3 6 3 11" xfId="26683"/>
    <cellStyle name="Vérification 2 3 6 3 2" xfId="1377"/>
    <cellStyle name="Vérification 2 3 6 3 2 2" xfId="2855"/>
    <cellStyle name="Vérification 2 3 6 3 2 2 2" xfId="6543"/>
    <cellStyle name="Vérification 2 3 6 3 2 2 2 2" xfId="8924"/>
    <cellStyle name="Vérification 2 3 6 3 2 2 2 2 2" xfId="25148"/>
    <cellStyle name="Vérification 2 3 6 3 2 2 2 2 2 2" xfId="37155"/>
    <cellStyle name="Vérification 2 3 6 3 2 2 2 2 3" xfId="14931"/>
    <cellStyle name="Vérification 2 3 6 3 2 2 2 2 4" xfId="31152"/>
    <cellStyle name="Vérification 2 3 6 3 2 2 2 3" xfId="10302"/>
    <cellStyle name="Vérification 2 3 6 3 2 2 2 3 2" xfId="26526"/>
    <cellStyle name="Vérification 2 3 6 3 2 2 2 3 2 2" xfId="38533"/>
    <cellStyle name="Vérification 2 3 6 3 2 2 2 3 3" xfId="16309"/>
    <cellStyle name="Vérification 2 3 6 3 2 2 2 3 4" xfId="32530"/>
    <cellStyle name="Vérification 2 3 6 3 2 2 2 4" xfId="22767"/>
    <cellStyle name="Vérification 2 3 6 3 2 2 2 4 2" xfId="34774"/>
    <cellStyle name="Vérification 2 3 6 3 2 2 2 5" xfId="12628"/>
    <cellStyle name="Vérification 2 3 6 3 2 2 2 6" xfId="28849"/>
    <cellStyle name="Vérification 2 3 6 3 2 2 3" xfId="7591"/>
    <cellStyle name="Vérification 2 3 6 3 2 2 3 2" xfId="9635"/>
    <cellStyle name="Vérification 2 3 6 3 2 2 3 2 2" xfId="25859"/>
    <cellStyle name="Vérification 2 3 6 3 2 2 3 2 2 2" xfId="37866"/>
    <cellStyle name="Vérification 2 3 6 3 2 2 3 2 3" xfId="15642"/>
    <cellStyle name="Vérification 2 3 6 3 2 2 3 2 4" xfId="31863"/>
    <cellStyle name="Vérification 2 3 6 3 2 2 3 3" xfId="23815"/>
    <cellStyle name="Vérification 2 3 6 3 2 2 3 3 2" xfId="35822"/>
    <cellStyle name="Vérification 2 3 6 3 2 2 3 4" xfId="13339"/>
    <cellStyle name="Vérification 2 3 6 3 2 2 3 5" xfId="29560"/>
    <cellStyle name="Vérification 2 3 6 3 2 2 4" xfId="7968"/>
    <cellStyle name="Vérification 2 3 6 3 2 2 4 2" xfId="24192"/>
    <cellStyle name="Vérification 2 3 6 3 2 2 4 2 2" xfId="36199"/>
    <cellStyle name="Vérification 2 3 6 3 2 2 4 3" xfId="13975"/>
    <cellStyle name="Vérification 2 3 6 3 2 2 4 4" xfId="30196"/>
    <cellStyle name="Vérification 2 3 6 3 2 2 5" xfId="19083"/>
    <cellStyle name="Vérification 2 3 6 3 2 2 5 2" xfId="33197"/>
    <cellStyle name="Vérification 2 3 6 3 2 2 6" xfId="11324"/>
    <cellStyle name="Vérification 2 3 6 3 2 2 7" xfId="27545"/>
    <cellStyle name="Vérification 2 3 6 3 2 3" xfId="5074"/>
    <cellStyle name="Vérification 2 3 6 3 2 3 2" xfId="7101"/>
    <cellStyle name="Vérification 2 3 6 3 2 3 2 2" xfId="9302"/>
    <cellStyle name="Vérification 2 3 6 3 2 3 2 2 2" xfId="25526"/>
    <cellStyle name="Vérification 2 3 6 3 2 3 2 2 2 2" xfId="37533"/>
    <cellStyle name="Vérification 2 3 6 3 2 3 2 2 3" xfId="15309"/>
    <cellStyle name="Vérification 2 3 6 3 2 3 2 2 4" xfId="31530"/>
    <cellStyle name="Vérification 2 3 6 3 2 3 2 3" xfId="23325"/>
    <cellStyle name="Vérification 2 3 6 3 2 3 2 3 2" xfId="35332"/>
    <cellStyle name="Vérification 2 3 6 3 2 3 2 4" xfId="13006"/>
    <cellStyle name="Vérification 2 3 6 3 2 3 2 5" xfId="29227"/>
    <cellStyle name="Vérification 2 3 6 3 2 3 3" xfId="3770"/>
    <cellStyle name="Vérification 2 3 6 3 2 3 3 2" xfId="19998"/>
    <cellStyle name="Vérification 2 3 6 3 2 3 3 2 2" xfId="34112"/>
    <cellStyle name="Vérification 2 3 6 3 2 3 3 3" xfId="11597"/>
    <cellStyle name="Vérification 2 3 6 3 2 3 3 4" xfId="27818"/>
    <cellStyle name="Vérification 2 3 6 3 2 3 4" xfId="21300"/>
    <cellStyle name="Vérification 2 3 6 3 2 3 4 2" xfId="34441"/>
    <cellStyle name="Vérification 2 3 6 3 2 3 5" xfId="10988"/>
    <cellStyle name="Vérification 2 3 6 3 2 3 6" xfId="27211"/>
    <cellStyle name="Vérification 2 3 6 3 2 4" xfId="3465"/>
    <cellStyle name="Vérification 2 3 6 3 2 4 2" xfId="8432"/>
    <cellStyle name="Vérification 2 3 6 3 2 4 2 2" xfId="24656"/>
    <cellStyle name="Vérification 2 3 6 3 2 4 2 2 2" xfId="36663"/>
    <cellStyle name="Vérification 2 3 6 3 2 4 2 3" xfId="14439"/>
    <cellStyle name="Vérification 2 3 6 3 2 4 2 4" xfId="30660"/>
    <cellStyle name="Vérification 2 3 6 3 2 4 3" xfId="9969"/>
    <cellStyle name="Vérification 2 3 6 3 2 4 3 2" xfId="26193"/>
    <cellStyle name="Vérification 2 3 6 3 2 4 3 2 2" xfId="38200"/>
    <cellStyle name="Vérification 2 3 6 3 2 4 3 3" xfId="15976"/>
    <cellStyle name="Vérification 2 3 6 3 2 4 3 4" xfId="32197"/>
    <cellStyle name="Vérification 2 3 6 3 2 4 4" xfId="19693"/>
    <cellStyle name="Vérification 2 3 6 3 2 4 4 2" xfId="33807"/>
    <cellStyle name="Vérification 2 3 6 3 2 4 5" xfId="11987"/>
    <cellStyle name="Vérification 2 3 6 3 2 4 6" xfId="28208"/>
    <cellStyle name="Vérification 2 3 6 3 2 5" xfId="3586"/>
    <cellStyle name="Vérification 2 3 6 3 2 5 2" xfId="8524"/>
    <cellStyle name="Vérification 2 3 6 3 2 5 2 2" xfId="24748"/>
    <cellStyle name="Vérification 2 3 6 3 2 5 2 2 2" xfId="36755"/>
    <cellStyle name="Vérification 2 3 6 3 2 5 2 3" xfId="14531"/>
    <cellStyle name="Vérification 2 3 6 3 2 5 2 4" xfId="30752"/>
    <cellStyle name="Vérification 2 3 6 3 2 5 3" xfId="19814"/>
    <cellStyle name="Vérification 2 3 6 3 2 5 3 2" xfId="33928"/>
    <cellStyle name="Vérification 2 3 6 3 2 5 4" xfId="12079"/>
    <cellStyle name="Vérification 2 3 6 3 2 5 5" xfId="28300"/>
    <cellStyle name="Vérification 2 3 6 3 2 6" xfId="3186"/>
    <cellStyle name="Vérification 2 3 6 3 2 6 2" xfId="19414"/>
    <cellStyle name="Vérification 2 3 6 3 2 6 2 2" xfId="33528"/>
    <cellStyle name="Vérification 2 3 6 3 2 6 3" xfId="11457"/>
    <cellStyle name="Vérification 2 3 6 3 2 6 4" xfId="27678"/>
    <cellStyle name="Vérification 2 3 6 3 2 7" xfId="17616"/>
    <cellStyle name="Vérification 2 3 6 3 2 7 2" xfId="32864"/>
    <cellStyle name="Vérification 2 3 6 3 2 8" xfId="10636"/>
    <cellStyle name="Vérification 2 3 6 3 2 9" xfId="26861"/>
    <cellStyle name="Vérification 2 3 6 3 3" xfId="1126"/>
    <cellStyle name="Vérification 2 3 6 3 3 2" xfId="2766"/>
    <cellStyle name="Vérification 2 3 6 3 3 2 2" xfId="6454"/>
    <cellStyle name="Vérification 2 3 6 3 3 2 2 2" xfId="8835"/>
    <cellStyle name="Vérification 2 3 6 3 3 2 2 2 2" xfId="25059"/>
    <cellStyle name="Vérification 2 3 6 3 3 2 2 2 2 2" xfId="37066"/>
    <cellStyle name="Vérification 2 3 6 3 3 2 2 2 3" xfId="14842"/>
    <cellStyle name="Vérification 2 3 6 3 3 2 2 2 4" xfId="31063"/>
    <cellStyle name="Vérification 2 3 6 3 3 2 2 3" xfId="10213"/>
    <cellStyle name="Vérification 2 3 6 3 3 2 2 3 2" xfId="26437"/>
    <cellStyle name="Vérification 2 3 6 3 3 2 2 3 2 2" xfId="38444"/>
    <cellStyle name="Vérification 2 3 6 3 3 2 2 3 3" xfId="16220"/>
    <cellStyle name="Vérification 2 3 6 3 3 2 2 3 4" xfId="32441"/>
    <cellStyle name="Vérification 2 3 6 3 3 2 2 4" xfId="22678"/>
    <cellStyle name="Vérification 2 3 6 3 3 2 2 4 2" xfId="34685"/>
    <cellStyle name="Vérification 2 3 6 3 3 2 2 5" xfId="12539"/>
    <cellStyle name="Vérification 2 3 6 3 3 2 2 6" xfId="28760"/>
    <cellStyle name="Vérification 2 3 6 3 3 2 3" xfId="7502"/>
    <cellStyle name="Vérification 2 3 6 3 3 2 3 2" xfId="9546"/>
    <cellStyle name="Vérification 2 3 6 3 3 2 3 2 2" xfId="25770"/>
    <cellStyle name="Vérification 2 3 6 3 3 2 3 2 2 2" xfId="37777"/>
    <cellStyle name="Vérification 2 3 6 3 3 2 3 2 3" xfId="15553"/>
    <cellStyle name="Vérification 2 3 6 3 3 2 3 2 4" xfId="31774"/>
    <cellStyle name="Vérification 2 3 6 3 3 2 3 3" xfId="23726"/>
    <cellStyle name="Vérification 2 3 6 3 3 2 3 3 2" xfId="35733"/>
    <cellStyle name="Vérification 2 3 6 3 3 2 3 4" xfId="13250"/>
    <cellStyle name="Vérification 2 3 6 3 3 2 3 5" xfId="29471"/>
    <cellStyle name="Vérification 2 3 6 3 3 2 4" xfId="7879"/>
    <cellStyle name="Vérification 2 3 6 3 3 2 4 2" xfId="24103"/>
    <cellStyle name="Vérification 2 3 6 3 3 2 4 2 2" xfId="36110"/>
    <cellStyle name="Vérification 2 3 6 3 3 2 4 3" xfId="13886"/>
    <cellStyle name="Vérification 2 3 6 3 3 2 4 4" xfId="30107"/>
    <cellStyle name="Vérification 2 3 6 3 3 2 5" xfId="18994"/>
    <cellStyle name="Vérification 2 3 6 3 3 2 5 2" xfId="33108"/>
    <cellStyle name="Vérification 2 3 6 3 3 2 6" xfId="11235"/>
    <cellStyle name="Vérification 2 3 6 3 3 2 7" xfId="27456"/>
    <cellStyle name="Vérification 2 3 6 3 3 3" xfId="4823"/>
    <cellStyle name="Vérification 2 3 6 3 3 3 2" xfId="6993"/>
    <cellStyle name="Vérification 2 3 6 3 3 3 2 2" xfId="9213"/>
    <cellStyle name="Vérification 2 3 6 3 3 3 2 2 2" xfId="25437"/>
    <cellStyle name="Vérification 2 3 6 3 3 3 2 2 2 2" xfId="37444"/>
    <cellStyle name="Vérification 2 3 6 3 3 3 2 2 3" xfId="15220"/>
    <cellStyle name="Vérification 2 3 6 3 3 3 2 2 4" xfId="31441"/>
    <cellStyle name="Vérification 2 3 6 3 3 3 2 3" xfId="23217"/>
    <cellStyle name="Vérification 2 3 6 3 3 3 2 3 2" xfId="35224"/>
    <cellStyle name="Vérification 2 3 6 3 3 3 2 4" xfId="12917"/>
    <cellStyle name="Vérification 2 3 6 3 3 3 2 5" xfId="29138"/>
    <cellStyle name="Vérification 2 3 6 3 3 3 3" xfId="6689"/>
    <cellStyle name="Vérification 2 3 6 3 3 3 3 2" xfId="22913"/>
    <cellStyle name="Vérification 2 3 6 3 3 3 3 2 2" xfId="34920"/>
    <cellStyle name="Vérification 2 3 6 3 3 3 3 3" xfId="11533"/>
    <cellStyle name="Vérification 2 3 6 3 3 3 3 4" xfId="27754"/>
    <cellStyle name="Vérification 2 3 6 3 3 3 4" xfId="21049"/>
    <cellStyle name="Vérification 2 3 6 3 3 3 4 2" xfId="34352"/>
    <cellStyle name="Vérification 2 3 6 3 3 3 5" xfId="10899"/>
    <cellStyle name="Vérification 2 3 6 3 3 3 6" xfId="27122"/>
    <cellStyle name="Vérification 2 3 6 3 3 4" xfId="3337"/>
    <cellStyle name="Vérification 2 3 6 3 3 4 2" xfId="8320"/>
    <cellStyle name="Vérification 2 3 6 3 3 4 2 2" xfId="24544"/>
    <cellStyle name="Vérification 2 3 6 3 3 4 2 2 2" xfId="36551"/>
    <cellStyle name="Vérification 2 3 6 3 3 4 2 3" xfId="14327"/>
    <cellStyle name="Vérification 2 3 6 3 3 4 2 4" xfId="30548"/>
    <cellStyle name="Vérification 2 3 6 3 3 4 3" xfId="9880"/>
    <cellStyle name="Vérification 2 3 6 3 3 4 3 2" xfId="26104"/>
    <cellStyle name="Vérification 2 3 6 3 3 4 3 2 2" xfId="38111"/>
    <cellStyle name="Vérification 2 3 6 3 3 4 3 3" xfId="15887"/>
    <cellStyle name="Vérification 2 3 6 3 3 4 3 4" xfId="32108"/>
    <cellStyle name="Vérification 2 3 6 3 3 4 4" xfId="19565"/>
    <cellStyle name="Vérification 2 3 6 3 3 4 4 2" xfId="33679"/>
    <cellStyle name="Vérification 2 3 6 3 3 4 5" xfId="11875"/>
    <cellStyle name="Vérification 2 3 6 3 3 4 6" xfId="28096"/>
    <cellStyle name="Vérification 2 3 6 3 3 5" xfId="2956"/>
    <cellStyle name="Vérification 2 3 6 3 3 5 2" xfId="8068"/>
    <cellStyle name="Vérification 2 3 6 3 3 5 2 2" xfId="24292"/>
    <cellStyle name="Vérification 2 3 6 3 3 5 2 2 2" xfId="36299"/>
    <cellStyle name="Vérification 2 3 6 3 3 5 2 3" xfId="14075"/>
    <cellStyle name="Vérification 2 3 6 3 3 5 2 4" xfId="30296"/>
    <cellStyle name="Vérification 2 3 6 3 3 5 3" xfId="19184"/>
    <cellStyle name="Vérification 2 3 6 3 3 5 3 2" xfId="33298"/>
    <cellStyle name="Vérification 2 3 6 3 3 5 4" xfId="11623"/>
    <cellStyle name="Vérification 2 3 6 3 3 5 5" xfId="27844"/>
    <cellStyle name="Vérification 2 3 6 3 3 6" xfId="6685"/>
    <cellStyle name="Vérification 2 3 6 3 3 6 2" xfId="22909"/>
    <cellStyle name="Vérification 2 3 6 3 3 6 2 2" xfId="34916"/>
    <cellStyle name="Vérification 2 3 6 3 3 6 3" xfId="12353"/>
    <cellStyle name="Vérification 2 3 6 3 3 6 4" xfId="28574"/>
    <cellStyle name="Vérification 2 3 6 3 3 7" xfId="17365"/>
    <cellStyle name="Vérification 2 3 6 3 3 7 2" xfId="32775"/>
    <cellStyle name="Vérification 2 3 6 3 3 8" xfId="10547"/>
    <cellStyle name="Vérification 2 3 6 3 3 9" xfId="26772"/>
    <cellStyle name="Vérification 2 3 6 3 4" xfId="2677"/>
    <cellStyle name="Vérification 2 3 6 3 4 2" xfId="6365"/>
    <cellStyle name="Vérification 2 3 6 3 4 2 2" xfId="8746"/>
    <cellStyle name="Vérification 2 3 6 3 4 2 2 2" xfId="24970"/>
    <cellStyle name="Vérification 2 3 6 3 4 2 2 2 2" xfId="36977"/>
    <cellStyle name="Vérification 2 3 6 3 4 2 2 3" xfId="14753"/>
    <cellStyle name="Vérification 2 3 6 3 4 2 2 4" xfId="30974"/>
    <cellStyle name="Vérification 2 3 6 3 4 2 3" xfId="10124"/>
    <cellStyle name="Vérification 2 3 6 3 4 2 3 2" xfId="26348"/>
    <cellStyle name="Vérification 2 3 6 3 4 2 3 2 2" xfId="38355"/>
    <cellStyle name="Vérification 2 3 6 3 4 2 3 3" xfId="16131"/>
    <cellStyle name="Vérification 2 3 6 3 4 2 3 4" xfId="32352"/>
    <cellStyle name="Vérification 2 3 6 3 4 2 4" xfId="22589"/>
    <cellStyle name="Vérification 2 3 6 3 4 2 4 2" xfId="34596"/>
    <cellStyle name="Vérification 2 3 6 3 4 2 5" xfId="12450"/>
    <cellStyle name="Vérification 2 3 6 3 4 2 6" xfId="28671"/>
    <cellStyle name="Vérification 2 3 6 3 4 3" xfId="7413"/>
    <cellStyle name="Vérification 2 3 6 3 4 3 2" xfId="9457"/>
    <cellStyle name="Vérification 2 3 6 3 4 3 2 2" xfId="25681"/>
    <cellStyle name="Vérification 2 3 6 3 4 3 2 2 2" xfId="37688"/>
    <cellStyle name="Vérification 2 3 6 3 4 3 2 3" xfId="15464"/>
    <cellStyle name="Vérification 2 3 6 3 4 3 2 4" xfId="31685"/>
    <cellStyle name="Vérification 2 3 6 3 4 3 3" xfId="23637"/>
    <cellStyle name="Vérification 2 3 6 3 4 3 3 2" xfId="35644"/>
    <cellStyle name="Vérification 2 3 6 3 4 3 4" xfId="13161"/>
    <cellStyle name="Vérification 2 3 6 3 4 3 5" xfId="29382"/>
    <cellStyle name="Vérification 2 3 6 3 4 4" xfId="7790"/>
    <cellStyle name="Vérification 2 3 6 3 4 4 2" xfId="24014"/>
    <cellStyle name="Vérification 2 3 6 3 4 4 2 2" xfId="36021"/>
    <cellStyle name="Vérification 2 3 6 3 4 4 3" xfId="13797"/>
    <cellStyle name="Vérification 2 3 6 3 4 4 4" xfId="30018"/>
    <cellStyle name="Vérification 2 3 6 3 4 5" xfId="18905"/>
    <cellStyle name="Vérification 2 3 6 3 4 5 2" xfId="33019"/>
    <cellStyle name="Vérification 2 3 6 3 4 6" xfId="11146"/>
    <cellStyle name="Vérification 2 3 6 3 4 7" xfId="27367"/>
    <cellStyle name="Vérification 2 3 6 3 5" xfId="4248"/>
    <cellStyle name="Vérification 2 3 6 3 5 2" xfId="6828"/>
    <cellStyle name="Vérification 2 3 6 3 5 2 2" xfId="9124"/>
    <cellStyle name="Vérification 2 3 6 3 5 2 2 2" xfId="25348"/>
    <cellStyle name="Vérification 2 3 6 3 5 2 2 2 2" xfId="37355"/>
    <cellStyle name="Vérification 2 3 6 3 5 2 2 3" xfId="15131"/>
    <cellStyle name="Vérification 2 3 6 3 5 2 2 4" xfId="31352"/>
    <cellStyle name="Vérification 2 3 6 3 5 2 3" xfId="23052"/>
    <cellStyle name="Vérification 2 3 6 3 5 2 3 2" xfId="35059"/>
    <cellStyle name="Vérification 2 3 6 3 5 2 4" xfId="12828"/>
    <cellStyle name="Vérification 2 3 6 3 5 2 5" xfId="29049"/>
    <cellStyle name="Vérification 2 3 6 3 5 3" xfId="6917"/>
    <cellStyle name="Vérification 2 3 6 3 5 3 2" xfId="23141"/>
    <cellStyle name="Vérification 2 3 6 3 5 3 2 2" xfId="35148"/>
    <cellStyle name="Vérification 2 3 6 3 5 3 3" xfId="12283"/>
    <cellStyle name="Vérification 2 3 6 3 5 3 4" xfId="28504"/>
    <cellStyle name="Vérification 2 3 6 3 5 4" xfId="20474"/>
    <cellStyle name="Vérification 2 3 6 3 5 4 2" xfId="34263"/>
    <cellStyle name="Vérification 2 3 6 3 5 5" xfId="10803"/>
    <cellStyle name="Vérification 2 3 6 3 5 6" xfId="27026"/>
    <cellStyle name="Vérification 2 3 6 3 6" xfId="3116"/>
    <cellStyle name="Vérification 2 3 6 3 6 2" xfId="8168"/>
    <cellStyle name="Vérification 2 3 6 3 6 2 2" xfId="24392"/>
    <cellStyle name="Vérification 2 3 6 3 6 2 2 2" xfId="36399"/>
    <cellStyle name="Vérification 2 3 6 3 6 2 3" xfId="14175"/>
    <cellStyle name="Vérification 2 3 6 3 6 2 4" xfId="30396"/>
    <cellStyle name="Vérification 2 3 6 3 6 3" xfId="9791"/>
    <cellStyle name="Vérification 2 3 6 3 6 3 2" xfId="26015"/>
    <cellStyle name="Vérification 2 3 6 3 6 3 2 2" xfId="38022"/>
    <cellStyle name="Vérification 2 3 6 3 6 3 3" xfId="15798"/>
    <cellStyle name="Vérification 2 3 6 3 6 3 4" xfId="32019"/>
    <cellStyle name="Vérification 2 3 6 3 6 4" xfId="19344"/>
    <cellStyle name="Vérification 2 3 6 3 6 4 2" xfId="33458"/>
    <cellStyle name="Vérification 2 3 6 3 6 5" xfId="11723"/>
    <cellStyle name="Vérification 2 3 6 3 6 6" xfId="27944"/>
    <cellStyle name="Vérification 2 3 6 3 7" xfId="3103"/>
    <cellStyle name="Vérification 2 3 6 3 7 2" xfId="8155"/>
    <cellStyle name="Vérification 2 3 6 3 7 2 2" xfId="24379"/>
    <cellStyle name="Vérification 2 3 6 3 7 2 2 2" xfId="36386"/>
    <cellStyle name="Vérification 2 3 6 3 7 2 3" xfId="14162"/>
    <cellStyle name="Vérification 2 3 6 3 7 2 4" xfId="30383"/>
    <cellStyle name="Vérification 2 3 6 3 7 3" xfId="19331"/>
    <cellStyle name="Vérification 2 3 6 3 7 3 2" xfId="33445"/>
    <cellStyle name="Vérification 2 3 6 3 7 4" xfId="11710"/>
    <cellStyle name="Vérification 2 3 6 3 7 5" xfId="27931"/>
    <cellStyle name="Vérification 2 3 6 3 8" xfId="7269"/>
    <cellStyle name="Vérification 2 3 6 3 8 2" xfId="23493"/>
    <cellStyle name="Vérification 2 3 6 3 8 2 2" xfId="35500"/>
    <cellStyle name="Vérification 2 3 6 3 8 3" xfId="13653"/>
    <cellStyle name="Vérification 2 3 6 3 8 4" xfId="29874"/>
    <cellStyle name="Vérification 2 3 6 3 9" xfId="16790"/>
    <cellStyle name="Vérification 2 3 6 3 9 2" xfId="32686"/>
    <cellStyle name="Vérification 2 3 6 4" xfId="642"/>
    <cellStyle name="Vérification 2 3 6 4 10" xfId="10481"/>
    <cellStyle name="Vérification 2 3 6 4 11" xfId="26706"/>
    <cellStyle name="Vérification 2 3 6 4 2" xfId="1400"/>
    <cellStyle name="Vérification 2 3 6 4 2 2" xfId="2878"/>
    <cellStyle name="Vérification 2 3 6 4 2 2 2" xfId="6566"/>
    <cellStyle name="Vérification 2 3 6 4 2 2 2 2" xfId="8947"/>
    <cellStyle name="Vérification 2 3 6 4 2 2 2 2 2" xfId="25171"/>
    <cellStyle name="Vérification 2 3 6 4 2 2 2 2 2 2" xfId="37178"/>
    <cellStyle name="Vérification 2 3 6 4 2 2 2 2 3" xfId="14954"/>
    <cellStyle name="Vérification 2 3 6 4 2 2 2 2 4" xfId="31175"/>
    <cellStyle name="Vérification 2 3 6 4 2 2 2 3" xfId="10325"/>
    <cellStyle name="Vérification 2 3 6 4 2 2 2 3 2" xfId="26549"/>
    <cellStyle name="Vérification 2 3 6 4 2 2 2 3 2 2" xfId="38556"/>
    <cellStyle name="Vérification 2 3 6 4 2 2 2 3 3" xfId="16332"/>
    <cellStyle name="Vérification 2 3 6 4 2 2 2 3 4" xfId="32553"/>
    <cellStyle name="Vérification 2 3 6 4 2 2 2 4" xfId="22790"/>
    <cellStyle name="Vérification 2 3 6 4 2 2 2 4 2" xfId="34797"/>
    <cellStyle name="Vérification 2 3 6 4 2 2 2 5" xfId="12651"/>
    <cellStyle name="Vérification 2 3 6 4 2 2 2 6" xfId="28872"/>
    <cellStyle name="Vérification 2 3 6 4 2 2 3" xfId="7614"/>
    <cellStyle name="Vérification 2 3 6 4 2 2 3 2" xfId="9658"/>
    <cellStyle name="Vérification 2 3 6 4 2 2 3 2 2" xfId="25882"/>
    <cellStyle name="Vérification 2 3 6 4 2 2 3 2 2 2" xfId="37889"/>
    <cellStyle name="Vérification 2 3 6 4 2 2 3 2 3" xfId="15665"/>
    <cellStyle name="Vérification 2 3 6 4 2 2 3 2 4" xfId="31886"/>
    <cellStyle name="Vérification 2 3 6 4 2 2 3 3" xfId="23838"/>
    <cellStyle name="Vérification 2 3 6 4 2 2 3 3 2" xfId="35845"/>
    <cellStyle name="Vérification 2 3 6 4 2 2 3 4" xfId="13362"/>
    <cellStyle name="Vérification 2 3 6 4 2 2 3 5" xfId="29583"/>
    <cellStyle name="Vérification 2 3 6 4 2 2 4" xfId="7991"/>
    <cellStyle name="Vérification 2 3 6 4 2 2 4 2" xfId="24215"/>
    <cellStyle name="Vérification 2 3 6 4 2 2 4 2 2" xfId="36222"/>
    <cellStyle name="Vérification 2 3 6 4 2 2 4 3" xfId="13998"/>
    <cellStyle name="Vérification 2 3 6 4 2 2 4 4" xfId="30219"/>
    <cellStyle name="Vérification 2 3 6 4 2 2 5" xfId="19106"/>
    <cellStyle name="Vérification 2 3 6 4 2 2 5 2" xfId="33220"/>
    <cellStyle name="Vérification 2 3 6 4 2 2 6" xfId="11347"/>
    <cellStyle name="Vérification 2 3 6 4 2 2 7" xfId="27568"/>
    <cellStyle name="Vérification 2 3 6 4 2 3" xfId="5097"/>
    <cellStyle name="Vérification 2 3 6 4 2 3 2" xfId="7124"/>
    <cellStyle name="Vérification 2 3 6 4 2 3 2 2" xfId="9325"/>
    <cellStyle name="Vérification 2 3 6 4 2 3 2 2 2" xfId="25549"/>
    <cellStyle name="Vérification 2 3 6 4 2 3 2 2 2 2" xfId="37556"/>
    <cellStyle name="Vérification 2 3 6 4 2 3 2 2 3" xfId="15332"/>
    <cellStyle name="Vérification 2 3 6 4 2 3 2 2 4" xfId="31553"/>
    <cellStyle name="Vérification 2 3 6 4 2 3 2 3" xfId="23348"/>
    <cellStyle name="Vérification 2 3 6 4 2 3 2 3 2" xfId="35355"/>
    <cellStyle name="Vérification 2 3 6 4 2 3 2 4" xfId="13029"/>
    <cellStyle name="Vérification 2 3 6 4 2 3 2 5" xfId="29250"/>
    <cellStyle name="Vérification 2 3 6 4 2 3 3" xfId="3556"/>
    <cellStyle name="Vérification 2 3 6 4 2 3 3 2" xfId="19784"/>
    <cellStyle name="Vérification 2 3 6 4 2 3 3 2 2" xfId="33898"/>
    <cellStyle name="Vérification 2 3 6 4 2 3 3 3" xfId="12307"/>
    <cellStyle name="Vérification 2 3 6 4 2 3 3 4" xfId="28528"/>
    <cellStyle name="Vérification 2 3 6 4 2 3 4" xfId="21323"/>
    <cellStyle name="Vérification 2 3 6 4 2 3 4 2" xfId="34464"/>
    <cellStyle name="Vérification 2 3 6 4 2 3 5" xfId="11011"/>
    <cellStyle name="Vérification 2 3 6 4 2 3 6" xfId="27234"/>
    <cellStyle name="Vérification 2 3 6 4 2 4" xfId="3488"/>
    <cellStyle name="Vérification 2 3 6 4 2 4 2" xfId="8455"/>
    <cellStyle name="Vérification 2 3 6 4 2 4 2 2" xfId="24679"/>
    <cellStyle name="Vérification 2 3 6 4 2 4 2 2 2" xfId="36686"/>
    <cellStyle name="Vérification 2 3 6 4 2 4 2 3" xfId="14462"/>
    <cellStyle name="Vérification 2 3 6 4 2 4 2 4" xfId="30683"/>
    <cellStyle name="Vérification 2 3 6 4 2 4 3" xfId="9992"/>
    <cellStyle name="Vérification 2 3 6 4 2 4 3 2" xfId="26216"/>
    <cellStyle name="Vérification 2 3 6 4 2 4 3 2 2" xfId="38223"/>
    <cellStyle name="Vérification 2 3 6 4 2 4 3 3" xfId="15999"/>
    <cellStyle name="Vérification 2 3 6 4 2 4 3 4" xfId="32220"/>
    <cellStyle name="Vérification 2 3 6 4 2 4 4" xfId="19716"/>
    <cellStyle name="Vérification 2 3 6 4 2 4 4 2" xfId="33830"/>
    <cellStyle name="Vérification 2 3 6 4 2 4 5" xfId="12010"/>
    <cellStyle name="Vérification 2 3 6 4 2 4 6" xfId="28231"/>
    <cellStyle name="Vérification 2 3 6 4 2 5" xfId="3756"/>
    <cellStyle name="Vérification 2 3 6 4 2 5 2" xfId="8615"/>
    <cellStyle name="Vérification 2 3 6 4 2 5 2 2" xfId="24839"/>
    <cellStyle name="Vérification 2 3 6 4 2 5 2 2 2" xfId="36846"/>
    <cellStyle name="Vérification 2 3 6 4 2 5 2 3" xfId="14622"/>
    <cellStyle name="Vérification 2 3 6 4 2 5 2 4" xfId="30843"/>
    <cellStyle name="Vérification 2 3 6 4 2 5 3" xfId="19984"/>
    <cellStyle name="Vérification 2 3 6 4 2 5 3 2" xfId="34098"/>
    <cellStyle name="Vérification 2 3 6 4 2 5 4" xfId="12170"/>
    <cellStyle name="Vérification 2 3 6 4 2 5 5" xfId="28391"/>
    <cellStyle name="Vérification 2 3 6 4 2 6" xfId="3353"/>
    <cellStyle name="Vérification 2 3 6 4 2 6 2" xfId="19581"/>
    <cellStyle name="Vérification 2 3 6 4 2 6 2 2" xfId="33695"/>
    <cellStyle name="Vérification 2 3 6 4 2 6 3" xfId="13523"/>
    <cellStyle name="Vérification 2 3 6 4 2 6 4" xfId="29744"/>
    <cellStyle name="Vérification 2 3 6 4 2 7" xfId="17639"/>
    <cellStyle name="Vérification 2 3 6 4 2 7 2" xfId="32887"/>
    <cellStyle name="Vérification 2 3 6 4 2 8" xfId="10659"/>
    <cellStyle name="Vérification 2 3 6 4 2 9" xfId="26884"/>
    <cellStyle name="Vérification 2 3 6 4 3" xfId="1239"/>
    <cellStyle name="Vérification 2 3 6 4 3 2" xfId="2789"/>
    <cellStyle name="Vérification 2 3 6 4 3 2 2" xfId="6477"/>
    <cellStyle name="Vérification 2 3 6 4 3 2 2 2" xfId="8858"/>
    <cellStyle name="Vérification 2 3 6 4 3 2 2 2 2" xfId="25082"/>
    <cellStyle name="Vérification 2 3 6 4 3 2 2 2 2 2" xfId="37089"/>
    <cellStyle name="Vérification 2 3 6 4 3 2 2 2 3" xfId="14865"/>
    <cellStyle name="Vérification 2 3 6 4 3 2 2 2 4" xfId="31086"/>
    <cellStyle name="Vérification 2 3 6 4 3 2 2 3" xfId="10236"/>
    <cellStyle name="Vérification 2 3 6 4 3 2 2 3 2" xfId="26460"/>
    <cellStyle name="Vérification 2 3 6 4 3 2 2 3 2 2" xfId="38467"/>
    <cellStyle name="Vérification 2 3 6 4 3 2 2 3 3" xfId="16243"/>
    <cellStyle name="Vérification 2 3 6 4 3 2 2 3 4" xfId="32464"/>
    <cellStyle name="Vérification 2 3 6 4 3 2 2 4" xfId="22701"/>
    <cellStyle name="Vérification 2 3 6 4 3 2 2 4 2" xfId="34708"/>
    <cellStyle name="Vérification 2 3 6 4 3 2 2 5" xfId="12562"/>
    <cellStyle name="Vérification 2 3 6 4 3 2 2 6" xfId="28783"/>
    <cellStyle name="Vérification 2 3 6 4 3 2 3" xfId="7525"/>
    <cellStyle name="Vérification 2 3 6 4 3 2 3 2" xfId="9569"/>
    <cellStyle name="Vérification 2 3 6 4 3 2 3 2 2" xfId="25793"/>
    <cellStyle name="Vérification 2 3 6 4 3 2 3 2 2 2" xfId="37800"/>
    <cellStyle name="Vérification 2 3 6 4 3 2 3 2 3" xfId="15576"/>
    <cellStyle name="Vérification 2 3 6 4 3 2 3 2 4" xfId="31797"/>
    <cellStyle name="Vérification 2 3 6 4 3 2 3 3" xfId="23749"/>
    <cellStyle name="Vérification 2 3 6 4 3 2 3 3 2" xfId="35756"/>
    <cellStyle name="Vérification 2 3 6 4 3 2 3 4" xfId="13273"/>
    <cellStyle name="Vérification 2 3 6 4 3 2 3 5" xfId="29494"/>
    <cellStyle name="Vérification 2 3 6 4 3 2 4" xfId="7902"/>
    <cellStyle name="Vérification 2 3 6 4 3 2 4 2" xfId="24126"/>
    <cellStyle name="Vérification 2 3 6 4 3 2 4 2 2" xfId="36133"/>
    <cellStyle name="Vérification 2 3 6 4 3 2 4 3" xfId="13909"/>
    <cellStyle name="Vérification 2 3 6 4 3 2 4 4" xfId="30130"/>
    <cellStyle name="Vérification 2 3 6 4 3 2 5" xfId="19017"/>
    <cellStyle name="Vérification 2 3 6 4 3 2 5 2" xfId="33131"/>
    <cellStyle name="Vérification 2 3 6 4 3 2 6" xfId="11258"/>
    <cellStyle name="Vérification 2 3 6 4 3 2 7" xfId="27479"/>
    <cellStyle name="Vérification 2 3 6 4 3 3" xfId="4936"/>
    <cellStyle name="Vérification 2 3 6 4 3 3 2" xfId="7028"/>
    <cellStyle name="Vérification 2 3 6 4 3 3 2 2" xfId="9236"/>
    <cellStyle name="Vérification 2 3 6 4 3 3 2 2 2" xfId="25460"/>
    <cellStyle name="Vérification 2 3 6 4 3 3 2 2 2 2" xfId="37467"/>
    <cellStyle name="Vérification 2 3 6 4 3 3 2 2 3" xfId="15243"/>
    <cellStyle name="Vérification 2 3 6 4 3 3 2 2 4" xfId="31464"/>
    <cellStyle name="Vérification 2 3 6 4 3 3 2 3" xfId="23252"/>
    <cellStyle name="Vérification 2 3 6 4 3 3 2 3 2" xfId="35259"/>
    <cellStyle name="Vérification 2 3 6 4 3 3 2 4" xfId="12940"/>
    <cellStyle name="Vérification 2 3 6 4 3 3 2 5" xfId="29161"/>
    <cellStyle name="Vérification 2 3 6 4 3 3 3" xfId="3740"/>
    <cellStyle name="Vérification 2 3 6 4 3 3 3 2" xfId="19968"/>
    <cellStyle name="Vérification 2 3 6 4 3 3 3 2 2" xfId="34082"/>
    <cellStyle name="Vérification 2 3 6 4 3 3 3 3" xfId="12390"/>
    <cellStyle name="Vérification 2 3 6 4 3 3 3 4" xfId="28611"/>
    <cellStyle name="Vérification 2 3 6 4 3 3 4" xfId="21162"/>
    <cellStyle name="Vérification 2 3 6 4 3 3 4 2" xfId="34375"/>
    <cellStyle name="Vérification 2 3 6 4 3 3 5" xfId="10922"/>
    <cellStyle name="Vérification 2 3 6 4 3 3 6" xfId="27145"/>
    <cellStyle name="Vérification 2 3 6 4 3 4" xfId="3381"/>
    <cellStyle name="Vérification 2 3 6 4 3 4 2" xfId="8357"/>
    <cellStyle name="Vérification 2 3 6 4 3 4 2 2" xfId="24581"/>
    <cellStyle name="Vérification 2 3 6 4 3 4 2 2 2" xfId="36588"/>
    <cellStyle name="Vérification 2 3 6 4 3 4 2 3" xfId="14364"/>
    <cellStyle name="Vérification 2 3 6 4 3 4 2 4" xfId="30585"/>
    <cellStyle name="Vérification 2 3 6 4 3 4 3" xfId="9903"/>
    <cellStyle name="Vérification 2 3 6 4 3 4 3 2" xfId="26127"/>
    <cellStyle name="Vérification 2 3 6 4 3 4 3 2 2" xfId="38134"/>
    <cellStyle name="Vérification 2 3 6 4 3 4 3 3" xfId="15910"/>
    <cellStyle name="Vérification 2 3 6 4 3 4 3 4" xfId="32131"/>
    <cellStyle name="Vérification 2 3 6 4 3 4 4" xfId="19609"/>
    <cellStyle name="Vérification 2 3 6 4 3 4 4 2" xfId="33723"/>
    <cellStyle name="Vérification 2 3 6 4 3 4 5" xfId="11912"/>
    <cellStyle name="Vérification 2 3 6 4 3 4 6" xfId="28133"/>
    <cellStyle name="Vérification 2 3 6 4 3 5" xfId="3086"/>
    <cellStyle name="Vérification 2 3 6 4 3 5 2" xfId="8144"/>
    <cellStyle name="Vérification 2 3 6 4 3 5 2 2" xfId="24368"/>
    <cellStyle name="Vérification 2 3 6 4 3 5 2 2 2" xfId="36375"/>
    <cellStyle name="Vérification 2 3 6 4 3 5 2 3" xfId="14151"/>
    <cellStyle name="Vérification 2 3 6 4 3 5 2 4" xfId="30372"/>
    <cellStyle name="Vérification 2 3 6 4 3 5 3" xfId="19314"/>
    <cellStyle name="Vérification 2 3 6 4 3 5 3 2" xfId="33428"/>
    <cellStyle name="Vérification 2 3 6 4 3 5 4" xfId="11699"/>
    <cellStyle name="Vérification 2 3 6 4 3 5 5" xfId="27920"/>
    <cellStyle name="Vérification 2 3 6 4 3 6" xfId="7204"/>
    <cellStyle name="Vérification 2 3 6 4 3 6 2" xfId="23428"/>
    <cellStyle name="Vérification 2 3 6 4 3 6 2 2" xfId="35435"/>
    <cellStyle name="Vérification 2 3 6 4 3 6 3" xfId="13588"/>
    <cellStyle name="Vérification 2 3 6 4 3 6 4" xfId="29809"/>
    <cellStyle name="Vérification 2 3 6 4 3 7" xfId="17478"/>
    <cellStyle name="Vérification 2 3 6 4 3 7 2" xfId="32798"/>
    <cellStyle name="Vérification 2 3 6 4 3 8" xfId="10570"/>
    <cellStyle name="Vérification 2 3 6 4 3 9" xfId="26795"/>
    <cellStyle name="Vérification 2 3 6 4 4" xfId="2700"/>
    <cellStyle name="Vérification 2 3 6 4 4 2" xfId="6388"/>
    <cellStyle name="Vérification 2 3 6 4 4 2 2" xfId="8769"/>
    <cellStyle name="Vérification 2 3 6 4 4 2 2 2" xfId="24993"/>
    <cellStyle name="Vérification 2 3 6 4 4 2 2 2 2" xfId="37000"/>
    <cellStyle name="Vérification 2 3 6 4 4 2 2 3" xfId="14776"/>
    <cellStyle name="Vérification 2 3 6 4 4 2 2 4" xfId="30997"/>
    <cellStyle name="Vérification 2 3 6 4 4 2 3" xfId="10147"/>
    <cellStyle name="Vérification 2 3 6 4 4 2 3 2" xfId="26371"/>
    <cellStyle name="Vérification 2 3 6 4 4 2 3 2 2" xfId="38378"/>
    <cellStyle name="Vérification 2 3 6 4 4 2 3 3" xfId="16154"/>
    <cellStyle name="Vérification 2 3 6 4 4 2 3 4" xfId="32375"/>
    <cellStyle name="Vérification 2 3 6 4 4 2 4" xfId="22612"/>
    <cellStyle name="Vérification 2 3 6 4 4 2 4 2" xfId="34619"/>
    <cellStyle name="Vérification 2 3 6 4 4 2 5" xfId="12473"/>
    <cellStyle name="Vérification 2 3 6 4 4 2 6" xfId="28694"/>
    <cellStyle name="Vérification 2 3 6 4 4 3" xfId="7436"/>
    <cellStyle name="Vérification 2 3 6 4 4 3 2" xfId="9480"/>
    <cellStyle name="Vérification 2 3 6 4 4 3 2 2" xfId="25704"/>
    <cellStyle name="Vérification 2 3 6 4 4 3 2 2 2" xfId="37711"/>
    <cellStyle name="Vérification 2 3 6 4 4 3 2 3" xfId="15487"/>
    <cellStyle name="Vérification 2 3 6 4 4 3 2 4" xfId="31708"/>
    <cellStyle name="Vérification 2 3 6 4 4 3 3" xfId="23660"/>
    <cellStyle name="Vérification 2 3 6 4 4 3 3 2" xfId="35667"/>
    <cellStyle name="Vérification 2 3 6 4 4 3 4" xfId="13184"/>
    <cellStyle name="Vérification 2 3 6 4 4 3 5" xfId="29405"/>
    <cellStyle name="Vérification 2 3 6 4 4 4" xfId="7813"/>
    <cellStyle name="Vérification 2 3 6 4 4 4 2" xfId="24037"/>
    <cellStyle name="Vérification 2 3 6 4 4 4 2 2" xfId="36044"/>
    <cellStyle name="Vérification 2 3 6 4 4 4 3" xfId="13820"/>
    <cellStyle name="Vérification 2 3 6 4 4 4 4" xfId="30041"/>
    <cellStyle name="Vérification 2 3 6 4 4 5" xfId="18928"/>
    <cellStyle name="Vérification 2 3 6 4 4 5 2" xfId="33042"/>
    <cellStyle name="Vérification 2 3 6 4 4 6" xfId="11169"/>
    <cellStyle name="Vérification 2 3 6 4 4 7" xfId="27390"/>
    <cellStyle name="Vérification 2 3 6 4 5" xfId="4361"/>
    <cellStyle name="Vérification 2 3 6 4 5 2" xfId="6868"/>
    <cellStyle name="Vérification 2 3 6 4 5 2 2" xfId="9147"/>
    <cellStyle name="Vérification 2 3 6 4 5 2 2 2" xfId="25371"/>
    <cellStyle name="Vérification 2 3 6 4 5 2 2 2 2" xfId="37378"/>
    <cellStyle name="Vérification 2 3 6 4 5 2 2 3" xfId="15154"/>
    <cellStyle name="Vérification 2 3 6 4 5 2 2 4" xfId="31375"/>
    <cellStyle name="Vérification 2 3 6 4 5 2 3" xfId="23092"/>
    <cellStyle name="Vérification 2 3 6 4 5 2 3 2" xfId="35099"/>
    <cellStyle name="Vérification 2 3 6 4 5 2 4" xfId="12851"/>
    <cellStyle name="Vérification 2 3 6 4 5 2 5" xfId="29072"/>
    <cellStyle name="Vérification 2 3 6 4 5 3" xfId="3760"/>
    <cellStyle name="Vérification 2 3 6 4 5 3 2" xfId="19988"/>
    <cellStyle name="Vérification 2 3 6 4 5 3 2 2" xfId="34102"/>
    <cellStyle name="Vérification 2 3 6 4 5 3 3" xfId="11562"/>
    <cellStyle name="Vérification 2 3 6 4 5 3 4" xfId="27783"/>
    <cellStyle name="Vérification 2 3 6 4 5 4" xfId="20587"/>
    <cellStyle name="Vérification 2 3 6 4 5 4 2" xfId="34286"/>
    <cellStyle name="Vérification 2 3 6 4 5 5" xfId="10828"/>
    <cellStyle name="Vérification 2 3 6 4 5 6" xfId="27051"/>
    <cellStyle name="Vérification 2 3 6 4 6" xfId="3165"/>
    <cellStyle name="Vérification 2 3 6 4 6 2" xfId="8201"/>
    <cellStyle name="Vérification 2 3 6 4 6 2 2" xfId="24425"/>
    <cellStyle name="Vérification 2 3 6 4 6 2 2 2" xfId="36432"/>
    <cellStyle name="Vérification 2 3 6 4 6 2 3" xfId="14208"/>
    <cellStyle name="Vérification 2 3 6 4 6 2 4" xfId="30429"/>
    <cellStyle name="Vérification 2 3 6 4 6 3" xfId="9814"/>
    <cellStyle name="Vérification 2 3 6 4 6 3 2" xfId="26038"/>
    <cellStyle name="Vérification 2 3 6 4 6 3 2 2" xfId="38045"/>
    <cellStyle name="Vérification 2 3 6 4 6 3 3" xfId="15821"/>
    <cellStyle name="Vérification 2 3 6 4 6 3 4" xfId="32042"/>
    <cellStyle name="Vérification 2 3 6 4 6 4" xfId="19393"/>
    <cellStyle name="Vérification 2 3 6 4 6 4 2" xfId="33507"/>
    <cellStyle name="Vérification 2 3 6 4 6 5" xfId="11756"/>
    <cellStyle name="Vérification 2 3 6 4 6 6" xfId="27977"/>
    <cellStyle name="Vérification 2 3 6 4 7" xfId="3526"/>
    <cellStyle name="Vérification 2 3 6 4 7 2" xfId="8491"/>
    <cellStyle name="Vérification 2 3 6 4 7 2 2" xfId="24715"/>
    <cellStyle name="Vérification 2 3 6 4 7 2 2 2" xfId="36722"/>
    <cellStyle name="Vérification 2 3 6 4 7 2 3" xfId="14498"/>
    <cellStyle name="Vérification 2 3 6 4 7 2 4" xfId="30719"/>
    <cellStyle name="Vérification 2 3 6 4 7 3" xfId="19754"/>
    <cellStyle name="Vérification 2 3 6 4 7 3 2" xfId="33868"/>
    <cellStyle name="Vérification 2 3 6 4 7 4" xfId="12046"/>
    <cellStyle name="Vérification 2 3 6 4 7 5" xfId="28267"/>
    <cellStyle name="Vérification 2 3 6 4 8" xfId="3044"/>
    <cellStyle name="Vérification 2 3 6 4 8 2" xfId="19272"/>
    <cellStyle name="Vérification 2 3 6 4 8 2 2" xfId="33386"/>
    <cellStyle name="Vérification 2 3 6 4 8 3" xfId="11428"/>
    <cellStyle name="Vérification 2 3 6 4 8 4" xfId="27649"/>
    <cellStyle name="Vérification 2 3 6 4 9" xfId="16903"/>
    <cellStyle name="Vérification 2 3 6 4 9 2" xfId="32709"/>
    <cellStyle name="Vérification 2 3 6 5" xfId="754"/>
    <cellStyle name="Vérification 2 3 6 5 10" xfId="26728"/>
    <cellStyle name="Vérification 2 3 6 5 2" xfId="1422"/>
    <cellStyle name="Vérification 2 3 6 5 2 2" xfId="2900"/>
    <cellStyle name="Vérification 2 3 6 5 2 2 2" xfId="6588"/>
    <cellStyle name="Vérification 2 3 6 5 2 2 2 2" xfId="8969"/>
    <cellStyle name="Vérification 2 3 6 5 2 2 2 2 2" xfId="25193"/>
    <cellStyle name="Vérification 2 3 6 5 2 2 2 2 2 2" xfId="37200"/>
    <cellStyle name="Vérification 2 3 6 5 2 2 2 2 3" xfId="14976"/>
    <cellStyle name="Vérification 2 3 6 5 2 2 2 2 4" xfId="31197"/>
    <cellStyle name="Vérification 2 3 6 5 2 2 2 3" xfId="10347"/>
    <cellStyle name="Vérification 2 3 6 5 2 2 2 3 2" xfId="26571"/>
    <cellStyle name="Vérification 2 3 6 5 2 2 2 3 2 2" xfId="38578"/>
    <cellStyle name="Vérification 2 3 6 5 2 2 2 3 3" xfId="16354"/>
    <cellStyle name="Vérification 2 3 6 5 2 2 2 3 4" xfId="32575"/>
    <cellStyle name="Vérification 2 3 6 5 2 2 2 4" xfId="22812"/>
    <cellStyle name="Vérification 2 3 6 5 2 2 2 4 2" xfId="34819"/>
    <cellStyle name="Vérification 2 3 6 5 2 2 2 5" xfId="12673"/>
    <cellStyle name="Vérification 2 3 6 5 2 2 2 6" xfId="28894"/>
    <cellStyle name="Vérification 2 3 6 5 2 2 3" xfId="7636"/>
    <cellStyle name="Vérification 2 3 6 5 2 2 3 2" xfId="9680"/>
    <cellStyle name="Vérification 2 3 6 5 2 2 3 2 2" xfId="25904"/>
    <cellStyle name="Vérification 2 3 6 5 2 2 3 2 2 2" xfId="37911"/>
    <cellStyle name="Vérification 2 3 6 5 2 2 3 2 3" xfId="15687"/>
    <cellStyle name="Vérification 2 3 6 5 2 2 3 2 4" xfId="31908"/>
    <cellStyle name="Vérification 2 3 6 5 2 2 3 3" xfId="23860"/>
    <cellStyle name="Vérification 2 3 6 5 2 2 3 3 2" xfId="35867"/>
    <cellStyle name="Vérification 2 3 6 5 2 2 3 4" xfId="13384"/>
    <cellStyle name="Vérification 2 3 6 5 2 2 3 5" xfId="29605"/>
    <cellStyle name="Vérification 2 3 6 5 2 2 4" xfId="8013"/>
    <cellStyle name="Vérification 2 3 6 5 2 2 4 2" xfId="24237"/>
    <cellStyle name="Vérification 2 3 6 5 2 2 4 2 2" xfId="36244"/>
    <cellStyle name="Vérification 2 3 6 5 2 2 4 3" xfId="14020"/>
    <cellStyle name="Vérification 2 3 6 5 2 2 4 4" xfId="30241"/>
    <cellStyle name="Vérification 2 3 6 5 2 2 5" xfId="19128"/>
    <cellStyle name="Vérification 2 3 6 5 2 2 5 2" xfId="33242"/>
    <cellStyle name="Vérification 2 3 6 5 2 2 6" xfId="11369"/>
    <cellStyle name="Vérification 2 3 6 5 2 2 7" xfId="27590"/>
    <cellStyle name="Vérification 2 3 6 5 2 3" xfId="5119"/>
    <cellStyle name="Vérification 2 3 6 5 2 3 2" xfId="7146"/>
    <cellStyle name="Vérification 2 3 6 5 2 3 2 2" xfId="9347"/>
    <cellStyle name="Vérification 2 3 6 5 2 3 2 2 2" xfId="25571"/>
    <cellStyle name="Vérification 2 3 6 5 2 3 2 2 2 2" xfId="37578"/>
    <cellStyle name="Vérification 2 3 6 5 2 3 2 2 3" xfId="15354"/>
    <cellStyle name="Vérification 2 3 6 5 2 3 2 2 4" xfId="31575"/>
    <cellStyle name="Vérification 2 3 6 5 2 3 2 3" xfId="23370"/>
    <cellStyle name="Vérification 2 3 6 5 2 3 2 3 2" xfId="35377"/>
    <cellStyle name="Vérification 2 3 6 5 2 3 2 4" xfId="13051"/>
    <cellStyle name="Vérification 2 3 6 5 2 3 2 5" xfId="29272"/>
    <cellStyle name="Vérification 2 3 6 5 2 3 3" xfId="7246"/>
    <cellStyle name="Vérification 2 3 6 5 2 3 3 2" xfId="23470"/>
    <cellStyle name="Vérification 2 3 6 5 2 3 3 2 2" xfId="35477"/>
    <cellStyle name="Vérification 2 3 6 5 2 3 3 3" xfId="13630"/>
    <cellStyle name="Vérification 2 3 6 5 2 3 3 4" xfId="29851"/>
    <cellStyle name="Vérification 2 3 6 5 2 3 4" xfId="21345"/>
    <cellStyle name="Vérification 2 3 6 5 2 3 4 2" xfId="34486"/>
    <cellStyle name="Vérification 2 3 6 5 2 3 5" xfId="11033"/>
    <cellStyle name="Vérification 2 3 6 5 2 3 6" xfId="27256"/>
    <cellStyle name="Vérification 2 3 6 5 2 4" xfId="3510"/>
    <cellStyle name="Vérification 2 3 6 5 2 4 2" xfId="8477"/>
    <cellStyle name="Vérification 2 3 6 5 2 4 2 2" xfId="24701"/>
    <cellStyle name="Vérification 2 3 6 5 2 4 2 2 2" xfId="36708"/>
    <cellStyle name="Vérification 2 3 6 5 2 4 2 3" xfId="14484"/>
    <cellStyle name="Vérification 2 3 6 5 2 4 2 4" xfId="30705"/>
    <cellStyle name="Vérification 2 3 6 5 2 4 3" xfId="10014"/>
    <cellStyle name="Vérification 2 3 6 5 2 4 3 2" xfId="26238"/>
    <cellStyle name="Vérification 2 3 6 5 2 4 3 2 2" xfId="38245"/>
    <cellStyle name="Vérification 2 3 6 5 2 4 3 3" xfId="16021"/>
    <cellStyle name="Vérification 2 3 6 5 2 4 3 4" xfId="32242"/>
    <cellStyle name="Vérification 2 3 6 5 2 4 4" xfId="19738"/>
    <cellStyle name="Vérification 2 3 6 5 2 4 4 2" xfId="33852"/>
    <cellStyle name="Vérification 2 3 6 5 2 4 5" xfId="12032"/>
    <cellStyle name="Vérification 2 3 6 5 2 4 6" xfId="28253"/>
    <cellStyle name="Vérification 2 3 6 5 2 5" xfId="3529"/>
    <cellStyle name="Vérification 2 3 6 5 2 5 2" xfId="8492"/>
    <cellStyle name="Vérification 2 3 6 5 2 5 2 2" xfId="24716"/>
    <cellStyle name="Vérification 2 3 6 5 2 5 2 2 2" xfId="36723"/>
    <cellStyle name="Vérification 2 3 6 5 2 5 2 3" xfId="14499"/>
    <cellStyle name="Vérification 2 3 6 5 2 5 2 4" xfId="30720"/>
    <cellStyle name="Vérification 2 3 6 5 2 5 3" xfId="19757"/>
    <cellStyle name="Vérification 2 3 6 5 2 5 3 2" xfId="33871"/>
    <cellStyle name="Vérification 2 3 6 5 2 5 4" xfId="12047"/>
    <cellStyle name="Vérification 2 3 6 5 2 5 5" xfId="28268"/>
    <cellStyle name="Vérification 2 3 6 5 2 6" xfId="6657"/>
    <cellStyle name="Vérification 2 3 6 5 2 6 2" xfId="22881"/>
    <cellStyle name="Vérification 2 3 6 5 2 6 2 2" xfId="34888"/>
    <cellStyle name="Vérification 2 3 6 5 2 6 3" xfId="11606"/>
    <cellStyle name="Vérification 2 3 6 5 2 6 4" xfId="27827"/>
    <cellStyle name="Vérification 2 3 6 5 2 7" xfId="17661"/>
    <cellStyle name="Vérification 2 3 6 5 2 7 2" xfId="32909"/>
    <cellStyle name="Vérification 2 3 6 5 2 8" xfId="10681"/>
    <cellStyle name="Vérification 2 3 6 5 2 9" xfId="26906"/>
    <cellStyle name="Vérification 2 3 6 5 3" xfId="2722"/>
    <cellStyle name="Vérification 2 3 6 5 3 2" xfId="6410"/>
    <cellStyle name="Vérification 2 3 6 5 3 2 2" xfId="8791"/>
    <cellStyle name="Vérification 2 3 6 5 3 2 2 2" xfId="25015"/>
    <cellStyle name="Vérification 2 3 6 5 3 2 2 2 2" xfId="37022"/>
    <cellStyle name="Vérification 2 3 6 5 3 2 2 3" xfId="14798"/>
    <cellStyle name="Vérification 2 3 6 5 3 2 2 4" xfId="31019"/>
    <cellStyle name="Vérification 2 3 6 5 3 2 3" xfId="10169"/>
    <cellStyle name="Vérification 2 3 6 5 3 2 3 2" xfId="26393"/>
    <cellStyle name="Vérification 2 3 6 5 3 2 3 2 2" xfId="38400"/>
    <cellStyle name="Vérification 2 3 6 5 3 2 3 3" xfId="16176"/>
    <cellStyle name="Vérification 2 3 6 5 3 2 3 4" xfId="32397"/>
    <cellStyle name="Vérification 2 3 6 5 3 2 4" xfId="22634"/>
    <cellStyle name="Vérification 2 3 6 5 3 2 4 2" xfId="34641"/>
    <cellStyle name="Vérification 2 3 6 5 3 2 5" xfId="12495"/>
    <cellStyle name="Vérification 2 3 6 5 3 2 6" xfId="28716"/>
    <cellStyle name="Vérification 2 3 6 5 3 3" xfId="7458"/>
    <cellStyle name="Vérification 2 3 6 5 3 3 2" xfId="9502"/>
    <cellStyle name="Vérification 2 3 6 5 3 3 2 2" xfId="25726"/>
    <cellStyle name="Vérification 2 3 6 5 3 3 2 2 2" xfId="37733"/>
    <cellStyle name="Vérification 2 3 6 5 3 3 2 3" xfId="15509"/>
    <cellStyle name="Vérification 2 3 6 5 3 3 2 4" xfId="31730"/>
    <cellStyle name="Vérification 2 3 6 5 3 3 3" xfId="23682"/>
    <cellStyle name="Vérification 2 3 6 5 3 3 3 2" xfId="35689"/>
    <cellStyle name="Vérification 2 3 6 5 3 3 4" xfId="13206"/>
    <cellStyle name="Vérification 2 3 6 5 3 3 5" xfId="29427"/>
    <cellStyle name="Vérification 2 3 6 5 3 4" xfId="7835"/>
    <cellStyle name="Vérification 2 3 6 5 3 4 2" xfId="24059"/>
    <cellStyle name="Vérification 2 3 6 5 3 4 2 2" xfId="36066"/>
    <cellStyle name="Vérification 2 3 6 5 3 4 3" xfId="13842"/>
    <cellStyle name="Vérification 2 3 6 5 3 4 4" xfId="30063"/>
    <cellStyle name="Vérification 2 3 6 5 3 5" xfId="18950"/>
    <cellStyle name="Vérification 2 3 6 5 3 5 2" xfId="33064"/>
    <cellStyle name="Vérification 2 3 6 5 3 6" xfId="11191"/>
    <cellStyle name="Vérification 2 3 6 5 3 7" xfId="27412"/>
    <cellStyle name="Vérification 2 3 6 5 4" xfId="4455"/>
    <cellStyle name="Vérification 2 3 6 5 4 2" xfId="6900"/>
    <cellStyle name="Vérification 2 3 6 5 4 2 2" xfId="9169"/>
    <cellStyle name="Vérification 2 3 6 5 4 2 2 2" xfId="25393"/>
    <cellStyle name="Vérification 2 3 6 5 4 2 2 2 2" xfId="37400"/>
    <cellStyle name="Vérification 2 3 6 5 4 2 2 3" xfId="15176"/>
    <cellStyle name="Vérification 2 3 6 5 4 2 2 4" xfId="31397"/>
    <cellStyle name="Vérification 2 3 6 5 4 2 3" xfId="23124"/>
    <cellStyle name="Vérification 2 3 6 5 4 2 3 2" xfId="35131"/>
    <cellStyle name="Vérification 2 3 6 5 4 2 4" xfId="12873"/>
    <cellStyle name="Vérification 2 3 6 5 4 2 5" xfId="29094"/>
    <cellStyle name="Vérification 2 3 6 5 4 3" xfId="6880"/>
    <cellStyle name="Vérification 2 3 6 5 4 3 2" xfId="23104"/>
    <cellStyle name="Vérification 2 3 6 5 4 3 2 2" xfId="35111"/>
    <cellStyle name="Vérification 2 3 6 5 4 3 3" xfId="12295"/>
    <cellStyle name="Vérification 2 3 6 5 4 3 4" xfId="28516"/>
    <cellStyle name="Vérification 2 3 6 5 4 4" xfId="20681"/>
    <cellStyle name="Vérification 2 3 6 5 4 4 2" xfId="34308"/>
    <cellStyle name="Vérification 2 3 6 5 4 5" xfId="10854"/>
    <cellStyle name="Vérification 2 3 6 5 4 6" xfId="27077"/>
    <cellStyle name="Vérification 2 3 6 5 5" xfId="3211"/>
    <cellStyle name="Vérification 2 3 6 5 5 2" xfId="8232"/>
    <cellStyle name="Vérification 2 3 6 5 5 2 2" xfId="24456"/>
    <cellStyle name="Vérification 2 3 6 5 5 2 2 2" xfId="36463"/>
    <cellStyle name="Vérification 2 3 6 5 5 2 3" xfId="14239"/>
    <cellStyle name="Vérification 2 3 6 5 5 2 4" xfId="30460"/>
    <cellStyle name="Vérification 2 3 6 5 5 3" xfId="9836"/>
    <cellStyle name="Vérification 2 3 6 5 5 3 2" xfId="26060"/>
    <cellStyle name="Vérification 2 3 6 5 5 3 2 2" xfId="38067"/>
    <cellStyle name="Vérification 2 3 6 5 5 3 3" xfId="15843"/>
    <cellStyle name="Vérification 2 3 6 5 5 3 4" xfId="32064"/>
    <cellStyle name="Vérification 2 3 6 5 5 4" xfId="19439"/>
    <cellStyle name="Vérification 2 3 6 5 5 4 2" xfId="33553"/>
    <cellStyle name="Vérification 2 3 6 5 5 5" xfId="11787"/>
    <cellStyle name="Vérification 2 3 6 5 5 6" xfId="28008"/>
    <cellStyle name="Vérification 2 3 6 5 6" xfId="3594"/>
    <cellStyle name="Vérification 2 3 6 5 6 2" xfId="8530"/>
    <cellStyle name="Vérification 2 3 6 5 6 2 2" xfId="24754"/>
    <cellStyle name="Vérification 2 3 6 5 6 2 2 2" xfId="36761"/>
    <cellStyle name="Vérification 2 3 6 5 6 2 3" xfId="14537"/>
    <cellStyle name="Vérification 2 3 6 5 6 2 4" xfId="30758"/>
    <cellStyle name="Vérification 2 3 6 5 6 3" xfId="19822"/>
    <cellStyle name="Vérification 2 3 6 5 6 3 2" xfId="33936"/>
    <cellStyle name="Vérification 2 3 6 5 6 4" xfId="12085"/>
    <cellStyle name="Vérification 2 3 6 5 6 5" xfId="28306"/>
    <cellStyle name="Vérification 2 3 6 5 7" xfId="3137"/>
    <cellStyle name="Vérification 2 3 6 5 7 2" xfId="19365"/>
    <cellStyle name="Vérification 2 3 6 5 7 2 2" xfId="33479"/>
    <cellStyle name="Vérification 2 3 6 5 7 3" xfId="11577"/>
    <cellStyle name="Vérification 2 3 6 5 7 4" xfId="27798"/>
    <cellStyle name="Vérification 2 3 6 5 8" xfId="16997"/>
    <cellStyle name="Vérification 2 3 6 5 8 2" xfId="32731"/>
    <cellStyle name="Vérification 2 3 6 5 9" xfId="10503"/>
    <cellStyle name="Vérification 2 3 6 6" xfId="1333"/>
    <cellStyle name="Vérification 2 3 6 6 2" xfId="2811"/>
    <cellStyle name="Vérification 2 3 6 6 2 2" xfId="6499"/>
    <cellStyle name="Vérification 2 3 6 6 2 2 2" xfId="8880"/>
    <cellStyle name="Vérification 2 3 6 6 2 2 2 2" xfId="25104"/>
    <cellStyle name="Vérification 2 3 6 6 2 2 2 2 2" xfId="37111"/>
    <cellStyle name="Vérification 2 3 6 6 2 2 2 3" xfId="14887"/>
    <cellStyle name="Vérification 2 3 6 6 2 2 2 4" xfId="31108"/>
    <cellStyle name="Vérification 2 3 6 6 2 2 3" xfId="10258"/>
    <cellStyle name="Vérification 2 3 6 6 2 2 3 2" xfId="26482"/>
    <cellStyle name="Vérification 2 3 6 6 2 2 3 2 2" xfId="38489"/>
    <cellStyle name="Vérification 2 3 6 6 2 2 3 3" xfId="16265"/>
    <cellStyle name="Vérification 2 3 6 6 2 2 3 4" xfId="32486"/>
    <cellStyle name="Vérification 2 3 6 6 2 2 4" xfId="22723"/>
    <cellStyle name="Vérification 2 3 6 6 2 2 4 2" xfId="34730"/>
    <cellStyle name="Vérification 2 3 6 6 2 2 5" xfId="12584"/>
    <cellStyle name="Vérification 2 3 6 6 2 2 6" xfId="28805"/>
    <cellStyle name="Vérification 2 3 6 6 2 3" xfId="7547"/>
    <cellStyle name="Vérification 2 3 6 6 2 3 2" xfId="9591"/>
    <cellStyle name="Vérification 2 3 6 6 2 3 2 2" xfId="25815"/>
    <cellStyle name="Vérification 2 3 6 6 2 3 2 2 2" xfId="37822"/>
    <cellStyle name="Vérification 2 3 6 6 2 3 2 3" xfId="15598"/>
    <cellStyle name="Vérification 2 3 6 6 2 3 2 4" xfId="31819"/>
    <cellStyle name="Vérification 2 3 6 6 2 3 3" xfId="23771"/>
    <cellStyle name="Vérification 2 3 6 6 2 3 3 2" xfId="35778"/>
    <cellStyle name="Vérification 2 3 6 6 2 3 4" xfId="13295"/>
    <cellStyle name="Vérification 2 3 6 6 2 3 5" xfId="29516"/>
    <cellStyle name="Vérification 2 3 6 6 2 4" xfId="7924"/>
    <cellStyle name="Vérification 2 3 6 6 2 4 2" xfId="24148"/>
    <cellStyle name="Vérification 2 3 6 6 2 4 2 2" xfId="36155"/>
    <cellStyle name="Vérification 2 3 6 6 2 4 3" xfId="13931"/>
    <cellStyle name="Vérification 2 3 6 6 2 4 4" xfId="30152"/>
    <cellStyle name="Vérification 2 3 6 6 2 5" xfId="19039"/>
    <cellStyle name="Vérification 2 3 6 6 2 5 2" xfId="33153"/>
    <cellStyle name="Vérification 2 3 6 6 2 6" xfId="11280"/>
    <cellStyle name="Vérification 2 3 6 6 2 7" xfId="27501"/>
    <cellStyle name="Vérification 2 3 6 6 3" xfId="5030"/>
    <cellStyle name="Vérification 2 3 6 6 3 2" xfId="7057"/>
    <cellStyle name="Vérification 2 3 6 6 3 2 2" xfId="9258"/>
    <cellStyle name="Vérification 2 3 6 6 3 2 2 2" xfId="25482"/>
    <cellStyle name="Vérification 2 3 6 6 3 2 2 2 2" xfId="37489"/>
    <cellStyle name="Vérification 2 3 6 6 3 2 2 3" xfId="15265"/>
    <cellStyle name="Vérification 2 3 6 6 3 2 2 4" xfId="31486"/>
    <cellStyle name="Vérification 2 3 6 6 3 2 3" xfId="23281"/>
    <cellStyle name="Vérification 2 3 6 6 3 2 3 2" xfId="35288"/>
    <cellStyle name="Vérification 2 3 6 6 3 2 4" xfId="12962"/>
    <cellStyle name="Vérification 2 3 6 6 3 2 5" xfId="29183"/>
    <cellStyle name="Vérification 2 3 6 6 3 3" xfId="3070"/>
    <cellStyle name="Vérification 2 3 6 6 3 3 2" xfId="19298"/>
    <cellStyle name="Vérification 2 3 6 6 3 3 2 2" xfId="33412"/>
    <cellStyle name="Vérification 2 3 6 6 3 3 3" xfId="12340"/>
    <cellStyle name="Vérification 2 3 6 6 3 3 4" xfId="28561"/>
    <cellStyle name="Vérification 2 3 6 6 3 4" xfId="21256"/>
    <cellStyle name="Vérification 2 3 6 6 3 4 2" xfId="34397"/>
    <cellStyle name="Vérification 2 3 6 6 3 5" xfId="10944"/>
    <cellStyle name="Vérification 2 3 6 6 3 6" xfId="27167"/>
    <cellStyle name="Vérification 2 3 6 6 4" xfId="3421"/>
    <cellStyle name="Vérification 2 3 6 6 4 2" xfId="8388"/>
    <cellStyle name="Vérification 2 3 6 6 4 2 2" xfId="24612"/>
    <cellStyle name="Vérification 2 3 6 6 4 2 2 2" xfId="36619"/>
    <cellStyle name="Vérification 2 3 6 6 4 2 3" xfId="14395"/>
    <cellStyle name="Vérification 2 3 6 6 4 2 4" xfId="30616"/>
    <cellStyle name="Vérification 2 3 6 6 4 3" xfId="9925"/>
    <cellStyle name="Vérification 2 3 6 6 4 3 2" xfId="26149"/>
    <cellStyle name="Vérification 2 3 6 6 4 3 2 2" xfId="38156"/>
    <cellStyle name="Vérification 2 3 6 6 4 3 3" xfId="15932"/>
    <cellStyle name="Vérification 2 3 6 6 4 3 4" xfId="32153"/>
    <cellStyle name="Vérification 2 3 6 6 4 4" xfId="19649"/>
    <cellStyle name="Vérification 2 3 6 6 4 4 2" xfId="33763"/>
    <cellStyle name="Vérification 2 3 6 6 4 5" xfId="11943"/>
    <cellStyle name="Vérification 2 3 6 6 4 6" xfId="28164"/>
    <cellStyle name="Vérification 2 3 6 6 5" xfId="3233"/>
    <cellStyle name="Vérification 2 3 6 6 5 2" xfId="8247"/>
    <cellStyle name="Vérification 2 3 6 6 5 2 2" xfId="24471"/>
    <cellStyle name="Vérification 2 3 6 6 5 2 2 2" xfId="36478"/>
    <cellStyle name="Vérification 2 3 6 6 5 2 3" xfId="14254"/>
    <cellStyle name="Vérification 2 3 6 6 5 2 4" xfId="30475"/>
    <cellStyle name="Vérification 2 3 6 6 5 3" xfId="19461"/>
    <cellStyle name="Vérification 2 3 6 6 5 3 2" xfId="33575"/>
    <cellStyle name="Vérification 2 3 6 6 5 4" xfId="11802"/>
    <cellStyle name="Vérification 2 3 6 6 5 5" xfId="28023"/>
    <cellStyle name="Vérification 2 3 6 6 6" xfId="7314"/>
    <cellStyle name="Vérification 2 3 6 6 6 2" xfId="23538"/>
    <cellStyle name="Vérification 2 3 6 6 6 2 2" xfId="35545"/>
    <cellStyle name="Vérification 2 3 6 6 6 3" xfId="13687"/>
    <cellStyle name="Vérification 2 3 6 6 6 4" xfId="29908"/>
    <cellStyle name="Vérification 2 3 6 6 7" xfId="17572"/>
    <cellStyle name="Vérification 2 3 6 6 7 2" xfId="32820"/>
    <cellStyle name="Vérification 2 3 6 6 8" xfId="10592"/>
    <cellStyle name="Vérification 2 3 6 6 9" xfId="26817"/>
    <cellStyle name="Vérification 2 3 6 7" xfId="2516"/>
    <cellStyle name="Vérification 2 3 6 7 2" xfId="2923"/>
    <cellStyle name="Vérification 2 3 6 7 2 2" xfId="6611"/>
    <cellStyle name="Vérification 2 3 6 7 2 2 2" xfId="8992"/>
    <cellStyle name="Vérification 2 3 6 7 2 2 2 2" xfId="25216"/>
    <cellStyle name="Vérification 2 3 6 7 2 2 2 2 2" xfId="37223"/>
    <cellStyle name="Vérification 2 3 6 7 2 2 2 3" xfId="14999"/>
    <cellStyle name="Vérification 2 3 6 7 2 2 2 4" xfId="31220"/>
    <cellStyle name="Vérification 2 3 6 7 2 2 3" xfId="10370"/>
    <cellStyle name="Vérification 2 3 6 7 2 2 3 2" xfId="26594"/>
    <cellStyle name="Vérification 2 3 6 7 2 2 3 2 2" xfId="38601"/>
    <cellStyle name="Vérification 2 3 6 7 2 2 3 3" xfId="16377"/>
    <cellStyle name="Vérification 2 3 6 7 2 2 3 4" xfId="32598"/>
    <cellStyle name="Vérification 2 3 6 7 2 2 4" xfId="22835"/>
    <cellStyle name="Vérification 2 3 6 7 2 2 4 2" xfId="34842"/>
    <cellStyle name="Vérification 2 3 6 7 2 2 5" xfId="12696"/>
    <cellStyle name="Vérification 2 3 6 7 2 2 6" xfId="28917"/>
    <cellStyle name="Vérification 2 3 6 7 2 3" xfId="7659"/>
    <cellStyle name="Vérification 2 3 6 7 2 3 2" xfId="9703"/>
    <cellStyle name="Vérification 2 3 6 7 2 3 2 2" xfId="25927"/>
    <cellStyle name="Vérification 2 3 6 7 2 3 2 2 2" xfId="37934"/>
    <cellStyle name="Vérification 2 3 6 7 2 3 2 3" xfId="15710"/>
    <cellStyle name="Vérification 2 3 6 7 2 3 2 4" xfId="31931"/>
    <cellStyle name="Vérification 2 3 6 7 2 3 3" xfId="23883"/>
    <cellStyle name="Vérification 2 3 6 7 2 3 3 2" xfId="35890"/>
    <cellStyle name="Vérification 2 3 6 7 2 3 4" xfId="13407"/>
    <cellStyle name="Vérification 2 3 6 7 2 3 5" xfId="29628"/>
    <cellStyle name="Vérification 2 3 6 7 2 4" xfId="8036"/>
    <cellStyle name="Vérification 2 3 6 7 2 4 2" xfId="24260"/>
    <cellStyle name="Vérification 2 3 6 7 2 4 2 2" xfId="36267"/>
    <cellStyle name="Vérification 2 3 6 7 2 4 3" xfId="14043"/>
    <cellStyle name="Vérification 2 3 6 7 2 4 4" xfId="30264"/>
    <cellStyle name="Vérification 2 3 6 7 2 5" xfId="19151"/>
    <cellStyle name="Vérification 2 3 6 7 2 5 2" xfId="33265"/>
    <cellStyle name="Vérification 2 3 6 7 2 6" xfId="11392"/>
    <cellStyle name="Vérification 2 3 6 7 2 7" xfId="27613"/>
    <cellStyle name="Vérification 2 3 6 7 3" xfId="6206"/>
    <cellStyle name="Vérification 2 3 6 7 3 2" xfId="7319"/>
    <cellStyle name="Vérification 2 3 6 7 3 2 2" xfId="9370"/>
    <cellStyle name="Vérification 2 3 6 7 3 2 2 2" xfId="25594"/>
    <cellStyle name="Vérification 2 3 6 7 3 2 2 2 2" xfId="37601"/>
    <cellStyle name="Vérification 2 3 6 7 3 2 2 3" xfId="15377"/>
    <cellStyle name="Vérification 2 3 6 7 3 2 2 4" xfId="31598"/>
    <cellStyle name="Vérification 2 3 6 7 3 2 3" xfId="23543"/>
    <cellStyle name="Vérification 2 3 6 7 3 2 3 2" xfId="35550"/>
    <cellStyle name="Vérification 2 3 6 7 3 2 4" xfId="13074"/>
    <cellStyle name="Vérification 2 3 6 7 3 2 5" xfId="29295"/>
    <cellStyle name="Vérification 2 3 6 7 3 3" xfId="7703"/>
    <cellStyle name="Vérification 2 3 6 7 3 3 2" xfId="23927"/>
    <cellStyle name="Vérification 2 3 6 7 3 3 2 2" xfId="35934"/>
    <cellStyle name="Vérification 2 3 6 7 3 3 3" xfId="13710"/>
    <cellStyle name="Vérification 2 3 6 7 3 3 4" xfId="29931"/>
    <cellStyle name="Vérification 2 3 6 7 3 4" xfId="22430"/>
    <cellStyle name="Vérification 2 3 6 7 3 4 2" xfId="34509"/>
    <cellStyle name="Vérification 2 3 6 7 3 5" xfId="11058"/>
    <cellStyle name="Vérification 2 3 6 7 3 6" xfId="27279"/>
    <cellStyle name="Vérification 2 3 6 7 4" xfId="3811"/>
    <cellStyle name="Vérification 2 3 6 7 4 2" xfId="8649"/>
    <cellStyle name="Vérification 2 3 6 7 4 2 2" xfId="24873"/>
    <cellStyle name="Vérification 2 3 6 7 4 2 2 2" xfId="36880"/>
    <cellStyle name="Vérification 2 3 6 7 4 2 3" xfId="14656"/>
    <cellStyle name="Vérification 2 3 6 7 4 2 4" xfId="30877"/>
    <cellStyle name="Vérification 2 3 6 7 4 3" xfId="10037"/>
    <cellStyle name="Vérification 2 3 6 7 4 3 2" xfId="26261"/>
    <cellStyle name="Vérification 2 3 6 7 4 3 2 2" xfId="38268"/>
    <cellStyle name="Vérification 2 3 6 7 4 3 3" xfId="16044"/>
    <cellStyle name="Vérification 2 3 6 7 4 3 4" xfId="32265"/>
    <cellStyle name="Vérification 2 3 6 7 4 4" xfId="20039"/>
    <cellStyle name="Vérification 2 3 6 7 4 4 2" xfId="34153"/>
    <cellStyle name="Vérification 2 3 6 7 4 5" xfId="12204"/>
    <cellStyle name="Vérification 2 3 6 7 4 6" xfId="28425"/>
    <cellStyle name="Vérification 2 3 6 7 5" xfId="6682"/>
    <cellStyle name="Vérification 2 3 6 7 5 2" xfId="9036"/>
    <cellStyle name="Vérification 2 3 6 7 5 2 2" xfId="25260"/>
    <cellStyle name="Vérification 2 3 6 7 5 2 2 2" xfId="37267"/>
    <cellStyle name="Vérification 2 3 6 7 5 2 3" xfId="15043"/>
    <cellStyle name="Vérification 2 3 6 7 5 2 4" xfId="31264"/>
    <cellStyle name="Vérification 2 3 6 7 5 3" xfId="22906"/>
    <cellStyle name="Vérification 2 3 6 7 5 3 2" xfId="34913"/>
    <cellStyle name="Vérification 2 3 6 7 5 4" xfId="12740"/>
    <cellStyle name="Vérification 2 3 6 7 5 5" xfId="28961"/>
    <cellStyle name="Vérification 2 3 6 7 6" xfId="6654"/>
    <cellStyle name="Vérification 2 3 6 7 6 2" xfId="22878"/>
    <cellStyle name="Vérification 2 3 6 7 6 2 2" xfId="34885"/>
    <cellStyle name="Vérification 2 3 6 7 6 3" xfId="12381"/>
    <cellStyle name="Vérification 2 3 6 7 6 4" xfId="28602"/>
    <cellStyle name="Vérification 2 3 6 7 7" xfId="18746"/>
    <cellStyle name="Vérification 2 3 6 7 7 2" xfId="32932"/>
    <cellStyle name="Vérification 2 3 6 7 8" xfId="10706"/>
    <cellStyle name="Vérification 2 3 6 7 9" xfId="26929"/>
    <cellStyle name="Vérification 2 3 6 8" xfId="2611"/>
    <cellStyle name="Vérification 2 3 6 8 2" xfId="2944"/>
    <cellStyle name="Vérification 2 3 6 8 2 2" xfId="6632"/>
    <cellStyle name="Vérification 2 3 6 8 2 2 2" xfId="9013"/>
    <cellStyle name="Vérification 2 3 6 8 2 2 2 2" xfId="25237"/>
    <cellStyle name="Vérification 2 3 6 8 2 2 2 2 2" xfId="37244"/>
    <cellStyle name="Vérification 2 3 6 8 2 2 2 3" xfId="15020"/>
    <cellStyle name="Vérification 2 3 6 8 2 2 2 4" xfId="31241"/>
    <cellStyle name="Vérification 2 3 6 8 2 2 3" xfId="10391"/>
    <cellStyle name="Vérification 2 3 6 8 2 2 3 2" xfId="26615"/>
    <cellStyle name="Vérification 2 3 6 8 2 2 3 2 2" xfId="38622"/>
    <cellStyle name="Vérification 2 3 6 8 2 2 3 3" xfId="16398"/>
    <cellStyle name="Vérification 2 3 6 8 2 2 3 4" xfId="32619"/>
    <cellStyle name="Vérification 2 3 6 8 2 2 4" xfId="22856"/>
    <cellStyle name="Vérification 2 3 6 8 2 2 4 2" xfId="34863"/>
    <cellStyle name="Vérification 2 3 6 8 2 2 5" xfId="12717"/>
    <cellStyle name="Vérification 2 3 6 8 2 2 6" xfId="28938"/>
    <cellStyle name="Vérification 2 3 6 8 2 3" xfId="7680"/>
    <cellStyle name="Vérification 2 3 6 8 2 3 2" xfId="9724"/>
    <cellStyle name="Vérification 2 3 6 8 2 3 2 2" xfId="25948"/>
    <cellStyle name="Vérification 2 3 6 8 2 3 2 2 2" xfId="37955"/>
    <cellStyle name="Vérification 2 3 6 8 2 3 2 3" xfId="15731"/>
    <cellStyle name="Vérification 2 3 6 8 2 3 2 4" xfId="31952"/>
    <cellStyle name="Vérification 2 3 6 8 2 3 3" xfId="23904"/>
    <cellStyle name="Vérification 2 3 6 8 2 3 3 2" xfId="35911"/>
    <cellStyle name="Vérification 2 3 6 8 2 3 4" xfId="13428"/>
    <cellStyle name="Vérification 2 3 6 8 2 3 5" xfId="29649"/>
    <cellStyle name="Vérification 2 3 6 8 2 4" xfId="8057"/>
    <cellStyle name="Vérification 2 3 6 8 2 4 2" xfId="24281"/>
    <cellStyle name="Vérification 2 3 6 8 2 4 2 2" xfId="36288"/>
    <cellStyle name="Vérification 2 3 6 8 2 4 3" xfId="14064"/>
    <cellStyle name="Vérification 2 3 6 8 2 4 4" xfId="30285"/>
    <cellStyle name="Vérification 2 3 6 8 2 5" xfId="19172"/>
    <cellStyle name="Vérification 2 3 6 8 2 5 2" xfId="33286"/>
    <cellStyle name="Vérification 2 3 6 8 2 6" xfId="11413"/>
    <cellStyle name="Vérification 2 3 6 8 2 7" xfId="27634"/>
    <cellStyle name="Vérification 2 3 6 8 3" xfId="6299"/>
    <cellStyle name="Vérification 2 3 6 8 3 2" xfId="7347"/>
    <cellStyle name="Vérification 2 3 6 8 3 2 2" xfId="9391"/>
    <cellStyle name="Vérification 2 3 6 8 3 2 2 2" xfId="25615"/>
    <cellStyle name="Vérification 2 3 6 8 3 2 2 2 2" xfId="37622"/>
    <cellStyle name="Vérification 2 3 6 8 3 2 2 3" xfId="15398"/>
    <cellStyle name="Vérification 2 3 6 8 3 2 2 4" xfId="31619"/>
    <cellStyle name="Vérification 2 3 6 8 3 2 3" xfId="23571"/>
    <cellStyle name="Vérification 2 3 6 8 3 2 3 2" xfId="35578"/>
    <cellStyle name="Vérification 2 3 6 8 3 2 4" xfId="13095"/>
    <cellStyle name="Vérification 2 3 6 8 3 2 5" xfId="29316"/>
    <cellStyle name="Vérification 2 3 6 8 3 3" xfId="7724"/>
    <cellStyle name="Vérification 2 3 6 8 3 3 2" xfId="23948"/>
    <cellStyle name="Vérification 2 3 6 8 3 3 2 2" xfId="35955"/>
    <cellStyle name="Vérification 2 3 6 8 3 3 3" xfId="13731"/>
    <cellStyle name="Vérification 2 3 6 8 3 3 4" xfId="29952"/>
    <cellStyle name="Vérification 2 3 6 8 3 4" xfId="22523"/>
    <cellStyle name="Vérification 2 3 6 8 3 4 2" xfId="34530"/>
    <cellStyle name="Vérification 2 3 6 8 3 5" xfId="11080"/>
    <cellStyle name="Vérification 2 3 6 8 3 6" xfId="27301"/>
    <cellStyle name="Vérification 2 3 6 8 4" xfId="3854"/>
    <cellStyle name="Vérification 2 3 6 8 4 2" xfId="8680"/>
    <cellStyle name="Vérification 2 3 6 8 4 2 2" xfId="24904"/>
    <cellStyle name="Vérification 2 3 6 8 4 2 2 2" xfId="36911"/>
    <cellStyle name="Vérification 2 3 6 8 4 2 3" xfId="14687"/>
    <cellStyle name="Vérification 2 3 6 8 4 2 4" xfId="30908"/>
    <cellStyle name="Vérification 2 3 6 8 4 3" xfId="10058"/>
    <cellStyle name="Vérification 2 3 6 8 4 3 2" xfId="26282"/>
    <cellStyle name="Vérification 2 3 6 8 4 3 2 2" xfId="38289"/>
    <cellStyle name="Vérification 2 3 6 8 4 3 3" xfId="16065"/>
    <cellStyle name="Vérification 2 3 6 8 4 3 4" xfId="32286"/>
    <cellStyle name="Vérification 2 3 6 8 4 4" xfId="20082"/>
    <cellStyle name="Vérification 2 3 6 8 4 4 2" xfId="34196"/>
    <cellStyle name="Vérification 2 3 6 8 4 5" xfId="12235"/>
    <cellStyle name="Vérification 2 3 6 8 4 6" xfId="28456"/>
    <cellStyle name="Vérification 2 3 6 8 5" xfId="6711"/>
    <cellStyle name="Vérification 2 3 6 8 5 2" xfId="9057"/>
    <cellStyle name="Vérification 2 3 6 8 5 2 2" xfId="25281"/>
    <cellStyle name="Vérification 2 3 6 8 5 2 2 2" xfId="37288"/>
    <cellStyle name="Vérification 2 3 6 8 5 2 3" xfId="15064"/>
    <cellStyle name="Vérification 2 3 6 8 5 2 4" xfId="31285"/>
    <cellStyle name="Vérification 2 3 6 8 5 3" xfId="22935"/>
    <cellStyle name="Vérification 2 3 6 8 5 3 2" xfId="34942"/>
    <cellStyle name="Vérification 2 3 6 8 5 4" xfId="12761"/>
    <cellStyle name="Vérification 2 3 6 8 5 5" xfId="28982"/>
    <cellStyle name="Vérification 2 3 6 8 6" xfId="6915"/>
    <cellStyle name="Vérification 2 3 6 8 6 2" xfId="23139"/>
    <cellStyle name="Vérification 2 3 6 8 6 2 2" xfId="35146"/>
    <cellStyle name="Vérification 2 3 6 8 6 3" xfId="12331"/>
    <cellStyle name="Vérification 2 3 6 8 6 4" xfId="28552"/>
    <cellStyle name="Vérification 2 3 6 8 7" xfId="18839"/>
    <cellStyle name="Vérification 2 3 6 8 7 2" xfId="32953"/>
    <cellStyle name="Vérification 2 3 6 8 8" xfId="10727"/>
    <cellStyle name="Vérification 2 3 6 8 9" xfId="26950"/>
    <cellStyle name="Vérification 2 3 6 9" xfId="2633"/>
    <cellStyle name="Vérification 2 3 6 9 2" xfId="6321"/>
    <cellStyle name="Vérification 2 3 6 9 2 2" xfId="8702"/>
    <cellStyle name="Vérification 2 3 6 9 2 2 2" xfId="24926"/>
    <cellStyle name="Vérification 2 3 6 9 2 2 2 2" xfId="36933"/>
    <cellStyle name="Vérification 2 3 6 9 2 2 3" xfId="14709"/>
    <cellStyle name="Vérification 2 3 6 9 2 2 4" xfId="30930"/>
    <cellStyle name="Vérification 2 3 6 9 2 3" xfId="10080"/>
    <cellStyle name="Vérification 2 3 6 9 2 3 2" xfId="26304"/>
    <cellStyle name="Vérification 2 3 6 9 2 3 2 2" xfId="38311"/>
    <cellStyle name="Vérification 2 3 6 9 2 3 3" xfId="16087"/>
    <cellStyle name="Vérification 2 3 6 9 2 3 4" xfId="32308"/>
    <cellStyle name="Vérification 2 3 6 9 2 4" xfId="22545"/>
    <cellStyle name="Vérification 2 3 6 9 2 4 2" xfId="34552"/>
    <cellStyle name="Vérification 2 3 6 9 2 5" xfId="12406"/>
    <cellStyle name="Vérification 2 3 6 9 2 6" xfId="28627"/>
    <cellStyle name="Vérification 2 3 6 9 3" xfId="7369"/>
    <cellStyle name="Vérification 2 3 6 9 3 2" xfId="9413"/>
    <cellStyle name="Vérification 2 3 6 9 3 2 2" xfId="25637"/>
    <cellStyle name="Vérification 2 3 6 9 3 2 2 2" xfId="37644"/>
    <cellStyle name="Vérification 2 3 6 9 3 2 3" xfId="15420"/>
    <cellStyle name="Vérification 2 3 6 9 3 2 4" xfId="31641"/>
    <cellStyle name="Vérification 2 3 6 9 3 3" xfId="23593"/>
    <cellStyle name="Vérification 2 3 6 9 3 3 2" xfId="35600"/>
    <cellStyle name="Vérification 2 3 6 9 3 4" xfId="13117"/>
    <cellStyle name="Vérification 2 3 6 9 3 5" xfId="29338"/>
    <cellStyle name="Vérification 2 3 6 9 4" xfId="7746"/>
    <cellStyle name="Vérification 2 3 6 9 4 2" xfId="23970"/>
    <cellStyle name="Vérification 2 3 6 9 4 2 2" xfId="35977"/>
    <cellStyle name="Vérification 2 3 6 9 4 3" xfId="13753"/>
    <cellStyle name="Vérification 2 3 6 9 4 4" xfId="29974"/>
    <cellStyle name="Vérification 2 3 6 9 5" xfId="18861"/>
    <cellStyle name="Vérification 2 3 6 9 5 2" xfId="32975"/>
    <cellStyle name="Vérification 2 3 6 9 6" xfId="11102"/>
    <cellStyle name="Vérification 2 3 6 9 7" xfId="27323"/>
    <cellStyle name="Vérification 2 3 7" xfId="240"/>
    <cellStyle name="Vérification 2 3 7 10" xfId="3997"/>
    <cellStyle name="Vérification 2 3 7 10 2" xfId="6758"/>
    <cellStyle name="Vérification 2 3 7 10 2 2" xfId="9084"/>
    <cellStyle name="Vérification 2 3 7 10 2 2 2" xfId="25308"/>
    <cellStyle name="Vérification 2 3 7 10 2 2 2 2" xfId="37315"/>
    <cellStyle name="Vérification 2 3 7 10 2 2 3" xfId="15091"/>
    <cellStyle name="Vérification 2 3 7 10 2 2 4" xfId="31312"/>
    <cellStyle name="Vérification 2 3 7 10 2 3" xfId="22982"/>
    <cellStyle name="Vérification 2 3 7 10 2 3 2" xfId="34989"/>
    <cellStyle name="Vérification 2 3 7 10 2 4" xfId="12788"/>
    <cellStyle name="Vérification 2 3 7 10 2 5" xfId="29009"/>
    <cellStyle name="Vérification 2 3 7 10 3" xfId="6957"/>
    <cellStyle name="Vérification 2 3 7 10 3 2" xfId="23181"/>
    <cellStyle name="Vérification 2 3 7 10 3 2 2" xfId="35188"/>
    <cellStyle name="Vérification 2 3 7 10 3 3" xfId="13443"/>
    <cellStyle name="Vérification 2 3 7 10 3 4" xfId="29664"/>
    <cellStyle name="Vérification 2 3 7 10 4" xfId="20224"/>
    <cellStyle name="Vérification 2 3 7 10 4 2" xfId="34223"/>
    <cellStyle name="Vérification 2 3 7 10 5" xfId="10761"/>
    <cellStyle name="Vérification 2 3 7 10 6" xfId="26984"/>
    <cellStyle name="Vérification 2 3 7 11" xfId="3019"/>
    <cellStyle name="Vérification 2 3 7 11 2" xfId="8103"/>
    <cellStyle name="Vérification 2 3 7 11 2 2" xfId="24327"/>
    <cellStyle name="Vérification 2 3 7 11 2 2 2" xfId="36334"/>
    <cellStyle name="Vérification 2 3 7 11 2 3" xfId="14110"/>
    <cellStyle name="Vérification 2 3 7 11 2 4" xfId="30331"/>
    <cellStyle name="Vérification 2 3 7 11 3" xfId="9751"/>
    <cellStyle name="Vérification 2 3 7 11 3 2" xfId="25975"/>
    <cellStyle name="Vérification 2 3 7 11 3 2 2" xfId="37982"/>
    <cellStyle name="Vérification 2 3 7 11 3 3" xfId="15758"/>
    <cellStyle name="Vérification 2 3 7 11 3 4" xfId="31979"/>
    <cellStyle name="Vérification 2 3 7 11 4" xfId="19247"/>
    <cellStyle name="Vérification 2 3 7 11 4 2" xfId="33361"/>
    <cellStyle name="Vérification 2 3 7 11 5" xfId="11658"/>
    <cellStyle name="Vérification 2 3 7 11 6" xfId="27879"/>
    <cellStyle name="Vérification 2 3 7 12" xfId="3533"/>
    <cellStyle name="Vérification 2 3 7 12 2" xfId="8495"/>
    <cellStyle name="Vérification 2 3 7 12 2 2" xfId="24719"/>
    <cellStyle name="Vérification 2 3 7 12 2 2 2" xfId="36726"/>
    <cellStyle name="Vérification 2 3 7 12 2 3" xfId="14502"/>
    <cellStyle name="Vérification 2 3 7 12 2 4" xfId="30723"/>
    <cellStyle name="Vérification 2 3 7 12 3" xfId="19761"/>
    <cellStyle name="Vérification 2 3 7 12 3 2" xfId="33875"/>
    <cellStyle name="Vérification 2 3 7 12 4" xfId="12050"/>
    <cellStyle name="Vérification 2 3 7 12 5" xfId="28271"/>
    <cellStyle name="Vérification 2 3 7 13" xfId="3780"/>
    <cellStyle name="Vérification 2 3 7 13 2" xfId="20008"/>
    <cellStyle name="Vérification 2 3 7 13 2 2" xfId="34122"/>
    <cellStyle name="Vérification 2 3 7 13 3" xfId="13511"/>
    <cellStyle name="Vérification 2 3 7 13 4" xfId="29732"/>
    <cellStyle name="Vérification 2 3 7 14" xfId="16540"/>
    <cellStyle name="Vérification 2 3 7 14 2" xfId="32646"/>
    <cellStyle name="Vérification 2 3 7 15" xfId="10418"/>
    <cellStyle name="Vérification 2 3 7 16" xfId="26643"/>
    <cellStyle name="Vérification 2 3 7 2" xfId="446"/>
    <cellStyle name="Vérification 2 3 7 2 10" xfId="10441"/>
    <cellStyle name="Vérification 2 3 7 2 11" xfId="26666"/>
    <cellStyle name="Vérification 2 3 7 2 2" xfId="1360"/>
    <cellStyle name="Vérification 2 3 7 2 2 2" xfId="2838"/>
    <cellStyle name="Vérification 2 3 7 2 2 2 2" xfId="6526"/>
    <cellStyle name="Vérification 2 3 7 2 2 2 2 2" xfId="8907"/>
    <cellStyle name="Vérification 2 3 7 2 2 2 2 2 2" xfId="25131"/>
    <cellStyle name="Vérification 2 3 7 2 2 2 2 2 2 2" xfId="37138"/>
    <cellStyle name="Vérification 2 3 7 2 2 2 2 2 3" xfId="14914"/>
    <cellStyle name="Vérification 2 3 7 2 2 2 2 2 4" xfId="31135"/>
    <cellStyle name="Vérification 2 3 7 2 2 2 2 3" xfId="10285"/>
    <cellStyle name="Vérification 2 3 7 2 2 2 2 3 2" xfId="26509"/>
    <cellStyle name="Vérification 2 3 7 2 2 2 2 3 2 2" xfId="38516"/>
    <cellStyle name="Vérification 2 3 7 2 2 2 2 3 3" xfId="16292"/>
    <cellStyle name="Vérification 2 3 7 2 2 2 2 3 4" xfId="32513"/>
    <cellStyle name="Vérification 2 3 7 2 2 2 2 4" xfId="22750"/>
    <cellStyle name="Vérification 2 3 7 2 2 2 2 4 2" xfId="34757"/>
    <cellStyle name="Vérification 2 3 7 2 2 2 2 5" xfId="12611"/>
    <cellStyle name="Vérification 2 3 7 2 2 2 2 6" xfId="28832"/>
    <cellStyle name="Vérification 2 3 7 2 2 2 3" xfId="7574"/>
    <cellStyle name="Vérification 2 3 7 2 2 2 3 2" xfId="9618"/>
    <cellStyle name="Vérification 2 3 7 2 2 2 3 2 2" xfId="25842"/>
    <cellStyle name="Vérification 2 3 7 2 2 2 3 2 2 2" xfId="37849"/>
    <cellStyle name="Vérification 2 3 7 2 2 2 3 2 3" xfId="15625"/>
    <cellStyle name="Vérification 2 3 7 2 2 2 3 2 4" xfId="31846"/>
    <cellStyle name="Vérification 2 3 7 2 2 2 3 3" xfId="23798"/>
    <cellStyle name="Vérification 2 3 7 2 2 2 3 3 2" xfId="35805"/>
    <cellStyle name="Vérification 2 3 7 2 2 2 3 4" xfId="13322"/>
    <cellStyle name="Vérification 2 3 7 2 2 2 3 5" xfId="29543"/>
    <cellStyle name="Vérification 2 3 7 2 2 2 4" xfId="7951"/>
    <cellStyle name="Vérification 2 3 7 2 2 2 4 2" xfId="24175"/>
    <cellStyle name="Vérification 2 3 7 2 2 2 4 2 2" xfId="36182"/>
    <cellStyle name="Vérification 2 3 7 2 2 2 4 3" xfId="13958"/>
    <cellStyle name="Vérification 2 3 7 2 2 2 4 4" xfId="30179"/>
    <cellStyle name="Vérification 2 3 7 2 2 2 5" xfId="19066"/>
    <cellStyle name="Vérification 2 3 7 2 2 2 5 2" xfId="33180"/>
    <cellStyle name="Vérification 2 3 7 2 2 2 6" xfId="11307"/>
    <cellStyle name="Vérification 2 3 7 2 2 2 7" xfId="27528"/>
    <cellStyle name="Vérification 2 3 7 2 2 3" xfId="5057"/>
    <cellStyle name="Vérification 2 3 7 2 2 3 2" xfId="7084"/>
    <cellStyle name="Vérification 2 3 7 2 2 3 2 2" xfId="9285"/>
    <cellStyle name="Vérification 2 3 7 2 2 3 2 2 2" xfId="25509"/>
    <cellStyle name="Vérification 2 3 7 2 2 3 2 2 2 2" xfId="37516"/>
    <cellStyle name="Vérification 2 3 7 2 2 3 2 2 3" xfId="15292"/>
    <cellStyle name="Vérification 2 3 7 2 2 3 2 2 4" xfId="31513"/>
    <cellStyle name="Vérification 2 3 7 2 2 3 2 3" xfId="23308"/>
    <cellStyle name="Vérification 2 3 7 2 2 3 2 3 2" xfId="35315"/>
    <cellStyle name="Vérification 2 3 7 2 2 3 2 4" xfId="12989"/>
    <cellStyle name="Vérification 2 3 7 2 2 3 2 5" xfId="29210"/>
    <cellStyle name="Vérification 2 3 7 2 2 3 3" xfId="3546"/>
    <cellStyle name="Vérification 2 3 7 2 2 3 3 2" xfId="19774"/>
    <cellStyle name="Vérification 2 3 7 2 2 3 3 2 2" xfId="33888"/>
    <cellStyle name="Vérification 2 3 7 2 2 3 3 3" xfId="11593"/>
    <cellStyle name="Vérification 2 3 7 2 2 3 3 4" xfId="27814"/>
    <cellStyle name="Vérification 2 3 7 2 2 3 4" xfId="21283"/>
    <cellStyle name="Vérification 2 3 7 2 2 3 4 2" xfId="34424"/>
    <cellStyle name="Vérification 2 3 7 2 2 3 5" xfId="10971"/>
    <cellStyle name="Vérification 2 3 7 2 2 3 6" xfId="27194"/>
    <cellStyle name="Vérification 2 3 7 2 2 4" xfId="3448"/>
    <cellStyle name="Vérification 2 3 7 2 2 4 2" xfId="8415"/>
    <cellStyle name="Vérification 2 3 7 2 2 4 2 2" xfId="24639"/>
    <cellStyle name="Vérification 2 3 7 2 2 4 2 2 2" xfId="36646"/>
    <cellStyle name="Vérification 2 3 7 2 2 4 2 3" xfId="14422"/>
    <cellStyle name="Vérification 2 3 7 2 2 4 2 4" xfId="30643"/>
    <cellStyle name="Vérification 2 3 7 2 2 4 3" xfId="9952"/>
    <cellStyle name="Vérification 2 3 7 2 2 4 3 2" xfId="26176"/>
    <cellStyle name="Vérification 2 3 7 2 2 4 3 2 2" xfId="38183"/>
    <cellStyle name="Vérification 2 3 7 2 2 4 3 3" xfId="15959"/>
    <cellStyle name="Vérification 2 3 7 2 2 4 3 4" xfId="32180"/>
    <cellStyle name="Vérification 2 3 7 2 2 4 4" xfId="19676"/>
    <cellStyle name="Vérification 2 3 7 2 2 4 4 2" xfId="33790"/>
    <cellStyle name="Vérification 2 3 7 2 2 4 5" xfId="11970"/>
    <cellStyle name="Vérification 2 3 7 2 2 4 6" xfId="28191"/>
    <cellStyle name="Vérification 2 3 7 2 2 5" xfId="2980"/>
    <cellStyle name="Vérification 2 3 7 2 2 5 2" xfId="8074"/>
    <cellStyle name="Vérification 2 3 7 2 2 5 2 2" xfId="24298"/>
    <cellStyle name="Vérification 2 3 7 2 2 5 2 2 2" xfId="36305"/>
    <cellStyle name="Vérification 2 3 7 2 2 5 2 3" xfId="14081"/>
    <cellStyle name="Vérification 2 3 7 2 2 5 2 4" xfId="30302"/>
    <cellStyle name="Vérification 2 3 7 2 2 5 3" xfId="19208"/>
    <cellStyle name="Vérification 2 3 7 2 2 5 3 2" xfId="33322"/>
    <cellStyle name="Vérification 2 3 7 2 2 5 4" xfId="11629"/>
    <cellStyle name="Vérification 2 3 7 2 2 5 5" xfId="27850"/>
    <cellStyle name="Vérification 2 3 7 2 2 6" xfId="6671"/>
    <cellStyle name="Vérification 2 3 7 2 2 6 2" xfId="22895"/>
    <cellStyle name="Vérification 2 3 7 2 2 6 2 2" xfId="34902"/>
    <cellStyle name="Vérification 2 3 7 2 2 6 3" xfId="12251"/>
    <cellStyle name="Vérification 2 3 7 2 2 6 4" xfId="28472"/>
    <cellStyle name="Vérification 2 3 7 2 2 7" xfId="17599"/>
    <cellStyle name="Vérification 2 3 7 2 2 7 2" xfId="32847"/>
    <cellStyle name="Vérification 2 3 7 2 2 8" xfId="10619"/>
    <cellStyle name="Vérification 2 3 7 2 2 9" xfId="26844"/>
    <cellStyle name="Vérification 2 3 7 2 3" xfId="1061"/>
    <cellStyle name="Vérification 2 3 7 2 3 2" xfId="2749"/>
    <cellStyle name="Vérification 2 3 7 2 3 2 2" xfId="6437"/>
    <cellStyle name="Vérification 2 3 7 2 3 2 2 2" xfId="8818"/>
    <cellStyle name="Vérification 2 3 7 2 3 2 2 2 2" xfId="25042"/>
    <cellStyle name="Vérification 2 3 7 2 3 2 2 2 2 2" xfId="37049"/>
    <cellStyle name="Vérification 2 3 7 2 3 2 2 2 3" xfId="14825"/>
    <cellStyle name="Vérification 2 3 7 2 3 2 2 2 4" xfId="31046"/>
    <cellStyle name="Vérification 2 3 7 2 3 2 2 3" xfId="10196"/>
    <cellStyle name="Vérification 2 3 7 2 3 2 2 3 2" xfId="26420"/>
    <cellStyle name="Vérification 2 3 7 2 3 2 2 3 2 2" xfId="38427"/>
    <cellStyle name="Vérification 2 3 7 2 3 2 2 3 3" xfId="16203"/>
    <cellStyle name="Vérification 2 3 7 2 3 2 2 3 4" xfId="32424"/>
    <cellStyle name="Vérification 2 3 7 2 3 2 2 4" xfId="22661"/>
    <cellStyle name="Vérification 2 3 7 2 3 2 2 4 2" xfId="34668"/>
    <cellStyle name="Vérification 2 3 7 2 3 2 2 5" xfId="12522"/>
    <cellStyle name="Vérification 2 3 7 2 3 2 2 6" xfId="28743"/>
    <cellStyle name="Vérification 2 3 7 2 3 2 3" xfId="7485"/>
    <cellStyle name="Vérification 2 3 7 2 3 2 3 2" xfId="9529"/>
    <cellStyle name="Vérification 2 3 7 2 3 2 3 2 2" xfId="25753"/>
    <cellStyle name="Vérification 2 3 7 2 3 2 3 2 2 2" xfId="37760"/>
    <cellStyle name="Vérification 2 3 7 2 3 2 3 2 3" xfId="15536"/>
    <cellStyle name="Vérification 2 3 7 2 3 2 3 2 4" xfId="31757"/>
    <cellStyle name="Vérification 2 3 7 2 3 2 3 3" xfId="23709"/>
    <cellStyle name="Vérification 2 3 7 2 3 2 3 3 2" xfId="35716"/>
    <cellStyle name="Vérification 2 3 7 2 3 2 3 4" xfId="13233"/>
    <cellStyle name="Vérification 2 3 7 2 3 2 3 5" xfId="29454"/>
    <cellStyle name="Vérification 2 3 7 2 3 2 4" xfId="7862"/>
    <cellStyle name="Vérification 2 3 7 2 3 2 4 2" xfId="24086"/>
    <cellStyle name="Vérification 2 3 7 2 3 2 4 2 2" xfId="36093"/>
    <cellStyle name="Vérification 2 3 7 2 3 2 4 3" xfId="13869"/>
    <cellStyle name="Vérification 2 3 7 2 3 2 4 4" xfId="30090"/>
    <cellStyle name="Vérification 2 3 7 2 3 2 5" xfId="18977"/>
    <cellStyle name="Vérification 2 3 7 2 3 2 5 2" xfId="33091"/>
    <cellStyle name="Vérification 2 3 7 2 3 2 6" xfId="11218"/>
    <cellStyle name="Vérification 2 3 7 2 3 2 7" xfId="27439"/>
    <cellStyle name="Vérification 2 3 7 2 3 3" xfId="4758"/>
    <cellStyle name="Vérification 2 3 7 2 3 3 2" xfId="6971"/>
    <cellStyle name="Vérification 2 3 7 2 3 3 2 2" xfId="9196"/>
    <cellStyle name="Vérification 2 3 7 2 3 3 2 2 2" xfId="25420"/>
    <cellStyle name="Vérification 2 3 7 2 3 3 2 2 2 2" xfId="37427"/>
    <cellStyle name="Vérification 2 3 7 2 3 3 2 2 3" xfId="15203"/>
    <cellStyle name="Vérification 2 3 7 2 3 3 2 2 4" xfId="31424"/>
    <cellStyle name="Vérification 2 3 7 2 3 3 2 3" xfId="23195"/>
    <cellStyle name="Vérification 2 3 7 2 3 3 2 3 2" xfId="35202"/>
    <cellStyle name="Vérification 2 3 7 2 3 3 2 4" xfId="12900"/>
    <cellStyle name="Vérification 2 3 7 2 3 3 2 5" xfId="29121"/>
    <cellStyle name="Vérification 2 3 7 2 3 3 3" xfId="6724"/>
    <cellStyle name="Vérification 2 3 7 2 3 3 3 2" xfId="22948"/>
    <cellStyle name="Vérification 2 3 7 2 3 3 3 2 2" xfId="34955"/>
    <cellStyle name="Vérification 2 3 7 2 3 3 3 3" xfId="11505"/>
    <cellStyle name="Vérification 2 3 7 2 3 3 3 4" xfId="27726"/>
    <cellStyle name="Vérification 2 3 7 2 3 3 4" xfId="20984"/>
    <cellStyle name="Vérification 2 3 7 2 3 3 4 2" xfId="34335"/>
    <cellStyle name="Vérification 2 3 7 2 3 3 5" xfId="10882"/>
    <cellStyle name="Vérification 2 3 7 2 3 3 6" xfId="27105"/>
    <cellStyle name="Vérification 2 3 7 2 3 4" xfId="3309"/>
    <cellStyle name="Vérification 2 3 7 2 3 4 2" xfId="8295"/>
    <cellStyle name="Vérification 2 3 7 2 3 4 2 2" xfId="24519"/>
    <cellStyle name="Vérification 2 3 7 2 3 4 2 2 2" xfId="36526"/>
    <cellStyle name="Vérification 2 3 7 2 3 4 2 3" xfId="14302"/>
    <cellStyle name="Vérification 2 3 7 2 3 4 2 4" xfId="30523"/>
    <cellStyle name="Vérification 2 3 7 2 3 4 3" xfId="9863"/>
    <cellStyle name="Vérification 2 3 7 2 3 4 3 2" xfId="26087"/>
    <cellStyle name="Vérification 2 3 7 2 3 4 3 2 2" xfId="38094"/>
    <cellStyle name="Vérification 2 3 7 2 3 4 3 3" xfId="15870"/>
    <cellStyle name="Vérification 2 3 7 2 3 4 3 4" xfId="32091"/>
    <cellStyle name="Vérification 2 3 7 2 3 4 4" xfId="19537"/>
    <cellStyle name="Vérification 2 3 7 2 3 4 4 2" xfId="33651"/>
    <cellStyle name="Vérification 2 3 7 2 3 4 5" xfId="11850"/>
    <cellStyle name="Vérification 2 3 7 2 3 4 6" xfId="28071"/>
    <cellStyle name="Vérification 2 3 7 2 3 5" xfId="3618"/>
    <cellStyle name="Vérification 2 3 7 2 3 5 2" xfId="8541"/>
    <cellStyle name="Vérification 2 3 7 2 3 5 2 2" xfId="24765"/>
    <cellStyle name="Vérification 2 3 7 2 3 5 2 2 2" xfId="36772"/>
    <cellStyle name="Vérification 2 3 7 2 3 5 2 3" xfId="14548"/>
    <cellStyle name="Vérification 2 3 7 2 3 5 2 4" xfId="30769"/>
    <cellStyle name="Vérification 2 3 7 2 3 5 3" xfId="19846"/>
    <cellStyle name="Vérification 2 3 7 2 3 5 3 2" xfId="33960"/>
    <cellStyle name="Vérification 2 3 7 2 3 5 4" xfId="12096"/>
    <cellStyle name="Vérification 2 3 7 2 3 5 5" xfId="28317"/>
    <cellStyle name="Vérification 2 3 7 2 3 6" xfId="2959"/>
    <cellStyle name="Vérification 2 3 7 2 3 6 2" xfId="19187"/>
    <cellStyle name="Vérification 2 3 7 2 3 6 2 2" xfId="33301"/>
    <cellStyle name="Vérification 2 3 7 2 3 6 3" xfId="12245"/>
    <cellStyle name="Vérification 2 3 7 2 3 6 4" xfId="28466"/>
    <cellStyle name="Vérification 2 3 7 2 3 7" xfId="17300"/>
    <cellStyle name="Vérification 2 3 7 2 3 7 2" xfId="32758"/>
    <cellStyle name="Vérification 2 3 7 2 3 8" xfId="10530"/>
    <cellStyle name="Vérification 2 3 7 2 3 9" xfId="26755"/>
    <cellStyle name="Vérification 2 3 7 2 4" xfId="2660"/>
    <cellStyle name="Vérification 2 3 7 2 4 2" xfId="6348"/>
    <cellStyle name="Vérification 2 3 7 2 4 2 2" xfId="8729"/>
    <cellStyle name="Vérification 2 3 7 2 4 2 2 2" xfId="24953"/>
    <cellStyle name="Vérification 2 3 7 2 4 2 2 2 2" xfId="36960"/>
    <cellStyle name="Vérification 2 3 7 2 4 2 2 3" xfId="14736"/>
    <cellStyle name="Vérification 2 3 7 2 4 2 2 4" xfId="30957"/>
    <cellStyle name="Vérification 2 3 7 2 4 2 3" xfId="10107"/>
    <cellStyle name="Vérification 2 3 7 2 4 2 3 2" xfId="26331"/>
    <cellStyle name="Vérification 2 3 7 2 4 2 3 2 2" xfId="38338"/>
    <cellStyle name="Vérification 2 3 7 2 4 2 3 3" xfId="16114"/>
    <cellStyle name="Vérification 2 3 7 2 4 2 3 4" xfId="32335"/>
    <cellStyle name="Vérification 2 3 7 2 4 2 4" xfId="22572"/>
    <cellStyle name="Vérification 2 3 7 2 4 2 4 2" xfId="34579"/>
    <cellStyle name="Vérification 2 3 7 2 4 2 5" xfId="12433"/>
    <cellStyle name="Vérification 2 3 7 2 4 2 6" xfId="28654"/>
    <cellStyle name="Vérification 2 3 7 2 4 3" xfId="7396"/>
    <cellStyle name="Vérification 2 3 7 2 4 3 2" xfId="9440"/>
    <cellStyle name="Vérification 2 3 7 2 4 3 2 2" xfId="25664"/>
    <cellStyle name="Vérification 2 3 7 2 4 3 2 2 2" xfId="37671"/>
    <cellStyle name="Vérification 2 3 7 2 4 3 2 3" xfId="15447"/>
    <cellStyle name="Vérification 2 3 7 2 4 3 2 4" xfId="31668"/>
    <cellStyle name="Vérification 2 3 7 2 4 3 3" xfId="23620"/>
    <cellStyle name="Vérification 2 3 7 2 4 3 3 2" xfId="35627"/>
    <cellStyle name="Vérification 2 3 7 2 4 3 4" xfId="13144"/>
    <cellStyle name="Vérification 2 3 7 2 4 3 5" xfId="29365"/>
    <cellStyle name="Vérification 2 3 7 2 4 4" xfId="7773"/>
    <cellStyle name="Vérification 2 3 7 2 4 4 2" xfId="23997"/>
    <cellStyle name="Vérification 2 3 7 2 4 4 2 2" xfId="36004"/>
    <cellStyle name="Vérification 2 3 7 2 4 4 3" xfId="13780"/>
    <cellStyle name="Vérification 2 3 7 2 4 4 4" xfId="30001"/>
    <cellStyle name="Vérification 2 3 7 2 4 5" xfId="18888"/>
    <cellStyle name="Vérification 2 3 7 2 4 5 2" xfId="33002"/>
    <cellStyle name="Vérification 2 3 7 2 4 6" xfId="11129"/>
    <cellStyle name="Vérification 2 3 7 2 4 7" xfId="27350"/>
    <cellStyle name="Vérification 2 3 7 2 5" xfId="4183"/>
    <cellStyle name="Vérification 2 3 7 2 5 2" xfId="6807"/>
    <cellStyle name="Vérification 2 3 7 2 5 2 2" xfId="9107"/>
    <cellStyle name="Vérification 2 3 7 2 5 2 2 2" xfId="25331"/>
    <cellStyle name="Vérification 2 3 7 2 5 2 2 2 2" xfId="37338"/>
    <cellStyle name="Vérification 2 3 7 2 5 2 2 3" xfId="15114"/>
    <cellStyle name="Vérification 2 3 7 2 5 2 2 4" xfId="31335"/>
    <cellStyle name="Vérification 2 3 7 2 5 2 3" xfId="23031"/>
    <cellStyle name="Vérification 2 3 7 2 5 2 3 2" xfId="35038"/>
    <cellStyle name="Vérification 2 3 7 2 5 2 4" xfId="12811"/>
    <cellStyle name="Vérification 2 3 7 2 5 2 5" xfId="29032"/>
    <cellStyle name="Vérification 2 3 7 2 5 3" xfId="7280"/>
    <cellStyle name="Vérification 2 3 7 2 5 3 2" xfId="23504"/>
    <cellStyle name="Vérification 2 3 7 2 5 3 2 2" xfId="35511"/>
    <cellStyle name="Vérification 2 3 7 2 5 3 3" xfId="13664"/>
    <cellStyle name="Vérification 2 3 7 2 5 3 4" xfId="29885"/>
    <cellStyle name="Vérification 2 3 7 2 5 4" xfId="20409"/>
    <cellStyle name="Vérification 2 3 7 2 5 4 2" xfId="34246"/>
    <cellStyle name="Vérification 2 3 7 2 5 5" xfId="10786"/>
    <cellStyle name="Vérification 2 3 7 2 5 6" xfId="27009"/>
    <cellStyle name="Vérification 2 3 7 2 6" xfId="3088"/>
    <cellStyle name="Vérification 2 3 7 2 6 2" xfId="8146"/>
    <cellStyle name="Vérification 2 3 7 2 6 2 2" xfId="24370"/>
    <cellStyle name="Vérification 2 3 7 2 6 2 2 2" xfId="36377"/>
    <cellStyle name="Vérification 2 3 7 2 6 2 3" xfId="14153"/>
    <cellStyle name="Vérification 2 3 7 2 6 2 4" xfId="30374"/>
    <cellStyle name="Vérification 2 3 7 2 6 3" xfId="9774"/>
    <cellStyle name="Vérification 2 3 7 2 6 3 2" xfId="25998"/>
    <cellStyle name="Vérification 2 3 7 2 6 3 2 2" xfId="38005"/>
    <cellStyle name="Vérification 2 3 7 2 6 3 3" xfId="15781"/>
    <cellStyle name="Vérification 2 3 7 2 6 3 4" xfId="32002"/>
    <cellStyle name="Vérification 2 3 7 2 6 4" xfId="19316"/>
    <cellStyle name="Vérification 2 3 7 2 6 4 2" xfId="33430"/>
    <cellStyle name="Vérification 2 3 7 2 6 5" xfId="11701"/>
    <cellStyle name="Vérification 2 3 7 2 6 6" xfId="27922"/>
    <cellStyle name="Vérification 2 3 7 2 7" xfId="3577"/>
    <cellStyle name="Vérification 2 3 7 2 7 2" xfId="8520"/>
    <cellStyle name="Vérification 2 3 7 2 7 2 2" xfId="24744"/>
    <cellStyle name="Vérification 2 3 7 2 7 2 2 2" xfId="36751"/>
    <cellStyle name="Vérification 2 3 7 2 7 2 3" xfId="14527"/>
    <cellStyle name="Vérification 2 3 7 2 7 2 4" xfId="30748"/>
    <cellStyle name="Vérification 2 3 7 2 7 3" xfId="19805"/>
    <cellStyle name="Vérification 2 3 7 2 7 3 2" xfId="33919"/>
    <cellStyle name="Vérification 2 3 7 2 7 4" xfId="12075"/>
    <cellStyle name="Vérification 2 3 7 2 7 5" xfId="28296"/>
    <cellStyle name="Vérification 2 3 7 2 8" xfId="7309"/>
    <cellStyle name="Vérification 2 3 7 2 8 2" xfId="23533"/>
    <cellStyle name="Vérification 2 3 7 2 8 2 2" xfId="35540"/>
    <cellStyle name="Vérification 2 3 7 2 8 3" xfId="13685"/>
    <cellStyle name="Vérification 2 3 7 2 8 4" xfId="29906"/>
    <cellStyle name="Vérification 2 3 7 2 9" xfId="16725"/>
    <cellStyle name="Vérification 2 3 7 2 9 2" xfId="32669"/>
    <cellStyle name="Vérification 2 3 7 3" xfId="515"/>
    <cellStyle name="Vérification 2 3 7 3 10" xfId="10462"/>
    <cellStyle name="Vérification 2 3 7 3 11" xfId="26687"/>
    <cellStyle name="Vérification 2 3 7 3 2" xfId="1381"/>
    <cellStyle name="Vérification 2 3 7 3 2 2" xfId="2859"/>
    <cellStyle name="Vérification 2 3 7 3 2 2 2" xfId="6547"/>
    <cellStyle name="Vérification 2 3 7 3 2 2 2 2" xfId="8928"/>
    <cellStyle name="Vérification 2 3 7 3 2 2 2 2 2" xfId="25152"/>
    <cellStyle name="Vérification 2 3 7 3 2 2 2 2 2 2" xfId="37159"/>
    <cellStyle name="Vérification 2 3 7 3 2 2 2 2 3" xfId="14935"/>
    <cellStyle name="Vérification 2 3 7 3 2 2 2 2 4" xfId="31156"/>
    <cellStyle name="Vérification 2 3 7 3 2 2 2 3" xfId="10306"/>
    <cellStyle name="Vérification 2 3 7 3 2 2 2 3 2" xfId="26530"/>
    <cellStyle name="Vérification 2 3 7 3 2 2 2 3 2 2" xfId="38537"/>
    <cellStyle name="Vérification 2 3 7 3 2 2 2 3 3" xfId="16313"/>
    <cellStyle name="Vérification 2 3 7 3 2 2 2 3 4" xfId="32534"/>
    <cellStyle name="Vérification 2 3 7 3 2 2 2 4" xfId="22771"/>
    <cellStyle name="Vérification 2 3 7 3 2 2 2 4 2" xfId="34778"/>
    <cellStyle name="Vérification 2 3 7 3 2 2 2 5" xfId="12632"/>
    <cellStyle name="Vérification 2 3 7 3 2 2 2 6" xfId="28853"/>
    <cellStyle name="Vérification 2 3 7 3 2 2 3" xfId="7595"/>
    <cellStyle name="Vérification 2 3 7 3 2 2 3 2" xfId="9639"/>
    <cellStyle name="Vérification 2 3 7 3 2 2 3 2 2" xfId="25863"/>
    <cellStyle name="Vérification 2 3 7 3 2 2 3 2 2 2" xfId="37870"/>
    <cellStyle name="Vérification 2 3 7 3 2 2 3 2 3" xfId="15646"/>
    <cellStyle name="Vérification 2 3 7 3 2 2 3 2 4" xfId="31867"/>
    <cellStyle name="Vérification 2 3 7 3 2 2 3 3" xfId="23819"/>
    <cellStyle name="Vérification 2 3 7 3 2 2 3 3 2" xfId="35826"/>
    <cellStyle name="Vérification 2 3 7 3 2 2 3 4" xfId="13343"/>
    <cellStyle name="Vérification 2 3 7 3 2 2 3 5" xfId="29564"/>
    <cellStyle name="Vérification 2 3 7 3 2 2 4" xfId="7972"/>
    <cellStyle name="Vérification 2 3 7 3 2 2 4 2" xfId="24196"/>
    <cellStyle name="Vérification 2 3 7 3 2 2 4 2 2" xfId="36203"/>
    <cellStyle name="Vérification 2 3 7 3 2 2 4 3" xfId="13979"/>
    <cellStyle name="Vérification 2 3 7 3 2 2 4 4" xfId="30200"/>
    <cellStyle name="Vérification 2 3 7 3 2 2 5" xfId="19087"/>
    <cellStyle name="Vérification 2 3 7 3 2 2 5 2" xfId="33201"/>
    <cellStyle name="Vérification 2 3 7 3 2 2 6" xfId="11328"/>
    <cellStyle name="Vérification 2 3 7 3 2 2 7" xfId="27549"/>
    <cellStyle name="Vérification 2 3 7 3 2 3" xfId="5078"/>
    <cellStyle name="Vérification 2 3 7 3 2 3 2" xfId="7105"/>
    <cellStyle name="Vérification 2 3 7 3 2 3 2 2" xfId="9306"/>
    <cellStyle name="Vérification 2 3 7 3 2 3 2 2 2" xfId="25530"/>
    <cellStyle name="Vérification 2 3 7 3 2 3 2 2 2 2" xfId="37537"/>
    <cellStyle name="Vérification 2 3 7 3 2 3 2 2 3" xfId="15313"/>
    <cellStyle name="Vérification 2 3 7 3 2 3 2 2 4" xfId="31534"/>
    <cellStyle name="Vérification 2 3 7 3 2 3 2 3" xfId="23329"/>
    <cellStyle name="Vérification 2 3 7 3 2 3 2 3 2" xfId="35336"/>
    <cellStyle name="Vérification 2 3 7 3 2 3 2 4" xfId="13010"/>
    <cellStyle name="Vérification 2 3 7 3 2 3 2 5" xfId="29231"/>
    <cellStyle name="Vérification 2 3 7 3 2 3 3" xfId="7166"/>
    <cellStyle name="Vérification 2 3 7 3 2 3 3 2" xfId="23390"/>
    <cellStyle name="Vérification 2 3 7 3 2 3 3 2 2" xfId="35397"/>
    <cellStyle name="Vérification 2 3 7 3 2 3 3 3" xfId="13550"/>
    <cellStyle name="Vérification 2 3 7 3 2 3 3 4" xfId="29771"/>
    <cellStyle name="Vérification 2 3 7 3 2 3 4" xfId="21304"/>
    <cellStyle name="Vérification 2 3 7 3 2 3 4 2" xfId="34445"/>
    <cellStyle name="Vérification 2 3 7 3 2 3 5" xfId="10992"/>
    <cellStyle name="Vérification 2 3 7 3 2 3 6" xfId="27215"/>
    <cellStyle name="Vérification 2 3 7 3 2 4" xfId="3469"/>
    <cellStyle name="Vérification 2 3 7 3 2 4 2" xfId="8436"/>
    <cellStyle name="Vérification 2 3 7 3 2 4 2 2" xfId="24660"/>
    <cellStyle name="Vérification 2 3 7 3 2 4 2 2 2" xfId="36667"/>
    <cellStyle name="Vérification 2 3 7 3 2 4 2 3" xfId="14443"/>
    <cellStyle name="Vérification 2 3 7 3 2 4 2 4" xfId="30664"/>
    <cellStyle name="Vérification 2 3 7 3 2 4 3" xfId="9973"/>
    <cellStyle name="Vérification 2 3 7 3 2 4 3 2" xfId="26197"/>
    <cellStyle name="Vérification 2 3 7 3 2 4 3 2 2" xfId="38204"/>
    <cellStyle name="Vérification 2 3 7 3 2 4 3 3" xfId="15980"/>
    <cellStyle name="Vérification 2 3 7 3 2 4 3 4" xfId="32201"/>
    <cellStyle name="Vérification 2 3 7 3 2 4 4" xfId="19697"/>
    <cellStyle name="Vérification 2 3 7 3 2 4 4 2" xfId="33811"/>
    <cellStyle name="Vérification 2 3 7 3 2 4 5" xfId="11991"/>
    <cellStyle name="Vérification 2 3 7 3 2 4 6" xfId="28212"/>
    <cellStyle name="Vérification 2 3 7 3 2 5" xfId="3033"/>
    <cellStyle name="Vérification 2 3 7 3 2 5 2" xfId="8111"/>
    <cellStyle name="Vérification 2 3 7 3 2 5 2 2" xfId="24335"/>
    <cellStyle name="Vérification 2 3 7 3 2 5 2 2 2" xfId="36342"/>
    <cellStyle name="Vérification 2 3 7 3 2 5 2 3" xfId="14118"/>
    <cellStyle name="Vérification 2 3 7 3 2 5 2 4" xfId="30339"/>
    <cellStyle name="Vérification 2 3 7 3 2 5 3" xfId="19261"/>
    <cellStyle name="Vérification 2 3 7 3 2 5 3 2" xfId="33375"/>
    <cellStyle name="Vérification 2 3 7 3 2 5 4" xfId="11666"/>
    <cellStyle name="Vérification 2 3 7 3 2 5 5" xfId="27887"/>
    <cellStyle name="Vérification 2 3 7 3 2 6" xfId="3285"/>
    <cellStyle name="Vérification 2 3 7 3 2 6 2" xfId="19513"/>
    <cellStyle name="Vérification 2 3 7 3 2 6 2 2" xfId="33627"/>
    <cellStyle name="Vérification 2 3 7 3 2 6 3" xfId="11596"/>
    <cellStyle name="Vérification 2 3 7 3 2 6 4" xfId="27817"/>
    <cellStyle name="Vérification 2 3 7 3 2 7" xfId="17620"/>
    <cellStyle name="Vérification 2 3 7 3 2 7 2" xfId="32868"/>
    <cellStyle name="Vérification 2 3 7 3 2 8" xfId="10640"/>
    <cellStyle name="Vérification 2 3 7 3 2 9" xfId="26865"/>
    <cellStyle name="Vérification 2 3 7 3 3" xfId="1130"/>
    <cellStyle name="Vérification 2 3 7 3 3 2" xfId="2770"/>
    <cellStyle name="Vérification 2 3 7 3 3 2 2" xfId="6458"/>
    <cellStyle name="Vérification 2 3 7 3 3 2 2 2" xfId="8839"/>
    <cellStyle name="Vérification 2 3 7 3 3 2 2 2 2" xfId="25063"/>
    <cellStyle name="Vérification 2 3 7 3 3 2 2 2 2 2" xfId="37070"/>
    <cellStyle name="Vérification 2 3 7 3 3 2 2 2 3" xfId="14846"/>
    <cellStyle name="Vérification 2 3 7 3 3 2 2 2 4" xfId="31067"/>
    <cellStyle name="Vérification 2 3 7 3 3 2 2 3" xfId="10217"/>
    <cellStyle name="Vérification 2 3 7 3 3 2 2 3 2" xfId="26441"/>
    <cellStyle name="Vérification 2 3 7 3 3 2 2 3 2 2" xfId="38448"/>
    <cellStyle name="Vérification 2 3 7 3 3 2 2 3 3" xfId="16224"/>
    <cellStyle name="Vérification 2 3 7 3 3 2 2 3 4" xfId="32445"/>
    <cellStyle name="Vérification 2 3 7 3 3 2 2 4" xfId="22682"/>
    <cellStyle name="Vérification 2 3 7 3 3 2 2 4 2" xfId="34689"/>
    <cellStyle name="Vérification 2 3 7 3 3 2 2 5" xfId="12543"/>
    <cellStyle name="Vérification 2 3 7 3 3 2 2 6" xfId="28764"/>
    <cellStyle name="Vérification 2 3 7 3 3 2 3" xfId="7506"/>
    <cellStyle name="Vérification 2 3 7 3 3 2 3 2" xfId="9550"/>
    <cellStyle name="Vérification 2 3 7 3 3 2 3 2 2" xfId="25774"/>
    <cellStyle name="Vérification 2 3 7 3 3 2 3 2 2 2" xfId="37781"/>
    <cellStyle name="Vérification 2 3 7 3 3 2 3 2 3" xfId="15557"/>
    <cellStyle name="Vérification 2 3 7 3 3 2 3 2 4" xfId="31778"/>
    <cellStyle name="Vérification 2 3 7 3 3 2 3 3" xfId="23730"/>
    <cellStyle name="Vérification 2 3 7 3 3 2 3 3 2" xfId="35737"/>
    <cellStyle name="Vérification 2 3 7 3 3 2 3 4" xfId="13254"/>
    <cellStyle name="Vérification 2 3 7 3 3 2 3 5" xfId="29475"/>
    <cellStyle name="Vérification 2 3 7 3 3 2 4" xfId="7883"/>
    <cellStyle name="Vérification 2 3 7 3 3 2 4 2" xfId="24107"/>
    <cellStyle name="Vérification 2 3 7 3 3 2 4 2 2" xfId="36114"/>
    <cellStyle name="Vérification 2 3 7 3 3 2 4 3" xfId="13890"/>
    <cellStyle name="Vérification 2 3 7 3 3 2 4 4" xfId="30111"/>
    <cellStyle name="Vérification 2 3 7 3 3 2 5" xfId="18998"/>
    <cellStyle name="Vérification 2 3 7 3 3 2 5 2" xfId="33112"/>
    <cellStyle name="Vérification 2 3 7 3 3 2 6" xfId="11239"/>
    <cellStyle name="Vérification 2 3 7 3 3 2 7" xfId="27460"/>
    <cellStyle name="Vérification 2 3 7 3 3 3" xfId="4827"/>
    <cellStyle name="Vérification 2 3 7 3 3 3 2" xfId="6997"/>
    <cellStyle name="Vérification 2 3 7 3 3 3 2 2" xfId="9217"/>
    <cellStyle name="Vérification 2 3 7 3 3 3 2 2 2" xfId="25441"/>
    <cellStyle name="Vérification 2 3 7 3 3 3 2 2 2 2" xfId="37448"/>
    <cellStyle name="Vérification 2 3 7 3 3 3 2 2 3" xfId="15224"/>
    <cellStyle name="Vérification 2 3 7 3 3 3 2 2 4" xfId="31445"/>
    <cellStyle name="Vérification 2 3 7 3 3 3 2 3" xfId="23221"/>
    <cellStyle name="Vérification 2 3 7 3 3 3 2 3 2" xfId="35228"/>
    <cellStyle name="Vérification 2 3 7 3 3 3 2 4" xfId="12921"/>
    <cellStyle name="Vérification 2 3 7 3 3 3 2 5" xfId="29142"/>
    <cellStyle name="Vérification 2 3 7 3 3 3 3" xfId="7241"/>
    <cellStyle name="Vérification 2 3 7 3 3 3 3 2" xfId="23465"/>
    <cellStyle name="Vérification 2 3 7 3 3 3 3 2 2" xfId="35472"/>
    <cellStyle name="Vérification 2 3 7 3 3 3 3 3" xfId="13625"/>
    <cellStyle name="Vérification 2 3 7 3 3 3 3 4" xfId="29846"/>
    <cellStyle name="Vérification 2 3 7 3 3 3 4" xfId="21053"/>
    <cellStyle name="Vérification 2 3 7 3 3 3 4 2" xfId="34356"/>
    <cellStyle name="Vérification 2 3 7 3 3 3 5" xfId="10903"/>
    <cellStyle name="Vérification 2 3 7 3 3 3 6" xfId="27126"/>
    <cellStyle name="Vérification 2 3 7 3 3 4" xfId="3341"/>
    <cellStyle name="Vérification 2 3 7 3 3 4 2" xfId="8324"/>
    <cellStyle name="Vérification 2 3 7 3 3 4 2 2" xfId="24548"/>
    <cellStyle name="Vérification 2 3 7 3 3 4 2 2 2" xfId="36555"/>
    <cellStyle name="Vérification 2 3 7 3 3 4 2 3" xfId="14331"/>
    <cellStyle name="Vérification 2 3 7 3 3 4 2 4" xfId="30552"/>
    <cellStyle name="Vérification 2 3 7 3 3 4 3" xfId="9884"/>
    <cellStyle name="Vérification 2 3 7 3 3 4 3 2" xfId="26108"/>
    <cellStyle name="Vérification 2 3 7 3 3 4 3 2 2" xfId="38115"/>
    <cellStyle name="Vérification 2 3 7 3 3 4 3 3" xfId="15891"/>
    <cellStyle name="Vérification 2 3 7 3 3 4 3 4" xfId="32112"/>
    <cellStyle name="Vérification 2 3 7 3 3 4 4" xfId="19569"/>
    <cellStyle name="Vérification 2 3 7 3 3 4 4 2" xfId="33683"/>
    <cellStyle name="Vérification 2 3 7 3 3 4 5" xfId="11879"/>
    <cellStyle name="Vérification 2 3 7 3 3 4 6" xfId="28100"/>
    <cellStyle name="Vérification 2 3 7 3 3 5" xfId="3247"/>
    <cellStyle name="Vérification 2 3 7 3 3 5 2" xfId="8253"/>
    <cellStyle name="Vérification 2 3 7 3 3 5 2 2" xfId="24477"/>
    <cellStyle name="Vérification 2 3 7 3 3 5 2 2 2" xfId="36484"/>
    <cellStyle name="Vérification 2 3 7 3 3 5 2 3" xfId="14260"/>
    <cellStyle name="Vérification 2 3 7 3 3 5 2 4" xfId="30481"/>
    <cellStyle name="Vérification 2 3 7 3 3 5 3" xfId="19475"/>
    <cellStyle name="Vérification 2 3 7 3 3 5 3 2" xfId="33589"/>
    <cellStyle name="Vérification 2 3 7 3 3 5 4" xfId="11808"/>
    <cellStyle name="Vérification 2 3 7 3 3 5 5" xfId="28029"/>
    <cellStyle name="Vérification 2 3 7 3 3 6" xfId="7239"/>
    <cellStyle name="Vérification 2 3 7 3 3 6 2" xfId="23463"/>
    <cellStyle name="Vérification 2 3 7 3 3 6 2 2" xfId="35470"/>
    <cellStyle name="Vérification 2 3 7 3 3 6 3" xfId="13623"/>
    <cellStyle name="Vérification 2 3 7 3 3 6 4" xfId="29844"/>
    <cellStyle name="Vérification 2 3 7 3 3 7" xfId="17369"/>
    <cellStyle name="Vérification 2 3 7 3 3 7 2" xfId="32779"/>
    <cellStyle name="Vérification 2 3 7 3 3 8" xfId="10551"/>
    <cellStyle name="Vérification 2 3 7 3 3 9" xfId="26776"/>
    <cellStyle name="Vérification 2 3 7 3 4" xfId="2681"/>
    <cellStyle name="Vérification 2 3 7 3 4 2" xfId="6369"/>
    <cellStyle name="Vérification 2 3 7 3 4 2 2" xfId="8750"/>
    <cellStyle name="Vérification 2 3 7 3 4 2 2 2" xfId="24974"/>
    <cellStyle name="Vérification 2 3 7 3 4 2 2 2 2" xfId="36981"/>
    <cellStyle name="Vérification 2 3 7 3 4 2 2 3" xfId="14757"/>
    <cellStyle name="Vérification 2 3 7 3 4 2 2 4" xfId="30978"/>
    <cellStyle name="Vérification 2 3 7 3 4 2 3" xfId="10128"/>
    <cellStyle name="Vérification 2 3 7 3 4 2 3 2" xfId="26352"/>
    <cellStyle name="Vérification 2 3 7 3 4 2 3 2 2" xfId="38359"/>
    <cellStyle name="Vérification 2 3 7 3 4 2 3 3" xfId="16135"/>
    <cellStyle name="Vérification 2 3 7 3 4 2 3 4" xfId="32356"/>
    <cellStyle name="Vérification 2 3 7 3 4 2 4" xfId="22593"/>
    <cellStyle name="Vérification 2 3 7 3 4 2 4 2" xfId="34600"/>
    <cellStyle name="Vérification 2 3 7 3 4 2 5" xfId="12454"/>
    <cellStyle name="Vérification 2 3 7 3 4 2 6" xfId="28675"/>
    <cellStyle name="Vérification 2 3 7 3 4 3" xfId="7417"/>
    <cellStyle name="Vérification 2 3 7 3 4 3 2" xfId="9461"/>
    <cellStyle name="Vérification 2 3 7 3 4 3 2 2" xfId="25685"/>
    <cellStyle name="Vérification 2 3 7 3 4 3 2 2 2" xfId="37692"/>
    <cellStyle name="Vérification 2 3 7 3 4 3 2 3" xfId="15468"/>
    <cellStyle name="Vérification 2 3 7 3 4 3 2 4" xfId="31689"/>
    <cellStyle name="Vérification 2 3 7 3 4 3 3" xfId="23641"/>
    <cellStyle name="Vérification 2 3 7 3 4 3 3 2" xfId="35648"/>
    <cellStyle name="Vérification 2 3 7 3 4 3 4" xfId="13165"/>
    <cellStyle name="Vérification 2 3 7 3 4 3 5" xfId="29386"/>
    <cellStyle name="Vérification 2 3 7 3 4 4" xfId="7794"/>
    <cellStyle name="Vérification 2 3 7 3 4 4 2" xfId="24018"/>
    <cellStyle name="Vérification 2 3 7 3 4 4 2 2" xfId="36025"/>
    <cellStyle name="Vérification 2 3 7 3 4 4 3" xfId="13801"/>
    <cellStyle name="Vérification 2 3 7 3 4 4 4" xfId="30022"/>
    <cellStyle name="Vérification 2 3 7 3 4 5" xfId="18909"/>
    <cellStyle name="Vérification 2 3 7 3 4 5 2" xfId="33023"/>
    <cellStyle name="Vérification 2 3 7 3 4 6" xfId="11150"/>
    <cellStyle name="Vérification 2 3 7 3 4 7" xfId="27371"/>
    <cellStyle name="Vérification 2 3 7 3 5" xfId="4252"/>
    <cellStyle name="Vérification 2 3 7 3 5 2" xfId="6832"/>
    <cellStyle name="Vérification 2 3 7 3 5 2 2" xfId="9128"/>
    <cellStyle name="Vérification 2 3 7 3 5 2 2 2" xfId="25352"/>
    <cellStyle name="Vérification 2 3 7 3 5 2 2 2 2" xfId="37359"/>
    <cellStyle name="Vérification 2 3 7 3 5 2 2 3" xfId="15135"/>
    <cellStyle name="Vérification 2 3 7 3 5 2 2 4" xfId="31356"/>
    <cellStyle name="Vérification 2 3 7 3 5 2 3" xfId="23056"/>
    <cellStyle name="Vérification 2 3 7 3 5 2 3 2" xfId="35063"/>
    <cellStyle name="Vérification 2 3 7 3 5 2 4" xfId="12832"/>
    <cellStyle name="Vérification 2 3 7 3 5 2 5" xfId="29053"/>
    <cellStyle name="Vérification 2 3 7 3 5 3" xfId="6850"/>
    <cellStyle name="Vérification 2 3 7 3 5 3 2" xfId="23074"/>
    <cellStyle name="Vérification 2 3 7 3 5 3 2 2" xfId="35081"/>
    <cellStyle name="Vérification 2 3 7 3 5 3 3" xfId="11496"/>
    <cellStyle name="Vérification 2 3 7 3 5 3 4" xfId="27717"/>
    <cellStyle name="Vérification 2 3 7 3 5 4" xfId="20478"/>
    <cellStyle name="Vérification 2 3 7 3 5 4 2" xfId="34267"/>
    <cellStyle name="Vérification 2 3 7 3 5 5" xfId="10807"/>
    <cellStyle name="Vérification 2 3 7 3 5 6" xfId="27030"/>
    <cellStyle name="Vérification 2 3 7 3 6" xfId="3120"/>
    <cellStyle name="Vérification 2 3 7 3 6 2" xfId="8172"/>
    <cellStyle name="Vérification 2 3 7 3 6 2 2" xfId="24396"/>
    <cellStyle name="Vérification 2 3 7 3 6 2 2 2" xfId="36403"/>
    <cellStyle name="Vérification 2 3 7 3 6 2 3" xfId="14179"/>
    <cellStyle name="Vérification 2 3 7 3 6 2 4" xfId="30400"/>
    <cellStyle name="Vérification 2 3 7 3 6 3" xfId="9795"/>
    <cellStyle name="Vérification 2 3 7 3 6 3 2" xfId="26019"/>
    <cellStyle name="Vérification 2 3 7 3 6 3 2 2" xfId="38026"/>
    <cellStyle name="Vérification 2 3 7 3 6 3 3" xfId="15802"/>
    <cellStyle name="Vérification 2 3 7 3 6 3 4" xfId="32023"/>
    <cellStyle name="Vérification 2 3 7 3 6 4" xfId="19348"/>
    <cellStyle name="Vérification 2 3 7 3 6 4 2" xfId="33462"/>
    <cellStyle name="Vérification 2 3 7 3 6 5" xfId="11727"/>
    <cellStyle name="Vérification 2 3 7 3 6 6" xfId="27948"/>
    <cellStyle name="Vérification 2 3 7 3 7" xfId="3676"/>
    <cellStyle name="Vérification 2 3 7 3 7 2" xfId="8570"/>
    <cellStyle name="Vérification 2 3 7 3 7 2 2" xfId="24794"/>
    <cellStyle name="Vérification 2 3 7 3 7 2 2 2" xfId="36801"/>
    <cellStyle name="Vérification 2 3 7 3 7 2 3" xfId="14577"/>
    <cellStyle name="Vérification 2 3 7 3 7 2 4" xfId="30798"/>
    <cellStyle name="Vérification 2 3 7 3 7 3" xfId="19904"/>
    <cellStyle name="Vérification 2 3 7 3 7 3 2" xfId="34018"/>
    <cellStyle name="Vérification 2 3 7 3 7 4" xfId="12125"/>
    <cellStyle name="Vérification 2 3 7 3 7 5" xfId="28346"/>
    <cellStyle name="Vérification 2 3 7 3 8" xfId="6770"/>
    <cellStyle name="Vérification 2 3 7 3 8 2" xfId="22994"/>
    <cellStyle name="Vérification 2 3 7 3 8 2 2" xfId="35001"/>
    <cellStyle name="Vérification 2 3 7 3 8 3" xfId="11571"/>
    <cellStyle name="Vérification 2 3 7 3 8 4" xfId="27792"/>
    <cellStyle name="Vérification 2 3 7 3 9" xfId="16794"/>
    <cellStyle name="Vérification 2 3 7 3 9 2" xfId="32690"/>
    <cellStyle name="Vérification 2 3 7 4" xfId="670"/>
    <cellStyle name="Vérification 2 3 7 4 10" xfId="10485"/>
    <cellStyle name="Vérification 2 3 7 4 11" xfId="26710"/>
    <cellStyle name="Vérification 2 3 7 4 2" xfId="1404"/>
    <cellStyle name="Vérification 2 3 7 4 2 2" xfId="2882"/>
    <cellStyle name="Vérification 2 3 7 4 2 2 2" xfId="6570"/>
    <cellStyle name="Vérification 2 3 7 4 2 2 2 2" xfId="8951"/>
    <cellStyle name="Vérification 2 3 7 4 2 2 2 2 2" xfId="25175"/>
    <cellStyle name="Vérification 2 3 7 4 2 2 2 2 2 2" xfId="37182"/>
    <cellStyle name="Vérification 2 3 7 4 2 2 2 2 3" xfId="14958"/>
    <cellStyle name="Vérification 2 3 7 4 2 2 2 2 4" xfId="31179"/>
    <cellStyle name="Vérification 2 3 7 4 2 2 2 3" xfId="10329"/>
    <cellStyle name="Vérification 2 3 7 4 2 2 2 3 2" xfId="26553"/>
    <cellStyle name="Vérification 2 3 7 4 2 2 2 3 2 2" xfId="38560"/>
    <cellStyle name="Vérification 2 3 7 4 2 2 2 3 3" xfId="16336"/>
    <cellStyle name="Vérification 2 3 7 4 2 2 2 3 4" xfId="32557"/>
    <cellStyle name="Vérification 2 3 7 4 2 2 2 4" xfId="22794"/>
    <cellStyle name="Vérification 2 3 7 4 2 2 2 4 2" xfId="34801"/>
    <cellStyle name="Vérification 2 3 7 4 2 2 2 5" xfId="12655"/>
    <cellStyle name="Vérification 2 3 7 4 2 2 2 6" xfId="28876"/>
    <cellStyle name="Vérification 2 3 7 4 2 2 3" xfId="7618"/>
    <cellStyle name="Vérification 2 3 7 4 2 2 3 2" xfId="9662"/>
    <cellStyle name="Vérification 2 3 7 4 2 2 3 2 2" xfId="25886"/>
    <cellStyle name="Vérification 2 3 7 4 2 2 3 2 2 2" xfId="37893"/>
    <cellStyle name="Vérification 2 3 7 4 2 2 3 2 3" xfId="15669"/>
    <cellStyle name="Vérification 2 3 7 4 2 2 3 2 4" xfId="31890"/>
    <cellStyle name="Vérification 2 3 7 4 2 2 3 3" xfId="23842"/>
    <cellStyle name="Vérification 2 3 7 4 2 2 3 3 2" xfId="35849"/>
    <cellStyle name="Vérification 2 3 7 4 2 2 3 4" xfId="13366"/>
    <cellStyle name="Vérification 2 3 7 4 2 2 3 5" xfId="29587"/>
    <cellStyle name="Vérification 2 3 7 4 2 2 4" xfId="7995"/>
    <cellStyle name="Vérification 2 3 7 4 2 2 4 2" xfId="24219"/>
    <cellStyle name="Vérification 2 3 7 4 2 2 4 2 2" xfId="36226"/>
    <cellStyle name="Vérification 2 3 7 4 2 2 4 3" xfId="14002"/>
    <cellStyle name="Vérification 2 3 7 4 2 2 4 4" xfId="30223"/>
    <cellStyle name="Vérification 2 3 7 4 2 2 5" xfId="19110"/>
    <cellStyle name="Vérification 2 3 7 4 2 2 5 2" xfId="33224"/>
    <cellStyle name="Vérification 2 3 7 4 2 2 6" xfId="11351"/>
    <cellStyle name="Vérification 2 3 7 4 2 2 7" xfId="27572"/>
    <cellStyle name="Vérification 2 3 7 4 2 3" xfId="5101"/>
    <cellStyle name="Vérification 2 3 7 4 2 3 2" xfId="7128"/>
    <cellStyle name="Vérification 2 3 7 4 2 3 2 2" xfId="9329"/>
    <cellStyle name="Vérification 2 3 7 4 2 3 2 2 2" xfId="25553"/>
    <cellStyle name="Vérification 2 3 7 4 2 3 2 2 2 2" xfId="37560"/>
    <cellStyle name="Vérification 2 3 7 4 2 3 2 2 3" xfId="15336"/>
    <cellStyle name="Vérification 2 3 7 4 2 3 2 2 4" xfId="31557"/>
    <cellStyle name="Vérification 2 3 7 4 2 3 2 3" xfId="23352"/>
    <cellStyle name="Vérification 2 3 7 4 2 3 2 3 2" xfId="35359"/>
    <cellStyle name="Vérification 2 3 7 4 2 3 2 4" xfId="13033"/>
    <cellStyle name="Vérification 2 3 7 4 2 3 2 5" xfId="29254"/>
    <cellStyle name="Vérification 2 3 7 4 2 3 3" xfId="6732"/>
    <cellStyle name="Vérification 2 3 7 4 2 3 3 2" xfId="22956"/>
    <cellStyle name="Vérification 2 3 7 4 2 3 3 2 2" xfId="34963"/>
    <cellStyle name="Vérification 2 3 7 4 2 3 3 3" xfId="11567"/>
    <cellStyle name="Vérification 2 3 7 4 2 3 3 4" xfId="27788"/>
    <cellStyle name="Vérification 2 3 7 4 2 3 4" xfId="21327"/>
    <cellStyle name="Vérification 2 3 7 4 2 3 4 2" xfId="34468"/>
    <cellStyle name="Vérification 2 3 7 4 2 3 5" xfId="11015"/>
    <cellStyle name="Vérification 2 3 7 4 2 3 6" xfId="27238"/>
    <cellStyle name="Vérification 2 3 7 4 2 4" xfId="3492"/>
    <cellStyle name="Vérification 2 3 7 4 2 4 2" xfId="8459"/>
    <cellStyle name="Vérification 2 3 7 4 2 4 2 2" xfId="24683"/>
    <cellStyle name="Vérification 2 3 7 4 2 4 2 2 2" xfId="36690"/>
    <cellStyle name="Vérification 2 3 7 4 2 4 2 3" xfId="14466"/>
    <cellStyle name="Vérification 2 3 7 4 2 4 2 4" xfId="30687"/>
    <cellStyle name="Vérification 2 3 7 4 2 4 3" xfId="9996"/>
    <cellStyle name="Vérification 2 3 7 4 2 4 3 2" xfId="26220"/>
    <cellStyle name="Vérification 2 3 7 4 2 4 3 2 2" xfId="38227"/>
    <cellStyle name="Vérification 2 3 7 4 2 4 3 3" xfId="16003"/>
    <cellStyle name="Vérification 2 3 7 4 2 4 3 4" xfId="32224"/>
    <cellStyle name="Vérification 2 3 7 4 2 4 4" xfId="19720"/>
    <cellStyle name="Vérification 2 3 7 4 2 4 4 2" xfId="33834"/>
    <cellStyle name="Vérification 2 3 7 4 2 4 5" xfId="12014"/>
    <cellStyle name="Vérification 2 3 7 4 2 4 6" xfId="28235"/>
    <cellStyle name="Vérification 2 3 7 4 2 5" xfId="3707"/>
    <cellStyle name="Vérification 2 3 7 4 2 5 2" xfId="8593"/>
    <cellStyle name="Vérification 2 3 7 4 2 5 2 2" xfId="24817"/>
    <cellStyle name="Vérification 2 3 7 4 2 5 2 2 2" xfId="36824"/>
    <cellStyle name="Vérification 2 3 7 4 2 5 2 3" xfId="14600"/>
    <cellStyle name="Vérification 2 3 7 4 2 5 2 4" xfId="30821"/>
    <cellStyle name="Vérification 2 3 7 4 2 5 3" xfId="19935"/>
    <cellStyle name="Vérification 2 3 7 4 2 5 3 2" xfId="34049"/>
    <cellStyle name="Vérification 2 3 7 4 2 5 4" xfId="12148"/>
    <cellStyle name="Vérification 2 3 7 4 2 5 5" xfId="28369"/>
    <cellStyle name="Vérification 2 3 7 4 2 6" xfId="6939"/>
    <cellStyle name="Vérification 2 3 7 4 2 6 2" xfId="23163"/>
    <cellStyle name="Vérification 2 3 7 4 2 6 2 2" xfId="35170"/>
    <cellStyle name="Vérification 2 3 7 4 2 6 3" xfId="10835"/>
    <cellStyle name="Vérification 2 3 7 4 2 6 4" xfId="27058"/>
    <cellStyle name="Vérification 2 3 7 4 2 7" xfId="17643"/>
    <cellStyle name="Vérification 2 3 7 4 2 7 2" xfId="32891"/>
    <cellStyle name="Vérification 2 3 7 4 2 8" xfId="10663"/>
    <cellStyle name="Vérification 2 3 7 4 2 9" xfId="26888"/>
    <cellStyle name="Vérification 2 3 7 4 3" xfId="1267"/>
    <cellStyle name="Vérification 2 3 7 4 3 2" xfId="2793"/>
    <cellStyle name="Vérification 2 3 7 4 3 2 2" xfId="6481"/>
    <cellStyle name="Vérification 2 3 7 4 3 2 2 2" xfId="8862"/>
    <cellStyle name="Vérification 2 3 7 4 3 2 2 2 2" xfId="25086"/>
    <cellStyle name="Vérification 2 3 7 4 3 2 2 2 2 2" xfId="37093"/>
    <cellStyle name="Vérification 2 3 7 4 3 2 2 2 3" xfId="14869"/>
    <cellStyle name="Vérification 2 3 7 4 3 2 2 2 4" xfId="31090"/>
    <cellStyle name="Vérification 2 3 7 4 3 2 2 3" xfId="10240"/>
    <cellStyle name="Vérification 2 3 7 4 3 2 2 3 2" xfId="26464"/>
    <cellStyle name="Vérification 2 3 7 4 3 2 2 3 2 2" xfId="38471"/>
    <cellStyle name="Vérification 2 3 7 4 3 2 2 3 3" xfId="16247"/>
    <cellStyle name="Vérification 2 3 7 4 3 2 2 3 4" xfId="32468"/>
    <cellStyle name="Vérification 2 3 7 4 3 2 2 4" xfId="22705"/>
    <cellStyle name="Vérification 2 3 7 4 3 2 2 4 2" xfId="34712"/>
    <cellStyle name="Vérification 2 3 7 4 3 2 2 5" xfId="12566"/>
    <cellStyle name="Vérification 2 3 7 4 3 2 2 6" xfId="28787"/>
    <cellStyle name="Vérification 2 3 7 4 3 2 3" xfId="7529"/>
    <cellStyle name="Vérification 2 3 7 4 3 2 3 2" xfId="9573"/>
    <cellStyle name="Vérification 2 3 7 4 3 2 3 2 2" xfId="25797"/>
    <cellStyle name="Vérification 2 3 7 4 3 2 3 2 2 2" xfId="37804"/>
    <cellStyle name="Vérification 2 3 7 4 3 2 3 2 3" xfId="15580"/>
    <cellStyle name="Vérification 2 3 7 4 3 2 3 2 4" xfId="31801"/>
    <cellStyle name="Vérification 2 3 7 4 3 2 3 3" xfId="23753"/>
    <cellStyle name="Vérification 2 3 7 4 3 2 3 3 2" xfId="35760"/>
    <cellStyle name="Vérification 2 3 7 4 3 2 3 4" xfId="13277"/>
    <cellStyle name="Vérification 2 3 7 4 3 2 3 5" xfId="29498"/>
    <cellStyle name="Vérification 2 3 7 4 3 2 4" xfId="7906"/>
    <cellStyle name="Vérification 2 3 7 4 3 2 4 2" xfId="24130"/>
    <cellStyle name="Vérification 2 3 7 4 3 2 4 2 2" xfId="36137"/>
    <cellStyle name="Vérification 2 3 7 4 3 2 4 3" xfId="13913"/>
    <cellStyle name="Vérification 2 3 7 4 3 2 4 4" xfId="30134"/>
    <cellStyle name="Vérification 2 3 7 4 3 2 5" xfId="19021"/>
    <cellStyle name="Vérification 2 3 7 4 3 2 5 2" xfId="33135"/>
    <cellStyle name="Vérification 2 3 7 4 3 2 6" xfId="11262"/>
    <cellStyle name="Vérification 2 3 7 4 3 2 7" xfId="27483"/>
    <cellStyle name="Vérification 2 3 7 4 3 3" xfId="4964"/>
    <cellStyle name="Vérification 2 3 7 4 3 3 2" xfId="7034"/>
    <cellStyle name="Vérification 2 3 7 4 3 3 2 2" xfId="9240"/>
    <cellStyle name="Vérification 2 3 7 4 3 3 2 2 2" xfId="25464"/>
    <cellStyle name="Vérification 2 3 7 4 3 3 2 2 2 2" xfId="37471"/>
    <cellStyle name="Vérification 2 3 7 4 3 3 2 2 3" xfId="15247"/>
    <cellStyle name="Vérification 2 3 7 4 3 3 2 2 4" xfId="31468"/>
    <cellStyle name="Vérification 2 3 7 4 3 3 2 3" xfId="23258"/>
    <cellStyle name="Vérification 2 3 7 4 3 3 2 3 2" xfId="35265"/>
    <cellStyle name="Vérification 2 3 7 4 3 3 2 4" xfId="12944"/>
    <cellStyle name="Vérification 2 3 7 4 3 3 2 5" xfId="29165"/>
    <cellStyle name="Vérification 2 3 7 4 3 3 3" xfId="7185"/>
    <cellStyle name="Vérification 2 3 7 4 3 3 3 2" xfId="23409"/>
    <cellStyle name="Vérification 2 3 7 4 3 3 3 2 2" xfId="35416"/>
    <cellStyle name="Vérification 2 3 7 4 3 3 3 3" xfId="13569"/>
    <cellStyle name="Vérification 2 3 7 4 3 3 3 4" xfId="29790"/>
    <cellStyle name="Vérification 2 3 7 4 3 3 4" xfId="21190"/>
    <cellStyle name="Vérification 2 3 7 4 3 3 4 2" xfId="34379"/>
    <cellStyle name="Vérification 2 3 7 4 3 3 5" xfId="10926"/>
    <cellStyle name="Vérification 2 3 7 4 3 3 6" xfId="27149"/>
    <cellStyle name="Vérification 2 3 7 4 3 4" xfId="3393"/>
    <cellStyle name="Vérification 2 3 7 4 3 4 2" xfId="8363"/>
    <cellStyle name="Vérification 2 3 7 4 3 4 2 2" xfId="24587"/>
    <cellStyle name="Vérification 2 3 7 4 3 4 2 2 2" xfId="36594"/>
    <cellStyle name="Vérification 2 3 7 4 3 4 2 3" xfId="14370"/>
    <cellStyle name="Vérification 2 3 7 4 3 4 2 4" xfId="30591"/>
    <cellStyle name="Vérification 2 3 7 4 3 4 3" xfId="9907"/>
    <cellStyle name="Vérification 2 3 7 4 3 4 3 2" xfId="26131"/>
    <cellStyle name="Vérification 2 3 7 4 3 4 3 2 2" xfId="38138"/>
    <cellStyle name="Vérification 2 3 7 4 3 4 3 3" xfId="15914"/>
    <cellStyle name="Vérification 2 3 7 4 3 4 3 4" xfId="32135"/>
    <cellStyle name="Vérification 2 3 7 4 3 4 4" xfId="19621"/>
    <cellStyle name="Vérification 2 3 7 4 3 4 4 2" xfId="33735"/>
    <cellStyle name="Vérification 2 3 7 4 3 4 5" xfId="11918"/>
    <cellStyle name="Vérification 2 3 7 4 3 4 6" xfId="28139"/>
    <cellStyle name="Vérification 2 3 7 4 3 5" xfId="3792"/>
    <cellStyle name="Vérification 2 3 7 4 3 5 2" xfId="8634"/>
    <cellStyle name="Vérification 2 3 7 4 3 5 2 2" xfId="24858"/>
    <cellStyle name="Vérification 2 3 7 4 3 5 2 2 2" xfId="36865"/>
    <cellStyle name="Vérification 2 3 7 4 3 5 2 3" xfId="14641"/>
    <cellStyle name="Vérification 2 3 7 4 3 5 2 4" xfId="30862"/>
    <cellStyle name="Vérification 2 3 7 4 3 5 3" xfId="20020"/>
    <cellStyle name="Vérification 2 3 7 4 3 5 3 2" xfId="34134"/>
    <cellStyle name="Vérification 2 3 7 4 3 5 4" xfId="12189"/>
    <cellStyle name="Vérification 2 3 7 4 3 5 5" xfId="28410"/>
    <cellStyle name="Vérification 2 3 7 4 3 6" xfId="7292"/>
    <cellStyle name="Vérification 2 3 7 4 3 6 2" xfId="23516"/>
    <cellStyle name="Vérification 2 3 7 4 3 6 2 2" xfId="35523"/>
    <cellStyle name="Vérification 2 3 7 4 3 6 3" xfId="13676"/>
    <cellStyle name="Vérification 2 3 7 4 3 6 4" xfId="29897"/>
    <cellStyle name="Vérification 2 3 7 4 3 7" xfId="17506"/>
    <cellStyle name="Vérification 2 3 7 4 3 7 2" xfId="32802"/>
    <cellStyle name="Vérification 2 3 7 4 3 8" xfId="10574"/>
    <cellStyle name="Vérification 2 3 7 4 3 9" xfId="26799"/>
    <cellStyle name="Vérification 2 3 7 4 4" xfId="2704"/>
    <cellStyle name="Vérification 2 3 7 4 4 2" xfId="6392"/>
    <cellStyle name="Vérification 2 3 7 4 4 2 2" xfId="8773"/>
    <cellStyle name="Vérification 2 3 7 4 4 2 2 2" xfId="24997"/>
    <cellStyle name="Vérification 2 3 7 4 4 2 2 2 2" xfId="37004"/>
    <cellStyle name="Vérification 2 3 7 4 4 2 2 3" xfId="14780"/>
    <cellStyle name="Vérification 2 3 7 4 4 2 2 4" xfId="31001"/>
    <cellStyle name="Vérification 2 3 7 4 4 2 3" xfId="10151"/>
    <cellStyle name="Vérification 2 3 7 4 4 2 3 2" xfId="26375"/>
    <cellStyle name="Vérification 2 3 7 4 4 2 3 2 2" xfId="38382"/>
    <cellStyle name="Vérification 2 3 7 4 4 2 3 3" xfId="16158"/>
    <cellStyle name="Vérification 2 3 7 4 4 2 3 4" xfId="32379"/>
    <cellStyle name="Vérification 2 3 7 4 4 2 4" xfId="22616"/>
    <cellStyle name="Vérification 2 3 7 4 4 2 4 2" xfId="34623"/>
    <cellStyle name="Vérification 2 3 7 4 4 2 5" xfId="12477"/>
    <cellStyle name="Vérification 2 3 7 4 4 2 6" xfId="28698"/>
    <cellStyle name="Vérification 2 3 7 4 4 3" xfId="7440"/>
    <cellStyle name="Vérification 2 3 7 4 4 3 2" xfId="9484"/>
    <cellStyle name="Vérification 2 3 7 4 4 3 2 2" xfId="25708"/>
    <cellStyle name="Vérification 2 3 7 4 4 3 2 2 2" xfId="37715"/>
    <cellStyle name="Vérification 2 3 7 4 4 3 2 3" xfId="15491"/>
    <cellStyle name="Vérification 2 3 7 4 4 3 2 4" xfId="31712"/>
    <cellStyle name="Vérification 2 3 7 4 4 3 3" xfId="23664"/>
    <cellStyle name="Vérification 2 3 7 4 4 3 3 2" xfId="35671"/>
    <cellStyle name="Vérification 2 3 7 4 4 3 4" xfId="13188"/>
    <cellStyle name="Vérification 2 3 7 4 4 3 5" xfId="29409"/>
    <cellStyle name="Vérification 2 3 7 4 4 4" xfId="7817"/>
    <cellStyle name="Vérification 2 3 7 4 4 4 2" xfId="24041"/>
    <cellStyle name="Vérification 2 3 7 4 4 4 2 2" xfId="36048"/>
    <cellStyle name="Vérification 2 3 7 4 4 4 3" xfId="13824"/>
    <cellStyle name="Vérification 2 3 7 4 4 4 4" xfId="30045"/>
    <cellStyle name="Vérification 2 3 7 4 4 5" xfId="18932"/>
    <cellStyle name="Vérification 2 3 7 4 4 5 2" xfId="33046"/>
    <cellStyle name="Vérification 2 3 7 4 4 6" xfId="11173"/>
    <cellStyle name="Vérification 2 3 7 4 4 7" xfId="27394"/>
    <cellStyle name="Vérification 2 3 7 4 5" xfId="4389"/>
    <cellStyle name="Vérification 2 3 7 4 5 2" xfId="6876"/>
    <cellStyle name="Vérification 2 3 7 4 5 2 2" xfId="9151"/>
    <cellStyle name="Vérification 2 3 7 4 5 2 2 2" xfId="25375"/>
    <cellStyle name="Vérification 2 3 7 4 5 2 2 2 2" xfId="37382"/>
    <cellStyle name="Vérification 2 3 7 4 5 2 2 3" xfId="15158"/>
    <cellStyle name="Vérification 2 3 7 4 5 2 2 4" xfId="31379"/>
    <cellStyle name="Vérification 2 3 7 4 5 2 3" xfId="23100"/>
    <cellStyle name="Vérification 2 3 7 4 5 2 3 2" xfId="35107"/>
    <cellStyle name="Vérification 2 3 7 4 5 2 4" xfId="12855"/>
    <cellStyle name="Vérification 2 3 7 4 5 2 5" xfId="29076"/>
    <cellStyle name="Vérification 2 3 7 4 5 3" xfId="6787"/>
    <cellStyle name="Vérification 2 3 7 4 5 3 2" xfId="23011"/>
    <cellStyle name="Vérification 2 3 7 4 5 3 2 2" xfId="35018"/>
    <cellStyle name="Vérification 2 3 7 4 5 3 3" xfId="11584"/>
    <cellStyle name="Vérification 2 3 7 4 5 3 4" xfId="27805"/>
    <cellStyle name="Vérification 2 3 7 4 5 4" xfId="20615"/>
    <cellStyle name="Vérification 2 3 7 4 5 4 2" xfId="34290"/>
    <cellStyle name="Vérification 2 3 7 4 5 5" xfId="10832"/>
    <cellStyle name="Vérification 2 3 7 4 5 6" xfId="27055"/>
    <cellStyle name="Vérification 2 3 7 4 6" xfId="3176"/>
    <cellStyle name="Vérification 2 3 7 4 6 2" xfId="8207"/>
    <cellStyle name="Vérification 2 3 7 4 6 2 2" xfId="24431"/>
    <cellStyle name="Vérification 2 3 7 4 6 2 2 2" xfId="36438"/>
    <cellStyle name="Vérification 2 3 7 4 6 2 3" xfId="14214"/>
    <cellStyle name="Vérification 2 3 7 4 6 2 4" xfId="30435"/>
    <cellStyle name="Vérification 2 3 7 4 6 3" xfId="9818"/>
    <cellStyle name="Vérification 2 3 7 4 6 3 2" xfId="26042"/>
    <cellStyle name="Vérification 2 3 7 4 6 3 2 2" xfId="38049"/>
    <cellStyle name="Vérification 2 3 7 4 6 3 3" xfId="15825"/>
    <cellStyle name="Vérification 2 3 7 4 6 3 4" xfId="32046"/>
    <cellStyle name="Vérification 2 3 7 4 6 4" xfId="19404"/>
    <cellStyle name="Vérification 2 3 7 4 6 4 2" xfId="33518"/>
    <cellStyle name="Vérification 2 3 7 4 6 5" xfId="11762"/>
    <cellStyle name="Vérification 2 3 7 4 6 6" xfId="27983"/>
    <cellStyle name="Vérification 2 3 7 4 7" xfId="3259"/>
    <cellStyle name="Vérification 2 3 7 4 7 2" xfId="8261"/>
    <cellStyle name="Vérification 2 3 7 4 7 2 2" xfId="24485"/>
    <cellStyle name="Vérification 2 3 7 4 7 2 2 2" xfId="36492"/>
    <cellStyle name="Vérification 2 3 7 4 7 2 3" xfId="14268"/>
    <cellStyle name="Vérification 2 3 7 4 7 2 4" xfId="30489"/>
    <cellStyle name="Vérification 2 3 7 4 7 3" xfId="19487"/>
    <cellStyle name="Vérification 2 3 7 4 7 3 2" xfId="33601"/>
    <cellStyle name="Vérification 2 3 7 4 7 4" xfId="11816"/>
    <cellStyle name="Vérification 2 3 7 4 7 5" xfId="28037"/>
    <cellStyle name="Vérification 2 3 7 4 8" xfId="6777"/>
    <cellStyle name="Vérification 2 3 7 4 8 2" xfId="23001"/>
    <cellStyle name="Vérification 2 3 7 4 8 2 2" xfId="35008"/>
    <cellStyle name="Vérification 2 3 7 4 8 3" xfId="11566"/>
    <cellStyle name="Vérification 2 3 7 4 8 4" xfId="27787"/>
    <cellStyle name="Vérification 2 3 7 4 9" xfId="16931"/>
    <cellStyle name="Vérification 2 3 7 4 9 2" xfId="32713"/>
    <cellStyle name="Vérification 2 3 7 5" xfId="758"/>
    <cellStyle name="Vérification 2 3 7 5 10" xfId="26732"/>
    <cellStyle name="Vérification 2 3 7 5 2" xfId="1426"/>
    <cellStyle name="Vérification 2 3 7 5 2 2" xfId="2904"/>
    <cellStyle name="Vérification 2 3 7 5 2 2 2" xfId="6592"/>
    <cellStyle name="Vérification 2 3 7 5 2 2 2 2" xfId="8973"/>
    <cellStyle name="Vérification 2 3 7 5 2 2 2 2 2" xfId="25197"/>
    <cellStyle name="Vérification 2 3 7 5 2 2 2 2 2 2" xfId="37204"/>
    <cellStyle name="Vérification 2 3 7 5 2 2 2 2 3" xfId="14980"/>
    <cellStyle name="Vérification 2 3 7 5 2 2 2 2 4" xfId="31201"/>
    <cellStyle name="Vérification 2 3 7 5 2 2 2 3" xfId="10351"/>
    <cellStyle name="Vérification 2 3 7 5 2 2 2 3 2" xfId="26575"/>
    <cellStyle name="Vérification 2 3 7 5 2 2 2 3 2 2" xfId="38582"/>
    <cellStyle name="Vérification 2 3 7 5 2 2 2 3 3" xfId="16358"/>
    <cellStyle name="Vérification 2 3 7 5 2 2 2 3 4" xfId="32579"/>
    <cellStyle name="Vérification 2 3 7 5 2 2 2 4" xfId="22816"/>
    <cellStyle name="Vérification 2 3 7 5 2 2 2 4 2" xfId="34823"/>
    <cellStyle name="Vérification 2 3 7 5 2 2 2 5" xfId="12677"/>
    <cellStyle name="Vérification 2 3 7 5 2 2 2 6" xfId="28898"/>
    <cellStyle name="Vérification 2 3 7 5 2 2 3" xfId="7640"/>
    <cellStyle name="Vérification 2 3 7 5 2 2 3 2" xfId="9684"/>
    <cellStyle name="Vérification 2 3 7 5 2 2 3 2 2" xfId="25908"/>
    <cellStyle name="Vérification 2 3 7 5 2 2 3 2 2 2" xfId="37915"/>
    <cellStyle name="Vérification 2 3 7 5 2 2 3 2 3" xfId="15691"/>
    <cellStyle name="Vérification 2 3 7 5 2 2 3 2 4" xfId="31912"/>
    <cellStyle name="Vérification 2 3 7 5 2 2 3 3" xfId="23864"/>
    <cellStyle name="Vérification 2 3 7 5 2 2 3 3 2" xfId="35871"/>
    <cellStyle name="Vérification 2 3 7 5 2 2 3 4" xfId="13388"/>
    <cellStyle name="Vérification 2 3 7 5 2 2 3 5" xfId="29609"/>
    <cellStyle name="Vérification 2 3 7 5 2 2 4" xfId="8017"/>
    <cellStyle name="Vérification 2 3 7 5 2 2 4 2" xfId="24241"/>
    <cellStyle name="Vérification 2 3 7 5 2 2 4 2 2" xfId="36248"/>
    <cellStyle name="Vérification 2 3 7 5 2 2 4 3" xfId="14024"/>
    <cellStyle name="Vérification 2 3 7 5 2 2 4 4" xfId="30245"/>
    <cellStyle name="Vérification 2 3 7 5 2 2 5" xfId="19132"/>
    <cellStyle name="Vérification 2 3 7 5 2 2 5 2" xfId="33246"/>
    <cellStyle name="Vérification 2 3 7 5 2 2 6" xfId="11373"/>
    <cellStyle name="Vérification 2 3 7 5 2 2 7" xfId="27594"/>
    <cellStyle name="Vérification 2 3 7 5 2 3" xfId="5123"/>
    <cellStyle name="Vérification 2 3 7 5 2 3 2" xfId="7150"/>
    <cellStyle name="Vérification 2 3 7 5 2 3 2 2" xfId="9351"/>
    <cellStyle name="Vérification 2 3 7 5 2 3 2 2 2" xfId="25575"/>
    <cellStyle name="Vérification 2 3 7 5 2 3 2 2 2 2" xfId="37582"/>
    <cellStyle name="Vérification 2 3 7 5 2 3 2 2 3" xfId="15358"/>
    <cellStyle name="Vérification 2 3 7 5 2 3 2 2 4" xfId="31579"/>
    <cellStyle name="Vérification 2 3 7 5 2 3 2 3" xfId="23374"/>
    <cellStyle name="Vérification 2 3 7 5 2 3 2 3 2" xfId="35381"/>
    <cellStyle name="Vérification 2 3 7 5 2 3 2 4" xfId="13055"/>
    <cellStyle name="Vérification 2 3 7 5 2 3 2 5" xfId="29276"/>
    <cellStyle name="Vérification 2 3 7 5 2 3 3" xfId="6767"/>
    <cellStyle name="Vérification 2 3 7 5 2 3 3 2" xfId="22991"/>
    <cellStyle name="Vérification 2 3 7 5 2 3 3 2 2" xfId="34998"/>
    <cellStyle name="Vérification 2 3 7 5 2 3 3 3" xfId="11602"/>
    <cellStyle name="Vérification 2 3 7 5 2 3 3 4" xfId="27823"/>
    <cellStyle name="Vérification 2 3 7 5 2 3 4" xfId="21349"/>
    <cellStyle name="Vérification 2 3 7 5 2 3 4 2" xfId="34490"/>
    <cellStyle name="Vérification 2 3 7 5 2 3 5" xfId="11037"/>
    <cellStyle name="Vérification 2 3 7 5 2 3 6" xfId="27260"/>
    <cellStyle name="Vérification 2 3 7 5 2 4" xfId="3514"/>
    <cellStyle name="Vérification 2 3 7 5 2 4 2" xfId="8481"/>
    <cellStyle name="Vérification 2 3 7 5 2 4 2 2" xfId="24705"/>
    <cellStyle name="Vérification 2 3 7 5 2 4 2 2 2" xfId="36712"/>
    <cellStyle name="Vérification 2 3 7 5 2 4 2 3" xfId="14488"/>
    <cellStyle name="Vérification 2 3 7 5 2 4 2 4" xfId="30709"/>
    <cellStyle name="Vérification 2 3 7 5 2 4 3" xfId="10018"/>
    <cellStyle name="Vérification 2 3 7 5 2 4 3 2" xfId="26242"/>
    <cellStyle name="Vérification 2 3 7 5 2 4 3 2 2" xfId="38249"/>
    <cellStyle name="Vérification 2 3 7 5 2 4 3 3" xfId="16025"/>
    <cellStyle name="Vérification 2 3 7 5 2 4 3 4" xfId="32246"/>
    <cellStyle name="Vérification 2 3 7 5 2 4 4" xfId="19742"/>
    <cellStyle name="Vérification 2 3 7 5 2 4 4 2" xfId="33856"/>
    <cellStyle name="Vérification 2 3 7 5 2 4 5" xfId="12036"/>
    <cellStyle name="Vérification 2 3 7 5 2 4 6" xfId="28257"/>
    <cellStyle name="Vérification 2 3 7 5 2 5" xfId="3741"/>
    <cellStyle name="Vérification 2 3 7 5 2 5 2" xfId="8610"/>
    <cellStyle name="Vérification 2 3 7 5 2 5 2 2" xfId="24834"/>
    <cellStyle name="Vérification 2 3 7 5 2 5 2 2 2" xfId="36841"/>
    <cellStyle name="Vérification 2 3 7 5 2 5 2 3" xfId="14617"/>
    <cellStyle name="Vérification 2 3 7 5 2 5 2 4" xfId="30838"/>
    <cellStyle name="Vérification 2 3 7 5 2 5 3" xfId="19969"/>
    <cellStyle name="Vérification 2 3 7 5 2 5 3 2" xfId="34083"/>
    <cellStyle name="Vérification 2 3 7 5 2 5 4" xfId="12165"/>
    <cellStyle name="Vérification 2 3 7 5 2 5 5" xfId="28386"/>
    <cellStyle name="Vérification 2 3 7 5 2 6" xfId="7224"/>
    <cellStyle name="Vérification 2 3 7 5 2 6 2" xfId="23448"/>
    <cellStyle name="Vérification 2 3 7 5 2 6 2 2" xfId="35455"/>
    <cellStyle name="Vérification 2 3 7 5 2 6 3" xfId="13608"/>
    <cellStyle name="Vérification 2 3 7 5 2 6 4" xfId="29829"/>
    <cellStyle name="Vérification 2 3 7 5 2 7" xfId="17665"/>
    <cellStyle name="Vérification 2 3 7 5 2 7 2" xfId="32913"/>
    <cellStyle name="Vérification 2 3 7 5 2 8" xfId="10685"/>
    <cellStyle name="Vérification 2 3 7 5 2 9" xfId="26910"/>
    <cellStyle name="Vérification 2 3 7 5 3" xfId="2726"/>
    <cellStyle name="Vérification 2 3 7 5 3 2" xfId="6414"/>
    <cellStyle name="Vérification 2 3 7 5 3 2 2" xfId="8795"/>
    <cellStyle name="Vérification 2 3 7 5 3 2 2 2" xfId="25019"/>
    <cellStyle name="Vérification 2 3 7 5 3 2 2 2 2" xfId="37026"/>
    <cellStyle name="Vérification 2 3 7 5 3 2 2 3" xfId="14802"/>
    <cellStyle name="Vérification 2 3 7 5 3 2 2 4" xfId="31023"/>
    <cellStyle name="Vérification 2 3 7 5 3 2 3" xfId="10173"/>
    <cellStyle name="Vérification 2 3 7 5 3 2 3 2" xfId="26397"/>
    <cellStyle name="Vérification 2 3 7 5 3 2 3 2 2" xfId="38404"/>
    <cellStyle name="Vérification 2 3 7 5 3 2 3 3" xfId="16180"/>
    <cellStyle name="Vérification 2 3 7 5 3 2 3 4" xfId="32401"/>
    <cellStyle name="Vérification 2 3 7 5 3 2 4" xfId="22638"/>
    <cellStyle name="Vérification 2 3 7 5 3 2 4 2" xfId="34645"/>
    <cellStyle name="Vérification 2 3 7 5 3 2 5" xfId="12499"/>
    <cellStyle name="Vérification 2 3 7 5 3 2 6" xfId="28720"/>
    <cellStyle name="Vérification 2 3 7 5 3 3" xfId="7462"/>
    <cellStyle name="Vérification 2 3 7 5 3 3 2" xfId="9506"/>
    <cellStyle name="Vérification 2 3 7 5 3 3 2 2" xfId="25730"/>
    <cellStyle name="Vérification 2 3 7 5 3 3 2 2 2" xfId="37737"/>
    <cellStyle name="Vérification 2 3 7 5 3 3 2 3" xfId="15513"/>
    <cellStyle name="Vérification 2 3 7 5 3 3 2 4" xfId="31734"/>
    <cellStyle name="Vérification 2 3 7 5 3 3 3" xfId="23686"/>
    <cellStyle name="Vérification 2 3 7 5 3 3 3 2" xfId="35693"/>
    <cellStyle name="Vérification 2 3 7 5 3 3 4" xfId="13210"/>
    <cellStyle name="Vérification 2 3 7 5 3 3 5" xfId="29431"/>
    <cellStyle name="Vérification 2 3 7 5 3 4" xfId="7839"/>
    <cellStyle name="Vérification 2 3 7 5 3 4 2" xfId="24063"/>
    <cellStyle name="Vérification 2 3 7 5 3 4 2 2" xfId="36070"/>
    <cellStyle name="Vérification 2 3 7 5 3 4 3" xfId="13846"/>
    <cellStyle name="Vérification 2 3 7 5 3 4 4" xfId="30067"/>
    <cellStyle name="Vérification 2 3 7 5 3 5" xfId="18954"/>
    <cellStyle name="Vérification 2 3 7 5 3 5 2" xfId="33068"/>
    <cellStyle name="Vérification 2 3 7 5 3 6" xfId="11195"/>
    <cellStyle name="Vérification 2 3 7 5 3 7" xfId="27416"/>
    <cellStyle name="Vérification 2 3 7 5 4" xfId="4459"/>
    <cellStyle name="Vérification 2 3 7 5 4 2" xfId="6904"/>
    <cellStyle name="Vérification 2 3 7 5 4 2 2" xfId="9173"/>
    <cellStyle name="Vérification 2 3 7 5 4 2 2 2" xfId="25397"/>
    <cellStyle name="Vérification 2 3 7 5 4 2 2 2 2" xfId="37404"/>
    <cellStyle name="Vérification 2 3 7 5 4 2 2 3" xfId="15180"/>
    <cellStyle name="Vérification 2 3 7 5 4 2 2 4" xfId="31401"/>
    <cellStyle name="Vérification 2 3 7 5 4 2 3" xfId="23128"/>
    <cellStyle name="Vérification 2 3 7 5 4 2 3 2" xfId="35135"/>
    <cellStyle name="Vérification 2 3 7 5 4 2 4" xfId="12877"/>
    <cellStyle name="Vérification 2 3 7 5 4 2 5" xfId="29098"/>
    <cellStyle name="Vérification 2 3 7 5 4 3" xfId="7289"/>
    <cellStyle name="Vérification 2 3 7 5 4 3 2" xfId="23513"/>
    <cellStyle name="Vérification 2 3 7 5 4 3 2 2" xfId="35520"/>
    <cellStyle name="Vérification 2 3 7 5 4 3 3" xfId="13673"/>
    <cellStyle name="Vérification 2 3 7 5 4 3 4" xfId="29894"/>
    <cellStyle name="Vérification 2 3 7 5 4 4" xfId="20685"/>
    <cellStyle name="Vérification 2 3 7 5 4 4 2" xfId="34312"/>
    <cellStyle name="Vérification 2 3 7 5 4 5" xfId="10858"/>
    <cellStyle name="Vérification 2 3 7 5 4 6" xfId="27081"/>
    <cellStyle name="Vérification 2 3 7 5 5" xfId="3215"/>
    <cellStyle name="Vérification 2 3 7 5 5 2" xfId="8236"/>
    <cellStyle name="Vérification 2 3 7 5 5 2 2" xfId="24460"/>
    <cellStyle name="Vérification 2 3 7 5 5 2 2 2" xfId="36467"/>
    <cellStyle name="Vérification 2 3 7 5 5 2 3" xfId="14243"/>
    <cellStyle name="Vérification 2 3 7 5 5 2 4" xfId="30464"/>
    <cellStyle name="Vérification 2 3 7 5 5 3" xfId="9840"/>
    <cellStyle name="Vérification 2 3 7 5 5 3 2" xfId="26064"/>
    <cellStyle name="Vérification 2 3 7 5 5 3 2 2" xfId="38071"/>
    <cellStyle name="Vérification 2 3 7 5 5 3 3" xfId="15847"/>
    <cellStyle name="Vérification 2 3 7 5 5 3 4" xfId="32068"/>
    <cellStyle name="Vérification 2 3 7 5 5 4" xfId="19443"/>
    <cellStyle name="Vérification 2 3 7 5 5 4 2" xfId="33557"/>
    <cellStyle name="Vérification 2 3 7 5 5 5" xfId="11791"/>
    <cellStyle name="Vérification 2 3 7 5 5 6" xfId="28012"/>
    <cellStyle name="Vérification 2 3 7 5 6" xfId="3549"/>
    <cellStyle name="Vérification 2 3 7 5 6 2" xfId="8506"/>
    <cellStyle name="Vérification 2 3 7 5 6 2 2" xfId="24730"/>
    <cellStyle name="Vérification 2 3 7 5 6 2 2 2" xfId="36737"/>
    <cellStyle name="Vérification 2 3 7 5 6 2 3" xfId="14513"/>
    <cellStyle name="Vérification 2 3 7 5 6 2 4" xfId="30734"/>
    <cellStyle name="Vérification 2 3 7 5 6 3" xfId="19777"/>
    <cellStyle name="Vérification 2 3 7 5 6 3 2" xfId="33891"/>
    <cellStyle name="Vérification 2 3 7 5 6 4" xfId="12061"/>
    <cellStyle name="Vérification 2 3 7 5 6 5" xfId="28282"/>
    <cellStyle name="Vérification 2 3 7 5 7" xfId="3280"/>
    <cellStyle name="Vérification 2 3 7 5 7 2" xfId="19508"/>
    <cellStyle name="Vérification 2 3 7 5 7 2 2" xfId="33622"/>
    <cellStyle name="Vérification 2 3 7 5 7 3" xfId="13458"/>
    <cellStyle name="Vérification 2 3 7 5 7 4" xfId="29679"/>
    <cellStyle name="Vérification 2 3 7 5 8" xfId="17001"/>
    <cellStyle name="Vérification 2 3 7 5 8 2" xfId="32735"/>
    <cellStyle name="Vérification 2 3 7 5 9" xfId="10507"/>
    <cellStyle name="Vérification 2 3 7 6" xfId="1337"/>
    <cellStyle name="Vérification 2 3 7 6 2" xfId="2815"/>
    <cellStyle name="Vérification 2 3 7 6 2 2" xfId="6503"/>
    <cellStyle name="Vérification 2 3 7 6 2 2 2" xfId="8884"/>
    <cellStyle name="Vérification 2 3 7 6 2 2 2 2" xfId="25108"/>
    <cellStyle name="Vérification 2 3 7 6 2 2 2 2 2" xfId="37115"/>
    <cellStyle name="Vérification 2 3 7 6 2 2 2 3" xfId="14891"/>
    <cellStyle name="Vérification 2 3 7 6 2 2 2 4" xfId="31112"/>
    <cellStyle name="Vérification 2 3 7 6 2 2 3" xfId="10262"/>
    <cellStyle name="Vérification 2 3 7 6 2 2 3 2" xfId="26486"/>
    <cellStyle name="Vérification 2 3 7 6 2 2 3 2 2" xfId="38493"/>
    <cellStyle name="Vérification 2 3 7 6 2 2 3 3" xfId="16269"/>
    <cellStyle name="Vérification 2 3 7 6 2 2 3 4" xfId="32490"/>
    <cellStyle name="Vérification 2 3 7 6 2 2 4" xfId="22727"/>
    <cellStyle name="Vérification 2 3 7 6 2 2 4 2" xfId="34734"/>
    <cellStyle name="Vérification 2 3 7 6 2 2 5" xfId="12588"/>
    <cellStyle name="Vérification 2 3 7 6 2 2 6" xfId="28809"/>
    <cellStyle name="Vérification 2 3 7 6 2 3" xfId="7551"/>
    <cellStyle name="Vérification 2 3 7 6 2 3 2" xfId="9595"/>
    <cellStyle name="Vérification 2 3 7 6 2 3 2 2" xfId="25819"/>
    <cellStyle name="Vérification 2 3 7 6 2 3 2 2 2" xfId="37826"/>
    <cellStyle name="Vérification 2 3 7 6 2 3 2 3" xfId="15602"/>
    <cellStyle name="Vérification 2 3 7 6 2 3 2 4" xfId="31823"/>
    <cellStyle name="Vérification 2 3 7 6 2 3 3" xfId="23775"/>
    <cellStyle name="Vérification 2 3 7 6 2 3 3 2" xfId="35782"/>
    <cellStyle name="Vérification 2 3 7 6 2 3 4" xfId="13299"/>
    <cellStyle name="Vérification 2 3 7 6 2 3 5" xfId="29520"/>
    <cellStyle name="Vérification 2 3 7 6 2 4" xfId="7928"/>
    <cellStyle name="Vérification 2 3 7 6 2 4 2" xfId="24152"/>
    <cellStyle name="Vérification 2 3 7 6 2 4 2 2" xfId="36159"/>
    <cellStyle name="Vérification 2 3 7 6 2 4 3" xfId="13935"/>
    <cellStyle name="Vérification 2 3 7 6 2 4 4" xfId="30156"/>
    <cellStyle name="Vérification 2 3 7 6 2 5" xfId="19043"/>
    <cellStyle name="Vérification 2 3 7 6 2 5 2" xfId="33157"/>
    <cellStyle name="Vérification 2 3 7 6 2 6" xfId="11284"/>
    <cellStyle name="Vérification 2 3 7 6 2 7" xfId="27505"/>
    <cellStyle name="Vérification 2 3 7 6 3" xfId="5034"/>
    <cellStyle name="Vérification 2 3 7 6 3 2" xfId="7061"/>
    <cellStyle name="Vérification 2 3 7 6 3 2 2" xfId="9262"/>
    <cellStyle name="Vérification 2 3 7 6 3 2 2 2" xfId="25486"/>
    <cellStyle name="Vérification 2 3 7 6 3 2 2 2 2" xfId="37493"/>
    <cellStyle name="Vérification 2 3 7 6 3 2 2 3" xfId="15269"/>
    <cellStyle name="Vérification 2 3 7 6 3 2 2 4" xfId="31490"/>
    <cellStyle name="Vérification 2 3 7 6 3 2 3" xfId="23285"/>
    <cellStyle name="Vérification 2 3 7 6 3 2 3 2" xfId="35292"/>
    <cellStyle name="Vérification 2 3 7 6 3 2 4" xfId="12966"/>
    <cellStyle name="Vérification 2 3 7 6 3 2 5" xfId="29187"/>
    <cellStyle name="Vérification 2 3 7 6 3 3" xfId="3067"/>
    <cellStyle name="Vérification 2 3 7 6 3 3 2" xfId="19295"/>
    <cellStyle name="Vérification 2 3 7 6 3 3 2 2" xfId="33409"/>
    <cellStyle name="Vérification 2 3 7 6 3 3 3" xfId="13484"/>
    <cellStyle name="Vérification 2 3 7 6 3 3 4" xfId="29705"/>
    <cellStyle name="Vérification 2 3 7 6 3 4" xfId="21260"/>
    <cellStyle name="Vérification 2 3 7 6 3 4 2" xfId="34401"/>
    <cellStyle name="Vérification 2 3 7 6 3 5" xfId="10948"/>
    <cellStyle name="Vérification 2 3 7 6 3 6" xfId="27171"/>
    <cellStyle name="Vérification 2 3 7 6 4" xfId="3425"/>
    <cellStyle name="Vérification 2 3 7 6 4 2" xfId="8392"/>
    <cellStyle name="Vérification 2 3 7 6 4 2 2" xfId="24616"/>
    <cellStyle name="Vérification 2 3 7 6 4 2 2 2" xfId="36623"/>
    <cellStyle name="Vérification 2 3 7 6 4 2 3" xfId="14399"/>
    <cellStyle name="Vérification 2 3 7 6 4 2 4" xfId="30620"/>
    <cellStyle name="Vérification 2 3 7 6 4 3" xfId="9929"/>
    <cellStyle name="Vérification 2 3 7 6 4 3 2" xfId="26153"/>
    <cellStyle name="Vérification 2 3 7 6 4 3 2 2" xfId="38160"/>
    <cellStyle name="Vérification 2 3 7 6 4 3 3" xfId="15936"/>
    <cellStyle name="Vérification 2 3 7 6 4 3 4" xfId="32157"/>
    <cellStyle name="Vérification 2 3 7 6 4 4" xfId="19653"/>
    <cellStyle name="Vérification 2 3 7 6 4 4 2" xfId="33767"/>
    <cellStyle name="Vérification 2 3 7 6 4 5" xfId="11947"/>
    <cellStyle name="Vérification 2 3 7 6 4 6" xfId="28168"/>
    <cellStyle name="Vérification 2 3 7 6 5" xfId="3148"/>
    <cellStyle name="Vérification 2 3 7 6 5 2" xfId="8191"/>
    <cellStyle name="Vérification 2 3 7 6 5 2 2" xfId="24415"/>
    <cellStyle name="Vérification 2 3 7 6 5 2 2 2" xfId="36422"/>
    <cellStyle name="Vérification 2 3 7 6 5 2 3" xfId="14198"/>
    <cellStyle name="Vérification 2 3 7 6 5 2 4" xfId="30419"/>
    <cellStyle name="Vérification 2 3 7 6 5 3" xfId="19376"/>
    <cellStyle name="Vérification 2 3 7 6 5 3 2" xfId="33490"/>
    <cellStyle name="Vérification 2 3 7 6 5 4" xfId="11746"/>
    <cellStyle name="Vérification 2 3 7 6 5 5" xfId="27967"/>
    <cellStyle name="Vérification 2 3 7 6 6" xfId="6922"/>
    <cellStyle name="Vérification 2 3 7 6 6 2" xfId="23146"/>
    <cellStyle name="Vérification 2 3 7 6 6 2 2" xfId="35153"/>
    <cellStyle name="Vérification 2 3 7 6 6 3" xfId="11429"/>
    <cellStyle name="Vérification 2 3 7 6 6 4" xfId="27650"/>
    <cellStyle name="Vérification 2 3 7 6 7" xfId="17576"/>
    <cellStyle name="Vérification 2 3 7 6 7 2" xfId="32824"/>
    <cellStyle name="Vérification 2 3 7 6 8" xfId="10596"/>
    <cellStyle name="Vérification 2 3 7 6 9" xfId="26821"/>
    <cellStyle name="Vérification 2 3 7 7" xfId="2544"/>
    <cellStyle name="Vérification 2 3 7 7 2" xfId="2927"/>
    <cellStyle name="Vérification 2 3 7 7 2 2" xfId="6615"/>
    <cellStyle name="Vérification 2 3 7 7 2 2 2" xfId="8996"/>
    <cellStyle name="Vérification 2 3 7 7 2 2 2 2" xfId="25220"/>
    <cellStyle name="Vérification 2 3 7 7 2 2 2 2 2" xfId="37227"/>
    <cellStyle name="Vérification 2 3 7 7 2 2 2 3" xfId="15003"/>
    <cellStyle name="Vérification 2 3 7 7 2 2 2 4" xfId="31224"/>
    <cellStyle name="Vérification 2 3 7 7 2 2 3" xfId="10374"/>
    <cellStyle name="Vérification 2 3 7 7 2 2 3 2" xfId="26598"/>
    <cellStyle name="Vérification 2 3 7 7 2 2 3 2 2" xfId="38605"/>
    <cellStyle name="Vérification 2 3 7 7 2 2 3 3" xfId="16381"/>
    <cellStyle name="Vérification 2 3 7 7 2 2 3 4" xfId="32602"/>
    <cellStyle name="Vérification 2 3 7 7 2 2 4" xfId="22839"/>
    <cellStyle name="Vérification 2 3 7 7 2 2 4 2" xfId="34846"/>
    <cellStyle name="Vérification 2 3 7 7 2 2 5" xfId="12700"/>
    <cellStyle name="Vérification 2 3 7 7 2 2 6" xfId="28921"/>
    <cellStyle name="Vérification 2 3 7 7 2 3" xfId="7663"/>
    <cellStyle name="Vérification 2 3 7 7 2 3 2" xfId="9707"/>
    <cellStyle name="Vérification 2 3 7 7 2 3 2 2" xfId="25931"/>
    <cellStyle name="Vérification 2 3 7 7 2 3 2 2 2" xfId="37938"/>
    <cellStyle name="Vérification 2 3 7 7 2 3 2 3" xfId="15714"/>
    <cellStyle name="Vérification 2 3 7 7 2 3 2 4" xfId="31935"/>
    <cellStyle name="Vérification 2 3 7 7 2 3 3" xfId="23887"/>
    <cellStyle name="Vérification 2 3 7 7 2 3 3 2" xfId="35894"/>
    <cellStyle name="Vérification 2 3 7 7 2 3 4" xfId="13411"/>
    <cellStyle name="Vérification 2 3 7 7 2 3 5" xfId="29632"/>
    <cellStyle name="Vérification 2 3 7 7 2 4" xfId="8040"/>
    <cellStyle name="Vérification 2 3 7 7 2 4 2" xfId="24264"/>
    <cellStyle name="Vérification 2 3 7 7 2 4 2 2" xfId="36271"/>
    <cellStyle name="Vérification 2 3 7 7 2 4 3" xfId="14047"/>
    <cellStyle name="Vérification 2 3 7 7 2 4 4" xfId="30268"/>
    <cellStyle name="Vérification 2 3 7 7 2 5" xfId="19155"/>
    <cellStyle name="Vérification 2 3 7 7 2 5 2" xfId="33269"/>
    <cellStyle name="Vérification 2 3 7 7 2 6" xfId="11396"/>
    <cellStyle name="Vérification 2 3 7 7 2 7" xfId="27617"/>
    <cellStyle name="Vérification 2 3 7 7 3" xfId="6234"/>
    <cellStyle name="Vérification 2 3 7 7 3 2" xfId="7325"/>
    <cellStyle name="Vérification 2 3 7 7 3 2 2" xfId="9374"/>
    <cellStyle name="Vérification 2 3 7 7 3 2 2 2" xfId="25598"/>
    <cellStyle name="Vérification 2 3 7 7 3 2 2 2 2" xfId="37605"/>
    <cellStyle name="Vérification 2 3 7 7 3 2 2 3" xfId="15381"/>
    <cellStyle name="Vérification 2 3 7 7 3 2 2 4" xfId="31602"/>
    <cellStyle name="Vérification 2 3 7 7 3 2 3" xfId="23549"/>
    <cellStyle name="Vérification 2 3 7 7 3 2 3 2" xfId="35556"/>
    <cellStyle name="Vérification 2 3 7 7 3 2 4" xfId="13078"/>
    <cellStyle name="Vérification 2 3 7 7 3 2 5" xfId="29299"/>
    <cellStyle name="Vérification 2 3 7 7 3 3" xfId="7707"/>
    <cellStyle name="Vérification 2 3 7 7 3 3 2" xfId="23931"/>
    <cellStyle name="Vérification 2 3 7 7 3 3 2 2" xfId="35938"/>
    <cellStyle name="Vérification 2 3 7 7 3 3 3" xfId="13714"/>
    <cellStyle name="Vérification 2 3 7 7 3 3 4" xfId="29935"/>
    <cellStyle name="Vérification 2 3 7 7 3 4" xfId="22458"/>
    <cellStyle name="Vérification 2 3 7 7 3 4 2" xfId="34513"/>
    <cellStyle name="Vérification 2 3 7 7 3 5" xfId="11062"/>
    <cellStyle name="Vérification 2 3 7 7 3 6" xfId="27283"/>
    <cellStyle name="Vérification 2 3 7 7 4" xfId="3823"/>
    <cellStyle name="Vérification 2 3 7 7 4 2" xfId="8654"/>
    <cellStyle name="Vérification 2 3 7 7 4 2 2" xfId="24878"/>
    <cellStyle name="Vérification 2 3 7 7 4 2 2 2" xfId="36885"/>
    <cellStyle name="Vérification 2 3 7 7 4 2 3" xfId="14661"/>
    <cellStyle name="Vérification 2 3 7 7 4 2 4" xfId="30882"/>
    <cellStyle name="Vérification 2 3 7 7 4 3" xfId="10041"/>
    <cellStyle name="Vérification 2 3 7 7 4 3 2" xfId="26265"/>
    <cellStyle name="Vérification 2 3 7 7 4 3 2 2" xfId="38272"/>
    <cellStyle name="Vérification 2 3 7 7 4 3 3" xfId="16048"/>
    <cellStyle name="Vérification 2 3 7 7 4 3 4" xfId="32269"/>
    <cellStyle name="Vérification 2 3 7 7 4 4" xfId="20051"/>
    <cellStyle name="Vérification 2 3 7 7 4 4 2" xfId="34165"/>
    <cellStyle name="Vérification 2 3 7 7 4 5" xfId="12209"/>
    <cellStyle name="Vérification 2 3 7 7 4 6" xfId="28430"/>
    <cellStyle name="Vérification 2 3 7 7 5" xfId="6688"/>
    <cellStyle name="Vérification 2 3 7 7 5 2" xfId="9040"/>
    <cellStyle name="Vérification 2 3 7 7 5 2 2" xfId="25264"/>
    <cellStyle name="Vérification 2 3 7 7 5 2 2 2" xfId="37271"/>
    <cellStyle name="Vérification 2 3 7 7 5 2 3" xfId="15047"/>
    <cellStyle name="Vérification 2 3 7 7 5 2 4" xfId="31268"/>
    <cellStyle name="Vérification 2 3 7 7 5 3" xfId="22912"/>
    <cellStyle name="Vérification 2 3 7 7 5 3 2" xfId="34919"/>
    <cellStyle name="Vérification 2 3 7 7 5 4" xfId="12744"/>
    <cellStyle name="Vérification 2 3 7 7 5 5" xfId="28965"/>
    <cellStyle name="Vérification 2 3 7 7 6" xfId="3732"/>
    <cellStyle name="Vérification 2 3 7 7 6 2" xfId="19960"/>
    <cellStyle name="Vérification 2 3 7 7 6 2 2" xfId="34074"/>
    <cellStyle name="Vérification 2 3 7 7 6 3" xfId="12268"/>
    <cellStyle name="Vérification 2 3 7 7 6 4" xfId="28489"/>
    <cellStyle name="Vérification 2 3 7 7 7" xfId="18774"/>
    <cellStyle name="Vérification 2 3 7 7 7 2" xfId="32936"/>
    <cellStyle name="Vérification 2 3 7 7 8" xfId="10710"/>
    <cellStyle name="Vérification 2 3 7 7 9" xfId="26933"/>
    <cellStyle name="Vérification 2 3 7 8" xfId="2615"/>
    <cellStyle name="Vérification 2 3 7 8 2" xfId="2948"/>
    <cellStyle name="Vérification 2 3 7 8 2 2" xfId="6636"/>
    <cellStyle name="Vérification 2 3 7 8 2 2 2" xfId="9017"/>
    <cellStyle name="Vérification 2 3 7 8 2 2 2 2" xfId="25241"/>
    <cellStyle name="Vérification 2 3 7 8 2 2 2 2 2" xfId="37248"/>
    <cellStyle name="Vérification 2 3 7 8 2 2 2 3" xfId="15024"/>
    <cellStyle name="Vérification 2 3 7 8 2 2 2 4" xfId="31245"/>
    <cellStyle name="Vérification 2 3 7 8 2 2 3" xfId="10395"/>
    <cellStyle name="Vérification 2 3 7 8 2 2 3 2" xfId="26619"/>
    <cellStyle name="Vérification 2 3 7 8 2 2 3 2 2" xfId="38626"/>
    <cellStyle name="Vérification 2 3 7 8 2 2 3 3" xfId="16402"/>
    <cellStyle name="Vérification 2 3 7 8 2 2 3 4" xfId="32623"/>
    <cellStyle name="Vérification 2 3 7 8 2 2 4" xfId="22860"/>
    <cellStyle name="Vérification 2 3 7 8 2 2 4 2" xfId="34867"/>
    <cellStyle name="Vérification 2 3 7 8 2 2 5" xfId="12721"/>
    <cellStyle name="Vérification 2 3 7 8 2 2 6" xfId="28942"/>
    <cellStyle name="Vérification 2 3 7 8 2 3" xfId="7684"/>
    <cellStyle name="Vérification 2 3 7 8 2 3 2" xfId="9728"/>
    <cellStyle name="Vérification 2 3 7 8 2 3 2 2" xfId="25952"/>
    <cellStyle name="Vérification 2 3 7 8 2 3 2 2 2" xfId="37959"/>
    <cellStyle name="Vérification 2 3 7 8 2 3 2 3" xfId="15735"/>
    <cellStyle name="Vérification 2 3 7 8 2 3 2 4" xfId="31956"/>
    <cellStyle name="Vérification 2 3 7 8 2 3 3" xfId="23908"/>
    <cellStyle name="Vérification 2 3 7 8 2 3 3 2" xfId="35915"/>
    <cellStyle name="Vérification 2 3 7 8 2 3 4" xfId="13432"/>
    <cellStyle name="Vérification 2 3 7 8 2 3 5" xfId="29653"/>
    <cellStyle name="Vérification 2 3 7 8 2 4" xfId="8061"/>
    <cellStyle name="Vérification 2 3 7 8 2 4 2" xfId="24285"/>
    <cellStyle name="Vérification 2 3 7 8 2 4 2 2" xfId="36292"/>
    <cellStyle name="Vérification 2 3 7 8 2 4 3" xfId="14068"/>
    <cellStyle name="Vérification 2 3 7 8 2 4 4" xfId="30289"/>
    <cellStyle name="Vérification 2 3 7 8 2 5" xfId="19176"/>
    <cellStyle name="Vérification 2 3 7 8 2 5 2" xfId="33290"/>
    <cellStyle name="Vérification 2 3 7 8 2 6" xfId="11417"/>
    <cellStyle name="Vérification 2 3 7 8 2 7" xfId="27638"/>
    <cellStyle name="Vérification 2 3 7 8 3" xfId="6303"/>
    <cellStyle name="Vérification 2 3 7 8 3 2" xfId="7351"/>
    <cellStyle name="Vérification 2 3 7 8 3 2 2" xfId="9395"/>
    <cellStyle name="Vérification 2 3 7 8 3 2 2 2" xfId="25619"/>
    <cellStyle name="Vérification 2 3 7 8 3 2 2 2 2" xfId="37626"/>
    <cellStyle name="Vérification 2 3 7 8 3 2 2 3" xfId="15402"/>
    <cellStyle name="Vérification 2 3 7 8 3 2 2 4" xfId="31623"/>
    <cellStyle name="Vérification 2 3 7 8 3 2 3" xfId="23575"/>
    <cellStyle name="Vérification 2 3 7 8 3 2 3 2" xfId="35582"/>
    <cellStyle name="Vérification 2 3 7 8 3 2 4" xfId="13099"/>
    <cellStyle name="Vérification 2 3 7 8 3 2 5" xfId="29320"/>
    <cellStyle name="Vérification 2 3 7 8 3 3" xfId="7728"/>
    <cellStyle name="Vérification 2 3 7 8 3 3 2" xfId="23952"/>
    <cellStyle name="Vérification 2 3 7 8 3 3 2 2" xfId="35959"/>
    <cellStyle name="Vérification 2 3 7 8 3 3 3" xfId="13735"/>
    <cellStyle name="Vérification 2 3 7 8 3 3 4" xfId="29956"/>
    <cellStyle name="Vérification 2 3 7 8 3 4" xfId="22527"/>
    <cellStyle name="Vérification 2 3 7 8 3 4 2" xfId="34534"/>
    <cellStyle name="Vérification 2 3 7 8 3 5" xfId="11084"/>
    <cellStyle name="Vérification 2 3 7 8 3 6" xfId="27305"/>
    <cellStyle name="Vérification 2 3 7 8 4" xfId="3858"/>
    <cellStyle name="Vérification 2 3 7 8 4 2" xfId="8684"/>
    <cellStyle name="Vérification 2 3 7 8 4 2 2" xfId="24908"/>
    <cellStyle name="Vérification 2 3 7 8 4 2 2 2" xfId="36915"/>
    <cellStyle name="Vérification 2 3 7 8 4 2 3" xfId="14691"/>
    <cellStyle name="Vérification 2 3 7 8 4 2 4" xfId="30912"/>
    <cellStyle name="Vérification 2 3 7 8 4 3" xfId="10062"/>
    <cellStyle name="Vérification 2 3 7 8 4 3 2" xfId="26286"/>
    <cellStyle name="Vérification 2 3 7 8 4 3 2 2" xfId="38293"/>
    <cellStyle name="Vérification 2 3 7 8 4 3 3" xfId="16069"/>
    <cellStyle name="Vérification 2 3 7 8 4 3 4" xfId="32290"/>
    <cellStyle name="Vérification 2 3 7 8 4 4" xfId="20086"/>
    <cellStyle name="Vérification 2 3 7 8 4 4 2" xfId="34200"/>
    <cellStyle name="Vérification 2 3 7 8 4 5" xfId="12239"/>
    <cellStyle name="Vérification 2 3 7 8 4 6" xfId="28460"/>
    <cellStyle name="Vérification 2 3 7 8 5" xfId="6715"/>
    <cellStyle name="Vérification 2 3 7 8 5 2" xfId="9061"/>
    <cellStyle name="Vérification 2 3 7 8 5 2 2" xfId="25285"/>
    <cellStyle name="Vérification 2 3 7 8 5 2 2 2" xfId="37292"/>
    <cellStyle name="Vérification 2 3 7 8 5 2 3" xfId="15068"/>
    <cellStyle name="Vérification 2 3 7 8 5 2 4" xfId="31289"/>
    <cellStyle name="Vérification 2 3 7 8 5 3" xfId="22939"/>
    <cellStyle name="Vérification 2 3 7 8 5 3 2" xfId="34946"/>
    <cellStyle name="Vérification 2 3 7 8 5 4" xfId="12765"/>
    <cellStyle name="Vérification 2 3 7 8 5 5" xfId="28986"/>
    <cellStyle name="Vérification 2 3 7 8 6" xfId="6848"/>
    <cellStyle name="Vérification 2 3 7 8 6 2" xfId="23072"/>
    <cellStyle name="Vérification 2 3 7 8 6 2 2" xfId="35079"/>
    <cellStyle name="Vérification 2 3 7 8 6 3" xfId="11595"/>
    <cellStyle name="Vérification 2 3 7 8 6 4" xfId="27816"/>
    <cellStyle name="Vérification 2 3 7 8 7" xfId="18843"/>
    <cellStyle name="Vérification 2 3 7 8 7 2" xfId="32957"/>
    <cellStyle name="Vérification 2 3 7 8 8" xfId="10731"/>
    <cellStyle name="Vérification 2 3 7 8 9" xfId="26954"/>
    <cellStyle name="Vérification 2 3 7 9" xfId="2637"/>
    <cellStyle name="Vérification 2 3 7 9 2" xfId="6325"/>
    <cellStyle name="Vérification 2 3 7 9 2 2" xfId="8706"/>
    <cellStyle name="Vérification 2 3 7 9 2 2 2" xfId="24930"/>
    <cellStyle name="Vérification 2 3 7 9 2 2 2 2" xfId="36937"/>
    <cellStyle name="Vérification 2 3 7 9 2 2 3" xfId="14713"/>
    <cellStyle name="Vérification 2 3 7 9 2 2 4" xfId="30934"/>
    <cellStyle name="Vérification 2 3 7 9 2 3" xfId="10084"/>
    <cellStyle name="Vérification 2 3 7 9 2 3 2" xfId="26308"/>
    <cellStyle name="Vérification 2 3 7 9 2 3 2 2" xfId="38315"/>
    <cellStyle name="Vérification 2 3 7 9 2 3 3" xfId="16091"/>
    <cellStyle name="Vérification 2 3 7 9 2 3 4" xfId="32312"/>
    <cellStyle name="Vérification 2 3 7 9 2 4" xfId="22549"/>
    <cellStyle name="Vérification 2 3 7 9 2 4 2" xfId="34556"/>
    <cellStyle name="Vérification 2 3 7 9 2 5" xfId="12410"/>
    <cellStyle name="Vérification 2 3 7 9 2 6" xfId="28631"/>
    <cellStyle name="Vérification 2 3 7 9 3" xfId="7373"/>
    <cellStyle name="Vérification 2 3 7 9 3 2" xfId="9417"/>
    <cellStyle name="Vérification 2 3 7 9 3 2 2" xfId="25641"/>
    <cellStyle name="Vérification 2 3 7 9 3 2 2 2" xfId="37648"/>
    <cellStyle name="Vérification 2 3 7 9 3 2 3" xfId="15424"/>
    <cellStyle name="Vérification 2 3 7 9 3 2 4" xfId="31645"/>
    <cellStyle name="Vérification 2 3 7 9 3 3" xfId="23597"/>
    <cellStyle name="Vérification 2 3 7 9 3 3 2" xfId="35604"/>
    <cellStyle name="Vérification 2 3 7 9 3 4" xfId="13121"/>
    <cellStyle name="Vérification 2 3 7 9 3 5" xfId="29342"/>
    <cellStyle name="Vérification 2 3 7 9 4" xfId="7750"/>
    <cellStyle name="Vérification 2 3 7 9 4 2" xfId="23974"/>
    <cellStyle name="Vérification 2 3 7 9 4 2 2" xfId="35981"/>
    <cellStyle name="Vérification 2 3 7 9 4 3" xfId="13757"/>
    <cellStyle name="Vérification 2 3 7 9 4 4" xfId="29978"/>
    <cellStyle name="Vérification 2 3 7 9 5" xfId="18865"/>
    <cellStyle name="Vérification 2 3 7 9 5 2" xfId="32979"/>
    <cellStyle name="Vérification 2 3 7 9 6" xfId="11106"/>
    <cellStyle name="Vérification 2 3 7 9 7" xfId="27327"/>
    <cellStyle name="Vérification 2 3 8" xfId="284"/>
    <cellStyle name="Vérification 2 3 8 10" xfId="4023"/>
    <cellStyle name="Vérification 2 3 8 10 2" xfId="6763"/>
    <cellStyle name="Vérification 2 3 8 10 2 2" xfId="9086"/>
    <cellStyle name="Vérification 2 3 8 10 2 2 2" xfId="25310"/>
    <cellStyle name="Vérification 2 3 8 10 2 2 2 2" xfId="37317"/>
    <cellStyle name="Vérification 2 3 8 10 2 2 3" xfId="15093"/>
    <cellStyle name="Vérification 2 3 8 10 2 2 4" xfId="31314"/>
    <cellStyle name="Vérification 2 3 8 10 2 3" xfId="22987"/>
    <cellStyle name="Vérification 2 3 8 10 2 3 2" xfId="34994"/>
    <cellStyle name="Vérification 2 3 8 10 2 4" xfId="12790"/>
    <cellStyle name="Vérification 2 3 8 10 2 5" xfId="29011"/>
    <cellStyle name="Vérification 2 3 8 10 3" xfId="6946"/>
    <cellStyle name="Vérification 2 3 8 10 3 2" xfId="23170"/>
    <cellStyle name="Vérification 2 3 8 10 3 2 2" xfId="35177"/>
    <cellStyle name="Vérification 2 3 8 10 3 3" xfId="12350"/>
    <cellStyle name="Vérification 2 3 8 10 3 4" xfId="28571"/>
    <cellStyle name="Vérification 2 3 8 10 4" xfId="20250"/>
    <cellStyle name="Vérification 2 3 8 10 4 2" xfId="34225"/>
    <cellStyle name="Vérification 2 3 8 10 5" xfId="10765"/>
    <cellStyle name="Vérification 2 3 8 10 6" xfId="26988"/>
    <cellStyle name="Vérification 2 3 8 11" xfId="3027"/>
    <cellStyle name="Vérification 2 3 8 11 2" xfId="8107"/>
    <cellStyle name="Vérification 2 3 8 11 2 2" xfId="24331"/>
    <cellStyle name="Vérification 2 3 8 11 2 2 2" xfId="36338"/>
    <cellStyle name="Vérification 2 3 8 11 2 3" xfId="14114"/>
    <cellStyle name="Vérification 2 3 8 11 2 4" xfId="30335"/>
    <cellStyle name="Vérification 2 3 8 11 3" xfId="9753"/>
    <cellStyle name="Vérification 2 3 8 11 3 2" xfId="25977"/>
    <cellStyle name="Vérification 2 3 8 11 3 2 2" xfId="37984"/>
    <cellStyle name="Vérification 2 3 8 11 3 3" xfId="15760"/>
    <cellStyle name="Vérification 2 3 8 11 3 4" xfId="31981"/>
    <cellStyle name="Vérification 2 3 8 11 4" xfId="19255"/>
    <cellStyle name="Vérification 2 3 8 11 4 2" xfId="33369"/>
    <cellStyle name="Vérification 2 3 8 11 5" xfId="11662"/>
    <cellStyle name="Vérification 2 3 8 11 6" xfId="27883"/>
    <cellStyle name="Vérification 2 3 8 12" xfId="3730"/>
    <cellStyle name="Vérification 2 3 8 12 2" xfId="8605"/>
    <cellStyle name="Vérification 2 3 8 12 2 2" xfId="24829"/>
    <cellStyle name="Vérification 2 3 8 12 2 2 2" xfId="36836"/>
    <cellStyle name="Vérification 2 3 8 12 2 3" xfId="14612"/>
    <cellStyle name="Vérification 2 3 8 12 2 4" xfId="30833"/>
    <cellStyle name="Vérification 2 3 8 12 3" xfId="19958"/>
    <cellStyle name="Vérification 2 3 8 12 3 2" xfId="34072"/>
    <cellStyle name="Vérification 2 3 8 12 4" xfId="12160"/>
    <cellStyle name="Vérification 2 3 8 12 5" xfId="28381"/>
    <cellStyle name="Vérification 2 3 8 13" xfId="6795"/>
    <cellStyle name="Vérification 2 3 8 13 2" xfId="23019"/>
    <cellStyle name="Vérification 2 3 8 13 2 2" xfId="35026"/>
    <cellStyle name="Vérification 2 3 8 13 3" xfId="11502"/>
    <cellStyle name="Vérification 2 3 8 13 4" xfId="27723"/>
    <cellStyle name="Vérification 2 3 8 14" xfId="16566"/>
    <cellStyle name="Vérification 2 3 8 14 2" xfId="32648"/>
    <cellStyle name="Vérification 2 3 8 15" xfId="10420"/>
    <cellStyle name="Vérification 2 3 8 16" xfId="26645"/>
    <cellStyle name="Vérification 2 3 8 2" xfId="472"/>
    <cellStyle name="Vérification 2 3 8 2 10" xfId="10443"/>
    <cellStyle name="Vérification 2 3 8 2 11" xfId="26668"/>
    <cellStyle name="Vérification 2 3 8 2 2" xfId="1362"/>
    <cellStyle name="Vérification 2 3 8 2 2 2" xfId="2840"/>
    <cellStyle name="Vérification 2 3 8 2 2 2 2" xfId="6528"/>
    <cellStyle name="Vérification 2 3 8 2 2 2 2 2" xfId="8909"/>
    <cellStyle name="Vérification 2 3 8 2 2 2 2 2 2" xfId="25133"/>
    <cellStyle name="Vérification 2 3 8 2 2 2 2 2 2 2" xfId="37140"/>
    <cellStyle name="Vérification 2 3 8 2 2 2 2 2 3" xfId="14916"/>
    <cellStyle name="Vérification 2 3 8 2 2 2 2 2 4" xfId="31137"/>
    <cellStyle name="Vérification 2 3 8 2 2 2 2 3" xfId="10287"/>
    <cellStyle name="Vérification 2 3 8 2 2 2 2 3 2" xfId="26511"/>
    <cellStyle name="Vérification 2 3 8 2 2 2 2 3 2 2" xfId="38518"/>
    <cellStyle name="Vérification 2 3 8 2 2 2 2 3 3" xfId="16294"/>
    <cellStyle name="Vérification 2 3 8 2 2 2 2 3 4" xfId="32515"/>
    <cellStyle name="Vérification 2 3 8 2 2 2 2 4" xfId="22752"/>
    <cellStyle name="Vérification 2 3 8 2 2 2 2 4 2" xfId="34759"/>
    <cellStyle name="Vérification 2 3 8 2 2 2 2 5" xfId="12613"/>
    <cellStyle name="Vérification 2 3 8 2 2 2 2 6" xfId="28834"/>
    <cellStyle name="Vérification 2 3 8 2 2 2 3" xfId="7576"/>
    <cellStyle name="Vérification 2 3 8 2 2 2 3 2" xfId="9620"/>
    <cellStyle name="Vérification 2 3 8 2 2 2 3 2 2" xfId="25844"/>
    <cellStyle name="Vérification 2 3 8 2 2 2 3 2 2 2" xfId="37851"/>
    <cellStyle name="Vérification 2 3 8 2 2 2 3 2 3" xfId="15627"/>
    <cellStyle name="Vérification 2 3 8 2 2 2 3 2 4" xfId="31848"/>
    <cellStyle name="Vérification 2 3 8 2 2 2 3 3" xfId="23800"/>
    <cellStyle name="Vérification 2 3 8 2 2 2 3 3 2" xfId="35807"/>
    <cellStyle name="Vérification 2 3 8 2 2 2 3 4" xfId="13324"/>
    <cellStyle name="Vérification 2 3 8 2 2 2 3 5" xfId="29545"/>
    <cellStyle name="Vérification 2 3 8 2 2 2 4" xfId="7953"/>
    <cellStyle name="Vérification 2 3 8 2 2 2 4 2" xfId="24177"/>
    <cellStyle name="Vérification 2 3 8 2 2 2 4 2 2" xfId="36184"/>
    <cellStyle name="Vérification 2 3 8 2 2 2 4 3" xfId="13960"/>
    <cellStyle name="Vérification 2 3 8 2 2 2 4 4" xfId="30181"/>
    <cellStyle name="Vérification 2 3 8 2 2 2 5" xfId="19068"/>
    <cellStyle name="Vérification 2 3 8 2 2 2 5 2" xfId="33182"/>
    <cellStyle name="Vérification 2 3 8 2 2 2 6" xfId="11309"/>
    <cellStyle name="Vérification 2 3 8 2 2 2 7" xfId="27530"/>
    <cellStyle name="Vérification 2 3 8 2 2 3" xfId="5059"/>
    <cellStyle name="Vérification 2 3 8 2 2 3 2" xfId="7086"/>
    <cellStyle name="Vérification 2 3 8 2 2 3 2 2" xfId="9287"/>
    <cellStyle name="Vérification 2 3 8 2 2 3 2 2 2" xfId="25511"/>
    <cellStyle name="Vérification 2 3 8 2 2 3 2 2 2 2" xfId="37518"/>
    <cellStyle name="Vérification 2 3 8 2 2 3 2 2 3" xfId="15294"/>
    <cellStyle name="Vérification 2 3 8 2 2 3 2 2 4" xfId="31515"/>
    <cellStyle name="Vérification 2 3 8 2 2 3 2 3" xfId="23310"/>
    <cellStyle name="Vérification 2 3 8 2 2 3 2 3 2" xfId="35317"/>
    <cellStyle name="Vérification 2 3 8 2 2 3 2 4" xfId="12991"/>
    <cellStyle name="Vérification 2 3 8 2 2 3 2 5" xfId="29212"/>
    <cellStyle name="Vérification 2 3 8 2 2 3 3" xfId="7214"/>
    <cellStyle name="Vérification 2 3 8 2 2 3 3 2" xfId="23438"/>
    <cellStyle name="Vérification 2 3 8 2 2 3 3 2 2" xfId="35445"/>
    <cellStyle name="Vérification 2 3 8 2 2 3 3 3" xfId="13598"/>
    <cellStyle name="Vérification 2 3 8 2 2 3 3 4" xfId="29819"/>
    <cellStyle name="Vérification 2 3 8 2 2 3 4" xfId="21285"/>
    <cellStyle name="Vérification 2 3 8 2 2 3 4 2" xfId="34426"/>
    <cellStyle name="Vérification 2 3 8 2 2 3 5" xfId="10973"/>
    <cellStyle name="Vérification 2 3 8 2 2 3 6" xfId="27196"/>
    <cellStyle name="Vérification 2 3 8 2 2 4" xfId="3450"/>
    <cellStyle name="Vérification 2 3 8 2 2 4 2" xfId="8417"/>
    <cellStyle name="Vérification 2 3 8 2 2 4 2 2" xfId="24641"/>
    <cellStyle name="Vérification 2 3 8 2 2 4 2 2 2" xfId="36648"/>
    <cellStyle name="Vérification 2 3 8 2 2 4 2 3" xfId="14424"/>
    <cellStyle name="Vérification 2 3 8 2 2 4 2 4" xfId="30645"/>
    <cellStyle name="Vérification 2 3 8 2 2 4 3" xfId="9954"/>
    <cellStyle name="Vérification 2 3 8 2 2 4 3 2" xfId="26178"/>
    <cellStyle name="Vérification 2 3 8 2 2 4 3 2 2" xfId="38185"/>
    <cellStyle name="Vérification 2 3 8 2 2 4 3 3" xfId="15961"/>
    <cellStyle name="Vérification 2 3 8 2 2 4 3 4" xfId="32182"/>
    <cellStyle name="Vérification 2 3 8 2 2 4 4" xfId="19678"/>
    <cellStyle name="Vérification 2 3 8 2 2 4 4 2" xfId="33792"/>
    <cellStyle name="Vérification 2 3 8 2 2 4 5" xfId="11972"/>
    <cellStyle name="Vérification 2 3 8 2 2 4 6" xfId="28193"/>
    <cellStyle name="Vérification 2 3 8 2 2 5" xfId="3731"/>
    <cellStyle name="Vérification 2 3 8 2 2 5 2" xfId="8606"/>
    <cellStyle name="Vérification 2 3 8 2 2 5 2 2" xfId="24830"/>
    <cellStyle name="Vérification 2 3 8 2 2 5 2 2 2" xfId="36837"/>
    <cellStyle name="Vérification 2 3 8 2 2 5 2 3" xfId="14613"/>
    <cellStyle name="Vérification 2 3 8 2 2 5 2 4" xfId="30834"/>
    <cellStyle name="Vérification 2 3 8 2 2 5 3" xfId="19959"/>
    <cellStyle name="Vérification 2 3 8 2 2 5 3 2" xfId="34073"/>
    <cellStyle name="Vérification 2 3 8 2 2 5 4" xfId="12161"/>
    <cellStyle name="Vérification 2 3 8 2 2 5 5" xfId="28382"/>
    <cellStyle name="Vérification 2 3 8 2 2 6" xfId="3712"/>
    <cellStyle name="Vérification 2 3 8 2 2 6 2" xfId="19940"/>
    <cellStyle name="Vérification 2 3 8 2 2 6 2 2" xfId="34054"/>
    <cellStyle name="Vérification 2 3 8 2 2 6 3" xfId="11480"/>
    <cellStyle name="Vérification 2 3 8 2 2 6 4" xfId="27701"/>
    <cellStyle name="Vérification 2 3 8 2 2 7" xfId="17601"/>
    <cellStyle name="Vérification 2 3 8 2 2 7 2" xfId="32849"/>
    <cellStyle name="Vérification 2 3 8 2 2 8" xfId="10621"/>
    <cellStyle name="Vérification 2 3 8 2 2 9" xfId="26846"/>
    <cellStyle name="Vérification 2 3 8 2 3" xfId="1087"/>
    <cellStyle name="Vérification 2 3 8 2 3 2" xfId="2751"/>
    <cellStyle name="Vérification 2 3 8 2 3 2 2" xfId="6439"/>
    <cellStyle name="Vérification 2 3 8 2 3 2 2 2" xfId="8820"/>
    <cellStyle name="Vérification 2 3 8 2 3 2 2 2 2" xfId="25044"/>
    <cellStyle name="Vérification 2 3 8 2 3 2 2 2 2 2" xfId="37051"/>
    <cellStyle name="Vérification 2 3 8 2 3 2 2 2 3" xfId="14827"/>
    <cellStyle name="Vérification 2 3 8 2 3 2 2 2 4" xfId="31048"/>
    <cellStyle name="Vérification 2 3 8 2 3 2 2 3" xfId="10198"/>
    <cellStyle name="Vérification 2 3 8 2 3 2 2 3 2" xfId="26422"/>
    <cellStyle name="Vérification 2 3 8 2 3 2 2 3 2 2" xfId="38429"/>
    <cellStyle name="Vérification 2 3 8 2 3 2 2 3 3" xfId="16205"/>
    <cellStyle name="Vérification 2 3 8 2 3 2 2 3 4" xfId="32426"/>
    <cellStyle name="Vérification 2 3 8 2 3 2 2 4" xfId="22663"/>
    <cellStyle name="Vérification 2 3 8 2 3 2 2 4 2" xfId="34670"/>
    <cellStyle name="Vérification 2 3 8 2 3 2 2 5" xfId="12524"/>
    <cellStyle name="Vérification 2 3 8 2 3 2 2 6" xfId="28745"/>
    <cellStyle name="Vérification 2 3 8 2 3 2 3" xfId="7487"/>
    <cellStyle name="Vérification 2 3 8 2 3 2 3 2" xfId="9531"/>
    <cellStyle name="Vérification 2 3 8 2 3 2 3 2 2" xfId="25755"/>
    <cellStyle name="Vérification 2 3 8 2 3 2 3 2 2 2" xfId="37762"/>
    <cellStyle name="Vérification 2 3 8 2 3 2 3 2 3" xfId="15538"/>
    <cellStyle name="Vérification 2 3 8 2 3 2 3 2 4" xfId="31759"/>
    <cellStyle name="Vérification 2 3 8 2 3 2 3 3" xfId="23711"/>
    <cellStyle name="Vérification 2 3 8 2 3 2 3 3 2" xfId="35718"/>
    <cellStyle name="Vérification 2 3 8 2 3 2 3 4" xfId="13235"/>
    <cellStyle name="Vérification 2 3 8 2 3 2 3 5" xfId="29456"/>
    <cellStyle name="Vérification 2 3 8 2 3 2 4" xfId="7864"/>
    <cellStyle name="Vérification 2 3 8 2 3 2 4 2" xfId="24088"/>
    <cellStyle name="Vérification 2 3 8 2 3 2 4 2 2" xfId="36095"/>
    <cellStyle name="Vérification 2 3 8 2 3 2 4 3" xfId="13871"/>
    <cellStyle name="Vérification 2 3 8 2 3 2 4 4" xfId="30092"/>
    <cellStyle name="Vérification 2 3 8 2 3 2 5" xfId="18979"/>
    <cellStyle name="Vérification 2 3 8 2 3 2 5 2" xfId="33093"/>
    <cellStyle name="Vérification 2 3 8 2 3 2 6" xfId="11220"/>
    <cellStyle name="Vérification 2 3 8 2 3 2 7" xfId="27441"/>
    <cellStyle name="Vérification 2 3 8 2 3 3" xfId="4784"/>
    <cellStyle name="Vérification 2 3 8 2 3 3 2" xfId="6975"/>
    <cellStyle name="Vérification 2 3 8 2 3 3 2 2" xfId="9198"/>
    <cellStyle name="Vérification 2 3 8 2 3 3 2 2 2" xfId="25422"/>
    <cellStyle name="Vérification 2 3 8 2 3 3 2 2 2 2" xfId="37429"/>
    <cellStyle name="Vérification 2 3 8 2 3 3 2 2 3" xfId="15205"/>
    <cellStyle name="Vérification 2 3 8 2 3 3 2 2 4" xfId="31426"/>
    <cellStyle name="Vérification 2 3 8 2 3 3 2 3" xfId="23199"/>
    <cellStyle name="Vérification 2 3 8 2 3 3 2 3 2" xfId="35206"/>
    <cellStyle name="Vérification 2 3 8 2 3 3 2 4" xfId="12902"/>
    <cellStyle name="Vérification 2 3 8 2 3 3 2 5" xfId="29123"/>
    <cellStyle name="Vérification 2 3 8 2 3 3 3" xfId="3719"/>
    <cellStyle name="Vérification 2 3 8 2 3 3 3 2" xfId="19947"/>
    <cellStyle name="Vérification 2 3 8 2 3 3 3 2 2" xfId="34061"/>
    <cellStyle name="Vérification 2 3 8 2 3 3 3 3" xfId="12325"/>
    <cellStyle name="Vérification 2 3 8 2 3 3 3 4" xfId="28546"/>
    <cellStyle name="Vérification 2 3 8 2 3 3 4" xfId="21010"/>
    <cellStyle name="Vérification 2 3 8 2 3 3 4 2" xfId="34337"/>
    <cellStyle name="Vérification 2 3 8 2 3 3 5" xfId="10884"/>
    <cellStyle name="Vérification 2 3 8 2 3 3 6" xfId="27107"/>
    <cellStyle name="Vérification 2 3 8 2 3 4" xfId="3315"/>
    <cellStyle name="Vérification 2 3 8 2 3 4 2" xfId="8300"/>
    <cellStyle name="Vérification 2 3 8 2 3 4 2 2" xfId="24524"/>
    <cellStyle name="Vérification 2 3 8 2 3 4 2 2 2" xfId="36531"/>
    <cellStyle name="Vérification 2 3 8 2 3 4 2 3" xfId="14307"/>
    <cellStyle name="Vérification 2 3 8 2 3 4 2 4" xfId="30528"/>
    <cellStyle name="Vérification 2 3 8 2 3 4 3" xfId="9865"/>
    <cellStyle name="Vérification 2 3 8 2 3 4 3 2" xfId="26089"/>
    <cellStyle name="Vérification 2 3 8 2 3 4 3 2 2" xfId="38096"/>
    <cellStyle name="Vérification 2 3 8 2 3 4 3 3" xfId="15872"/>
    <cellStyle name="Vérification 2 3 8 2 3 4 3 4" xfId="32093"/>
    <cellStyle name="Vérification 2 3 8 2 3 4 4" xfId="19543"/>
    <cellStyle name="Vérification 2 3 8 2 3 4 4 2" xfId="33657"/>
    <cellStyle name="Vérification 2 3 8 2 3 4 5" xfId="11855"/>
    <cellStyle name="Vérification 2 3 8 2 3 4 6" xfId="28076"/>
    <cellStyle name="Vérification 2 3 8 2 3 5" xfId="3603"/>
    <cellStyle name="Vérification 2 3 8 2 3 5 2" xfId="8534"/>
    <cellStyle name="Vérification 2 3 8 2 3 5 2 2" xfId="24758"/>
    <cellStyle name="Vérification 2 3 8 2 3 5 2 2 2" xfId="36765"/>
    <cellStyle name="Vérification 2 3 8 2 3 5 2 3" xfId="14541"/>
    <cellStyle name="Vérification 2 3 8 2 3 5 2 4" xfId="30762"/>
    <cellStyle name="Vérification 2 3 8 2 3 5 3" xfId="19831"/>
    <cellStyle name="Vérification 2 3 8 2 3 5 3 2" xfId="33945"/>
    <cellStyle name="Vérification 2 3 8 2 3 5 4" xfId="12089"/>
    <cellStyle name="Vérification 2 3 8 2 3 5 5" xfId="28310"/>
    <cellStyle name="Vérification 2 3 8 2 3 6" xfId="3708"/>
    <cellStyle name="Vérification 2 3 8 2 3 6 2" xfId="19936"/>
    <cellStyle name="Vérification 2 3 8 2 3 6 2 2" xfId="34050"/>
    <cellStyle name="Vérification 2 3 8 2 3 6 3" xfId="12377"/>
    <cellStyle name="Vérification 2 3 8 2 3 6 4" xfId="28598"/>
    <cellStyle name="Vérification 2 3 8 2 3 7" xfId="17326"/>
    <cellStyle name="Vérification 2 3 8 2 3 7 2" xfId="32760"/>
    <cellStyle name="Vérification 2 3 8 2 3 8" xfId="10532"/>
    <cellStyle name="Vérification 2 3 8 2 3 9" xfId="26757"/>
    <cellStyle name="Vérification 2 3 8 2 4" xfId="2662"/>
    <cellStyle name="Vérification 2 3 8 2 4 2" xfId="6350"/>
    <cellStyle name="Vérification 2 3 8 2 4 2 2" xfId="8731"/>
    <cellStyle name="Vérification 2 3 8 2 4 2 2 2" xfId="24955"/>
    <cellStyle name="Vérification 2 3 8 2 4 2 2 2 2" xfId="36962"/>
    <cellStyle name="Vérification 2 3 8 2 4 2 2 3" xfId="14738"/>
    <cellStyle name="Vérification 2 3 8 2 4 2 2 4" xfId="30959"/>
    <cellStyle name="Vérification 2 3 8 2 4 2 3" xfId="10109"/>
    <cellStyle name="Vérification 2 3 8 2 4 2 3 2" xfId="26333"/>
    <cellStyle name="Vérification 2 3 8 2 4 2 3 2 2" xfId="38340"/>
    <cellStyle name="Vérification 2 3 8 2 4 2 3 3" xfId="16116"/>
    <cellStyle name="Vérification 2 3 8 2 4 2 3 4" xfId="32337"/>
    <cellStyle name="Vérification 2 3 8 2 4 2 4" xfId="22574"/>
    <cellStyle name="Vérification 2 3 8 2 4 2 4 2" xfId="34581"/>
    <cellStyle name="Vérification 2 3 8 2 4 2 5" xfId="12435"/>
    <cellStyle name="Vérification 2 3 8 2 4 2 6" xfId="28656"/>
    <cellStyle name="Vérification 2 3 8 2 4 3" xfId="7398"/>
    <cellStyle name="Vérification 2 3 8 2 4 3 2" xfId="9442"/>
    <cellStyle name="Vérification 2 3 8 2 4 3 2 2" xfId="25666"/>
    <cellStyle name="Vérification 2 3 8 2 4 3 2 2 2" xfId="37673"/>
    <cellStyle name="Vérification 2 3 8 2 4 3 2 3" xfId="15449"/>
    <cellStyle name="Vérification 2 3 8 2 4 3 2 4" xfId="31670"/>
    <cellStyle name="Vérification 2 3 8 2 4 3 3" xfId="23622"/>
    <cellStyle name="Vérification 2 3 8 2 4 3 3 2" xfId="35629"/>
    <cellStyle name="Vérification 2 3 8 2 4 3 4" xfId="13146"/>
    <cellStyle name="Vérification 2 3 8 2 4 3 5" xfId="29367"/>
    <cellStyle name="Vérification 2 3 8 2 4 4" xfId="7775"/>
    <cellStyle name="Vérification 2 3 8 2 4 4 2" xfId="23999"/>
    <cellStyle name="Vérification 2 3 8 2 4 4 2 2" xfId="36006"/>
    <cellStyle name="Vérification 2 3 8 2 4 4 3" xfId="13782"/>
    <cellStyle name="Vérification 2 3 8 2 4 4 4" xfId="30003"/>
    <cellStyle name="Vérification 2 3 8 2 4 5" xfId="18890"/>
    <cellStyle name="Vérification 2 3 8 2 4 5 2" xfId="33004"/>
    <cellStyle name="Vérification 2 3 8 2 4 6" xfId="11131"/>
    <cellStyle name="Vérification 2 3 8 2 4 7" xfId="27352"/>
    <cellStyle name="Vérification 2 3 8 2 5" xfId="4209"/>
    <cellStyle name="Vérification 2 3 8 2 5 2" xfId="6812"/>
    <cellStyle name="Vérification 2 3 8 2 5 2 2" xfId="9109"/>
    <cellStyle name="Vérification 2 3 8 2 5 2 2 2" xfId="25333"/>
    <cellStyle name="Vérification 2 3 8 2 5 2 2 2 2" xfId="37340"/>
    <cellStyle name="Vérification 2 3 8 2 5 2 2 3" xfId="15116"/>
    <cellStyle name="Vérification 2 3 8 2 5 2 2 4" xfId="31337"/>
    <cellStyle name="Vérification 2 3 8 2 5 2 3" xfId="23036"/>
    <cellStyle name="Vérification 2 3 8 2 5 2 3 2" xfId="35043"/>
    <cellStyle name="Vérification 2 3 8 2 5 2 4" xfId="12813"/>
    <cellStyle name="Vérification 2 3 8 2 5 2 5" xfId="29034"/>
    <cellStyle name="Vérification 2 3 8 2 5 3" xfId="7276"/>
    <cellStyle name="Vérification 2 3 8 2 5 3 2" xfId="23500"/>
    <cellStyle name="Vérification 2 3 8 2 5 3 2 2" xfId="35507"/>
    <cellStyle name="Vérification 2 3 8 2 5 3 3" xfId="13660"/>
    <cellStyle name="Vérification 2 3 8 2 5 3 4" xfId="29881"/>
    <cellStyle name="Vérification 2 3 8 2 5 4" xfId="20435"/>
    <cellStyle name="Vérification 2 3 8 2 5 4 2" xfId="34248"/>
    <cellStyle name="Vérification 2 3 8 2 5 5" xfId="10788"/>
    <cellStyle name="Vérification 2 3 8 2 5 6" xfId="27011"/>
    <cellStyle name="Vérification 2 3 8 2 6" xfId="3096"/>
    <cellStyle name="Vérification 2 3 8 2 6 2" xfId="8149"/>
    <cellStyle name="Vérification 2 3 8 2 6 2 2" xfId="24373"/>
    <cellStyle name="Vérification 2 3 8 2 6 2 2 2" xfId="36380"/>
    <cellStyle name="Vérification 2 3 8 2 6 2 3" xfId="14156"/>
    <cellStyle name="Vérification 2 3 8 2 6 2 4" xfId="30377"/>
    <cellStyle name="Vérification 2 3 8 2 6 3" xfId="9776"/>
    <cellStyle name="Vérification 2 3 8 2 6 3 2" xfId="26000"/>
    <cellStyle name="Vérification 2 3 8 2 6 3 2 2" xfId="38007"/>
    <cellStyle name="Vérification 2 3 8 2 6 3 3" xfId="15783"/>
    <cellStyle name="Vérification 2 3 8 2 6 3 4" xfId="32004"/>
    <cellStyle name="Vérification 2 3 8 2 6 4" xfId="19324"/>
    <cellStyle name="Vérification 2 3 8 2 6 4 2" xfId="33438"/>
    <cellStyle name="Vérification 2 3 8 2 6 5" xfId="11704"/>
    <cellStyle name="Vérification 2 3 8 2 6 6" xfId="27925"/>
    <cellStyle name="Vérification 2 3 8 2 7" xfId="3560"/>
    <cellStyle name="Vérification 2 3 8 2 7 2" xfId="8510"/>
    <cellStyle name="Vérification 2 3 8 2 7 2 2" xfId="24734"/>
    <cellStyle name="Vérification 2 3 8 2 7 2 2 2" xfId="36741"/>
    <cellStyle name="Vérification 2 3 8 2 7 2 3" xfId="14517"/>
    <cellStyle name="Vérification 2 3 8 2 7 2 4" xfId="30738"/>
    <cellStyle name="Vérification 2 3 8 2 7 3" xfId="19788"/>
    <cellStyle name="Vérification 2 3 8 2 7 3 2" xfId="33902"/>
    <cellStyle name="Vérification 2 3 8 2 7 4" xfId="12065"/>
    <cellStyle name="Vérification 2 3 8 2 7 5" xfId="28286"/>
    <cellStyle name="Vérification 2 3 8 2 8" xfId="7301"/>
    <cellStyle name="Vérification 2 3 8 2 8 2" xfId="23525"/>
    <cellStyle name="Vérification 2 3 8 2 8 2 2" xfId="35532"/>
    <cellStyle name="Vérification 2 3 8 2 8 3" xfId="13681"/>
    <cellStyle name="Vérification 2 3 8 2 8 4" xfId="29902"/>
    <cellStyle name="Vérification 2 3 8 2 9" xfId="16751"/>
    <cellStyle name="Vérification 2 3 8 2 9 2" xfId="32671"/>
    <cellStyle name="Vérification 2 3 8 3" xfId="517"/>
    <cellStyle name="Vérification 2 3 8 3 10" xfId="10464"/>
    <cellStyle name="Vérification 2 3 8 3 11" xfId="26689"/>
    <cellStyle name="Vérification 2 3 8 3 2" xfId="1383"/>
    <cellStyle name="Vérification 2 3 8 3 2 2" xfId="2861"/>
    <cellStyle name="Vérification 2 3 8 3 2 2 2" xfId="6549"/>
    <cellStyle name="Vérification 2 3 8 3 2 2 2 2" xfId="8930"/>
    <cellStyle name="Vérification 2 3 8 3 2 2 2 2 2" xfId="25154"/>
    <cellStyle name="Vérification 2 3 8 3 2 2 2 2 2 2" xfId="37161"/>
    <cellStyle name="Vérification 2 3 8 3 2 2 2 2 3" xfId="14937"/>
    <cellStyle name="Vérification 2 3 8 3 2 2 2 2 4" xfId="31158"/>
    <cellStyle name="Vérification 2 3 8 3 2 2 2 3" xfId="10308"/>
    <cellStyle name="Vérification 2 3 8 3 2 2 2 3 2" xfId="26532"/>
    <cellStyle name="Vérification 2 3 8 3 2 2 2 3 2 2" xfId="38539"/>
    <cellStyle name="Vérification 2 3 8 3 2 2 2 3 3" xfId="16315"/>
    <cellStyle name="Vérification 2 3 8 3 2 2 2 3 4" xfId="32536"/>
    <cellStyle name="Vérification 2 3 8 3 2 2 2 4" xfId="22773"/>
    <cellStyle name="Vérification 2 3 8 3 2 2 2 4 2" xfId="34780"/>
    <cellStyle name="Vérification 2 3 8 3 2 2 2 5" xfId="12634"/>
    <cellStyle name="Vérification 2 3 8 3 2 2 2 6" xfId="28855"/>
    <cellStyle name="Vérification 2 3 8 3 2 2 3" xfId="7597"/>
    <cellStyle name="Vérification 2 3 8 3 2 2 3 2" xfId="9641"/>
    <cellStyle name="Vérification 2 3 8 3 2 2 3 2 2" xfId="25865"/>
    <cellStyle name="Vérification 2 3 8 3 2 2 3 2 2 2" xfId="37872"/>
    <cellStyle name="Vérification 2 3 8 3 2 2 3 2 3" xfId="15648"/>
    <cellStyle name="Vérification 2 3 8 3 2 2 3 2 4" xfId="31869"/>
    <cellStyle name="Vérification 2 3 8 3 2 2 3 3" xfId="23821"/>
    <cellStyle name="Vérification 2 3 8 3 2 2 3 3 2" xfId="35828"/>
    <cellStyle name="Vérification 2 3 8 3 2 2 3 4" xfId="13345"/>
    <cellStyle name="Vérification 2 3 8 3 2 2 3 5" xfId="29566"/>
    <cellStyle name="Vérification 2 3 8 3 2 2 4" xfId="7974"/>
    <cellStyle name="Vérification 2 3 8 3 2 2 4 2" xfId="24198"/>
    <cellStyle name="Vérification 2 3 8 3 2 2 4 2 2" xfId="36205"/>
    <cellStyle name="Vérification 2 3 8 3 2 2 4 3" xfId="13981"/>
    <cellStyle name="Vérification 2 3 8 3 2 2 4 4" xfId="30202"/>
    <cellStyle name="Vérification 2 3 8 3 2 2 5" xfId="19089"/>
    <cellStyle name="Vérification 2 3 8 3 2 2 5 2" xfId="33203"/>
    <cellStyle name="Vérification 2 3 8 3 2 2 6" xfId="11330"/>
    <cellStyle name="Vérification 2 3 8 3 2 2 7" xfId="27551"/>
    <cellStyle name="Vérification 2 3 8 3 2 3" xfId="5080"/>
    <cellStyle name="Vérification 2 3 8 3 2 3 2" xfId="7107"/>
    <cellStyle name="Vérification 2 3 8 3 2 3 2 2" xfId="9308"/>
    <cellStyle name="Vérification 2 3 8 3 2 3 2 2 2" xfId="25532"/>
    <cellStyle name="Vérification 2 3 8 3 2 3 2 2 2 2" xfId="37539"/>
    <cellStyle name="Vérification 2 3 8 3 2 3 2 2 3" xfId="15315"/>
    <cellStyle name="Vérification 2 3 8 3 2 3 2 2 4" xfId="31536"/>
    <cellStyle name="Vérification 2 3 8 3 2 3 2 3" xfId="23331"/>
    <cellStyle name="Vérification 2 3 8 3 2 3 2 3 2" xfId="35338"/>
    <cellStyle name="Vérification 2 3 8 3 2 3 2 4" xfId="13012"/>
    <cellStyle name="Vérification 2 3 8 3 2 3 2 5" xfId="29233"/>
    <cellStyle name="Vérification 2 3 8 3 2 3 3" xfId="6920"/>
    <cellStyle name="Vérification 2 3 8 3 2 3 3 2" xfId="23144"/>
    <cellStyle name="Vérification 2 3 8 3 2 3 3 2 2" xfId="35151"/>
    <cellStyle name="Vérification 2 3 8 3 2 3 3 3" xfId="12247"/>
    <cellStyle name="Vérification 2 3 8 3 2 3 3 4" xfId="28468"/>
    <cellStyle name="Vérification 2 3 8 3 2 3 4" xfId="21306"/>
    <cellStyle name="Vérification 2 3 8 3 2 3 4 2" xfId="34447"/>
    <cellStyle name="Vérification 2 3 8 3 2 3 5" xfId="10994"/>
    <cellStyle name="Vérification 2 3 8 3 2 3 6" xfId="27217"/>
    <cellStyle name="Vérification 2 3 8 3 2 4" xfId="3471"/>
    <cellStyle name="Vérification 2 3 8 3 2 4 2" xfId="8438"/>
    <cellStyle name="Vérification 2 3 8 3 2 4 2 2" xfId="24662"/>
    <cellStyle name="Vérification 2 3 8 3 2 4 2 2 2" xfId="36669"/>
    <cellStyle name="Vérification 2 3 8 3 2 4 2 3" xfId="14445"/>
    <cellStyle name="Vérification 2 3 8 3 2 4 2 4" xfId="30666"/>
    <cellStyle name="Vérification 2 3 8 3 2 4 3" xfId="9975"/>
    <cellStyle name="Vérification 2 3 8 3 2 4 3 2" xfId="26199"/>
    <cellStyle name="Vérification 2 3 8 3 2 4 3 2 2" xfId="38206"/>
    <cellStyle name="Vérification 2 3 8 3 2 4 3 3" xfId="15982"/>
    <cellStyle name="Vérification 2 3 8 3 2 4 3 4" xfId="32203"/>
    <cellStyle name="Vérification 2 3 8 3 2 4 4" xfId="19699"/>
    <cellStyle name="Vérification 2 3 8 3 2 4 4 2" xfId="33813"/>
    <cellStyle name="Vérification 2 3 8 3 2 4 5" xfId="11993"/>
    <cellStyle name="Vérification 2 3 8 3 2 4 6" xfId="28214"/>
    <cellStyle name="Vérification 2 3 8 3 2 5" xfId="3540"/>
    <cellStyle name="Vérification 2 3 8 3 2 5 2" xfId="8500"/>
    <cellStyle name="Vérification 2 3 8 3 2 5 2 2" xfId="24724"/>
    <cellStyle name="Vérification 2 3 8 3 2 5 2 2 2" xfId="36731"/>
    <cellStyle name="Vérification 2 3 8 3 2 5 2 3" xfId="14507"/>
    <cellStyle name="Vérification 2 3 8 3 2 5 2 4" xfId="30728"/>
    <cellStyle name="Vérification 2 3 8 3 2 5 3" xfId="19768"/>
    <cellStyle name="Vérification 2 3 8 3 2 5 3 2" xfId="33882"/>
    <cellStyle name="Vérification 2 3 8 3 2 5 4" xfId="12055"/>
    <cellStyle name="Vérification 2 3 8 3 2 5 5" xfId="28276"/>
    <cellStyle name="Vérification 2 3 8 3 2 6" xfId="3752"/>
    <cellStyle name="Vérification 2 3 8 3 2 6 2" xfId="19980"/>
    <cellStyle name="Vérification 2 3 8 3 2 6 2 2" xfId="34094"/>
    <cellStyle name="Vérification 2 3 8 3 2 6 3" xfId="13460"/>
    <cellStyle name="Vérification 2 3 8 3 2 6 4" xfId="29681"/>
    <cellStyle name="Vérification 2 3 8 3 2 7" xfId="17622"/>
    <cellStyle name="Vérification 2 3 8 3 2 7 2" xfId="32870"/>
    <cellStyle name="Vérification 2 3 8 3 2 8" xfId="10642"/>
    <cellStyle name="Vérification 2 3 8 3 2 9" xfId="26867"/>
    <cellStyle name="Vérification 2 3 8 3 3" xfId="1132"/>
    <cellStyle name="Vérification 2 3 8 3 3 2" xfId="2772"/>
    <cellStyle name="Vérification 2 3 8 3 3 2 2" xfId="6460"/>
    <cellStyle name="Vérification 2 3 8 3 3 2 2 2" xfId="8841"/>
    <cellStyle name="Vérification 2 3 8 3 3 2 2 2 2" xfId="25065"/>
    <cellStyle name="Vérification 2 3 8 3 3 2 2 2 2 2" xfId="37072"/>
    <cellStyle name="Vérification 2 3 8 3 3 2 2 2 3" xfId="14848"/>
    <cellStyle name="Vérification 2 3 8 3 3 2 2 2 4" xfId="31069"/>
    <cellStyle name="Vérification 2 3 8 3 3 2 2 3" xfId="10219"/>
    <cellStyle name="Vérification 2 3 8 3 3 2 2 3 2" xfId="26443"/>
    <cellStyle name="Vérification 2 3 8 3 3 2 2 3 2 2" xfId="38450"/>
    <cellStyle name="Vérification 2 3 8 3 3 2 2 3 3" xfId="16226"/>
    <cellStyle name="Vérification 2 3 8 3 3 2 2 3 4" xfId="32447"/>
    <cellStyle name="Vérification 2 3 8 3 3 2 2 4" xfId="22684"/>
    <cellStyle name="Vérification 2 3 8 3 3 2 2 4 2" xfId="34691"/>
    <cellStyle name="Vérification 2 3 8 3 3 2 2 5" xfId="12545"/>
    <cellStyle name="Vérification 2 3 8 3 3 2 2 6" xfId="28766"/>
    <cellStyle name="Vérification 2 3 8 3 3 2 3" xfId="7508"/>
    <cellStyle name="Vérification 2 3 8 3 3 2 3 2" xfId="9552"/>
    <cellStyle name="Vérification 2 3 8 3 3 2 3 2 2" xfId="25776"/>
    <cellStyle name="Vérification 2 3 8 3 3 2 3 2 2 2" xfId="37783"/>
    <cellStyle name="Vérification 2 3 8 3 3 2 3 2 3" xfId="15559"/>
    <cellStyle name="Vérification 2 3 8 3 3 2 3 2 4" xfId="31780"/>
    <cellStyle name="Vérification 2 3 8 3 3 2 3 3" xfId="23732"/>
    <cellStyle name="Vérification 2 3 8 3 3 2 3 3 2" xfId="35739"/>
    <cellStyle name="Vérification 2 3 8 3 3 2 3 4" xfId="13256"/>
    <cellStyle name="Vérification 2 3 8 3 3 2 3 5" xfId="29477"/>
    <cellStyle name="Vérification 2 3 8 3 3 2 4" xfId="7885"/>
    <cellStyle name="Vérification 2 3 8 3 3 2 4 2" xfId="24109"/>
    <cellStyle name="Vérification 2 3 8 3 3 2 4 2 2" xfId="36116"/>
    <cellStyle name="Vérification 2 3 8 3 3 2 4 3" xfId="13892"/>
    <cellStyle name="Vérification 2 3 8 3 3 2 4 4" xfId="30113"/>
    <cellStyle name="Vérification 2 3 8 3 3 2 5" xfId="19000"/>
    <cellStyle name="Vérification 2 3 8 3 3 2 5 2" xfId="33114"/>
    <cellStyle name="Vérification 2 3 8 3 3 2 6" xfId="11241"/>
    <cellStyle name="Vérification 2 3 8 3 3 2 7" xfId="27462"/>
    <cellStyle name="Vérification 2 3 8 3 3 3" xfId="4829"/>
    <cellStyle name="Vérification 2 3 8 3 3 3 2" xfId="6999"/>
    <cellStyle name="Vérification 2 3 8 3 3 3 2 2" xfId="9219"/>
    <cellStyle name="Vérification 2 3 8 3 3 3 2 2 2" xfId="25443"/>
    <cellStyle name="Vérification 2 3 8 3 3 3 2 2 2 2" xfId="37450"/>
    <cellStyle name="Vérification 2 3 8 3 3 3 2 2 3" xfId="15226"/>
    <cellStyle name="Vérification 2 3 8 3 3 3 2 2 4" xfId="31447"/>
    <cellStyle name="Vérification 2 3 8 3 3 3 2 3" xfId="23223"/>
    <cellStyle name="Vérification 2 3 8 3 3 3 2 3 2" xfId="35230"/>
    <cellStyle name="Vérification 2 3 8 3 3 3 2 4" xfId="12923"/>
    <cellStyle name="Vérification 2 3 8 3 3 3 2 5" xfId="29144"/>
    <cellStyle name="Vérification 2 3 8 3 3 3 3" xfId="3761"/>
    <cellStyle name="Vérification 2 3 8 3 3 3 3 2" xfId="19989"/>
    <cellStyle name="Vérification 2 3 8 3 3 3 3 2 2" xfId="34103"/>
    <cellStyle name="Vérification 2 3 8 3 3 3 3 3" xfId="12299"/>
    <cellStyle name="Vérification 2 3 8 3 3 3 3 4" xfId="28520"/>
    <cellStyle name="Vérification 2 3 8 3 3 3 4" xfId="21055"/>
    <cellStyle name="Vérification 2 3 8 3 3 3 4 2" xfId="34358"/>
    <cellStyle name="Vérification 2 3 8 3 3 3 5" xfId="10905"/>
    <cellStyle name="Vérification 2 3 8 3 3 3 6" xfId="27128"/>
    <cellStyle name="Vérification 2 3 8 3 3 4" xfId="3343"/>
    <cellStyle name="Vérification 2 3 8 3 3 4 2" xfId="8326"/>
    <cellStyle name="Vérification 2 3 8 3 3 4 2 2" xfId="24550"/>
    <cellStyle name="Vérification 2 3 8 3 3 4 2 2 2" xfId="36557"/>
    <cellStyle name="Vérification 2 3 8 3 3 4 2 3" xfId="14333"/>
    <cellStyle name="Vérification 2 3 8 3 3 4 2 4" xfId="30554"/>
    <cellStyle name="Vérification 2 3 8 3 3 4 3" xfId="9886"/>
    <cellStyle name="Vérification 2 3 8 3 3 4 3 2" xfId="26110"/>
    <cellStyle name="Vérification 2 3 8 3 3 4 3 2 2" xfId="38117"/>
    <cellStyle name="Vérification 2 3 8 3 3 4 3 3" xfId="15893"/>
    <cellStyle name="Vérification 2 3 8 3 3 4 3 4" xfId="32114"/>
    <cellStyle name="Vérification 2 3 8 3 3 4 4" xfId="19571"/>
    <cellStyle name="Vérification 2 3 8 3 3 4 4 2" xfId="33685"/>
    <cellStyle name="Vérification 2 3 8 3 3 4 5" xfId="11881"/>
    <cellStyle name="Vérification 2 3 8 3 3 4 6" xfId="28102"/>
    <cellStyle name="Vérification 2 3 8 3 3 5" xfId="3764"/>
    <cellStyle name="Vérification 2 3 8 3 3 5 2" xfId="8618"/>
    <cellStyle name="Vérification 2 3 8 3 3 5 2 2" xfId="24842"/>
    <cellStyle name="Vérification 2 3 8 3 3 5 2 2 2" xfId="36849"/>
    <cellStyle name="Vérification 2 3 8 3 3 5 2 3" xfId="14625"/>
    <cellStyle name="Vérification 2 3 8 3 3 5 2 4" xfId="30846"/>
    <cellStyle name="Vérification 2 3 8 3 3 5 3" xfId="19992"/>
    <cellStyle name="Vérification 2 3 8 3 3 5 3 2" xfId="34106"/>
    <cellStyle name="Vérification 2 3 8 3 3 5 4" xfId="12173"/>
    <cellStyle name="Vérification 2 3 8 3 3 5 5" xfId="28394"/>
    <cellStyle name="Vérification 2 3 8 3 3 6" xfId="3314"/>
    <cellStyle name="Vérification 2 3 8 3 3 6 2" xfId="19542"/>
    <cellStyle name="Vérification 2 3 8 3 3 6 2 2" xfId="33656"/>
    <cellStyle name="Vérification 2 3 8 3 3 6 3" xfId="12287"/>
    <cellStyle name="Vérification 2 3 8 3 3 6 4" xfId="28508"/>
    <cellStyle name="Vérification 2 3 8 3 3 7" xfId="17371"/>
    <cellStyle name="Vérification 2 3 8 3 3 7 2" xfId="32781"/>
    <cellStyle name="Vérification 2 3 8 3 3 8" xfId="10553"/>
    <cellStyle name="Vérification 2 3 8 3 3 9" xfId="26778"/>
    <cellStyle name="Vérification 2 3 8 3 4" xfId="2683"/>
    <cellStyle name="Vérification 2 3 8 3 4 2" xfId="6371"/>
    <cellStyle name="Vérification 2 3 8 3 4 2 2" xfId="8752"/>
    <cellStyle name="Vérification 2 3 8 3 4 2 2 2" xfId="24976"/>
    <cellStyle name="Vérification 2 3 8 3 4 2 2 2 2" xfId="36983"/>
    <cellStyle name="Vérification 2 3 8 3 4 2 2 3" xfId="14759"/>
    <cellStyle name="Vérification 2 3 8 3 4 2 2 4" xfId="30980"/>
    <cellStyle name="Vérification 2 3 8 3 4 2 3" xfId="10130"/>
    <cellStyle name="Vérification 2 3 8 3 4 2 3 2" xfId="26354"/>
    <cellStyle name="Vérification 2 3 8 3 4 2 3 2 2" xfId="38361"/>
    <cellStyle name="Vérification 2 3 8 3 4 2 3 3" xfId="16137"/>
    <cellStyle name="Vérification 2 3 8 3 4 2 3 4" xfId="32358"/>
    <cellStyle name="Vérification 2 3 8 3 4 2 4" xfId="22595"/>
    <cellStyle name="Vérification 2 3 8 3 4 2 4 2" xfId="34602"/>
    <cellStyle name="Vérification 2 3 8 3 4 2 5" xfId="12456"/>
    <cellStyle name="Vérification 2 3 8 3 4 2 6" xfId="28677"/>
    <cellStyle name="Vérification 2 3 8 3 4 3" xfId="7419"/>
    <cellStyle name="Vérification 2 3 8 3 4 3 2" xfId="9463"/>
    <cellStyle name="Vérification 2 3 8 3 4 3 2 2" xfId="25687"/>
    <cellStyle name="Vérification 2 3 8 3 4 3 2 2 2" xfId="37694"/>
    <cellStyle name="Vérification 2 3 8 3 4 3 2 3" xfId="15470"/>
    <cellStyle name="Vérification 2 3 8 3 4 3 2 4" xfId="31691"/>
    <cellStyle name="Vérification 2 3 8 3 4 3 3" xfId="23643"/>
    <cellStyle name="Vérification 2 3 8 3 4 3 3 2" xfId="35650"/>
    <cellStyle name="Vérification 2 3 8 3 4 3 4" xfId="13167"/>
    <cellStyle name="Vérification 2 3 8 3 4 3 5" xfId="29388"/>
    <cellStyle name="Vérification 2 3 8 3 4 4" xfId="7796"/>
    <cellStyle name="Vérification 2 3 8 3 4 4 2" xfId="24020"/>
    <cellStyle name="Vérification 2 3 8 3 4 4 2 2" xfId="36027"/>
    <cellStyle name="Vérification 2 3 8 3 4 4 3" xfId="13803"/>
    <cellStyle name="Vérification 2 3 8 3 4 4 4" xfId="30024"/>
    <cellStyle name="Vérification 2 3 8 3 4 5" xfId="18911"/>
    <cellStyle name="Vérification 2 3 8 3 4 5 2" xfId="33025"/>
    <cellStyle name="Vérification 2 3 8 3 4 6" xfId="11152"/>
    <cellStyle name="Vérification 2 3 8 3 4 7" xfId="27373"/>
    <cellStyle name="Vérification 2 3 8 3 5" xfId="4254"/>
    <cellStyle name="Vérification 2 3 8 3 5 2" xfId="6834"/>
    <cellStyle name="Vérification 2 3 8 3 5 2 2" xfId="9130"/>
    <cellStyle name="Vérification 2 3 8 3 5 2 2 2" xfId="25354"/>
    <cellStyle name="Vérification 2 3 8 3 5 2 2 2 2" xfId="37361"/>
    <cellStyle name="Vérification 2 3 8 3 5 2 2 3" xfId="15137"/>
    <cellStyle name="Vérification 2 3 8 3 5 2 2 4" xfId="31358"/>
    <cellStyle name="Vérification 2 3 8 3 5 2 3" xfId="23058"/>
    <cellStyle name="Vérification 2 3 8 3 5 2 3 2" xfId="35065"/>
    <cellStyle name="Vérification 2 3 8 3 5 2 4" xfId="12834"/>
    <cellStyle name="Vérification 2 3 8 3 5 2 5" xfId="29055"/>
    <cellStyle name="Vérification 2 3 8 3 5 3" xfId="3047"/>
    <cellStyle name="Vérification 2 3 8 3 5 3 2" xfId="19275"/>
    <cellStyle name="Vérification 2 3 8 3 5 3 2 2" xfId="33389"/>
    <cellStyle name="Vérification 2 3 8 3 5 3 3" xfId="11478"/>
    <cellStyle name="Vérification 2 3 8 3 5 3 4" xfId="27699"/>
    <cellStyle name="Vérification 2 3 8 3 5 4" xfId="20480"/>
    <cellStyle name="Vérification 2 3 8 3 5 4 2" xfId="34269"/>
    <cellStyle name="Vérification 2 3 8 3 5 5" xfId="10809"/>
    <cellStyle name="Vérification 2 3 8 3 5 6" xfId="27032"/>
    <cellStyle name="Vérification 2 3 8 3 6" xfId="3122"/>
    <cellStyle name="Vérification 2 3 8 3 6 2" xfId="8174"/>
    <cellStyle name="Vérification 2 3 8 3 6 2 2" xfId="24398"/>
    <cellStyle name="Vérification 2 3 8 3 6 2 2 2" xfId="36405"/>
    <cellStyle name="Vérification 2 3 8 3 6 2 3" xfId="14181"/>
    <cellStyle name="Vérification 2 3 8 3 6 2 4" xfId="30402"/>
    <cellStyle name="Vérification 2 3 8 3 6 3" xfId="9797"/>
    <cellStyle name="Vérification 2 3 8 3 6 3 2" xfId="26021"/>
    <cellStyle name="Vérification 2 3 8 3 6 3 2 2" xfId="38028"/>
    <cellStyle name="Vérification 2 3 8 3 6 3 3" xfId="15804"/>
    <cellStyle name="Vérification 2 3 8 3 6 3 4" xfId="32025"/>
    <cellStyle name="Vérification 2 3 8 3 6 4" xfId="19350"/>
    <cellStyle name="Vérification 2 3 8 3 6 4 2" xfId="33464"/>
    <cellStyle name="Vérification 2 3 8 3 6 5" xfId="11729"/>
    <cellStyle name="Vérification 2 3 8 3 6 6" xfId="27950"/>
    <cellStyle name="Vérification 2 3 8 3 7" xfId="3630"/>
    <cellStyle name="Vérification 2 3 8 3 7 2" xfId="8548"/>
    <cellStyle name="Vérification 2 3 8 3 7 2 2" xfId="24772"/>
    <cellStyle name="Vérification 2 3 8 3 7 2 2 2" xfId="36779"/>
    <cellStyle name="Vérification 2 3 8 3 7 2 3" xfId="14555"/>
    <cellStyle name="Vérification 2 3 8 3 7 2 4" xfId="30776"/>
    <cellStyle name="Vérification 2 3 8 3 7 3" xfId="19858"/>
    <cellStyle name="Vérification 2 3 8 3 7 3 2" xfId="33972"/>
    <cellStyle name="Vérification 2 3 8 3 7 4" xfId="12103"/>
    <cellStyle name="Vérification 2 3 8 3 7 5" xfId="28324"/>
    <cellStyle name="Vérification 2 3 8 3 8" xfId="3296"/>
    <cellStyle name="Vérification 2 3 8 3 8 2" xfId="19524"/>
    <cellStyle name="Vérification 2 3 8 3 8 2 2" xfId="33638"/>
    <cellStyle name="Vérification 2 3 8 3 8 3" xfId="13466"/>
    <cellStyle name="Vérification 2 3 8 3 8 4" xfId="29687"/>
    <cellStyle name="Vérification 2 3 8 3 9" xfId="16796"/>
    <cellStyle name="Vérification 2 3 8 3 9 2" xfId="32692"/>
    <cellStyle name="Vérification 2 3 8 4" xfId="714"/>
    <cellStyle name="Vérification 2 3 8 4 10" xfId="10487"/>
    <cellStyle name="Vérification 2 3 8 4 11" xfId="26712"/>
    <cellStyle name="Vérification 2 3 8 4 2" xfId="1406"/>
    <cellStyle name="Vérification 2 3 8 4 2 2" xfId="2884"/>
    <cellStyle name="Vérification 2 3 8 4 2 2 2" xfId="6572"/>
    <cellStyle name="Vérification 2 3 8 4 2 2 2 2" xfId="8953"/>
    <cellStyle name="Vérification 2 3 8 4 2 2 2 2 2" xfId="25177"/>
    <cellStyle name="Vérification 2 3 8 4 2 2 2 2 2 2" xfId="37184"/>
    <cellStyle name="Vérification 2 3 8 4 2 2 2 2 3" xfId="14960"/>
    <cellStyle name="Vérification 2 3 8 4 2 2 2 2 4" xfId="31181"/>
    <cellStyle name="Vérification 2 3 8 4 2 2 2 3" xfId="10331"/>
    <cellStyle name="Vérification 2 3 8 4 2 2 2 3 2" xfId="26555"/>
    <cellStyle name="Vérification 2 3 8 4 2 2 2 3 2 2" xfId="38562"/>
    <cellStyle name="Vérification 2 3 8 4 2 2 2 3 3" xfId="16338"/>
    <cellStyle name="Vérification 2 3 8 4 2 2 2 3 4" xfId="32559"/>
    <cellStyle name="Vérification 2 3 8 4 2 2 2 4" xfId="22796"/>
    <cellStyle name="Vérification 2 3 8 4 2 2 2 4 2" xfId="34803"/>
    <cellStyle name="Vérification 2 3 8 4 2 2 2 5" xfId="12657"/>
    <cellStyle name="Vérification 2 3 8 4 2 2 2 6" xfId="28878"/>
    <cellStyle name="Vérification 2 3 8 4 2 2 3" xfId="7620"/>
    <cellStyle name="Vérification 2 3 8 4 2 2 3 2" xfId="9664"/>
    <cellStyle name="Vérification 2 3 8 4 2 2 3 2 2" xfId="25888"/>
    <cellStyle name="Vérification 2 3 8 4 2 2 3 2 2 2" xfId="37895"/>
    <cellStyle name="Vérification 2 3 8 4 2 2 3 2 3" xfId="15671"/>
    <cellStyle name="Vérification 2 3 8 4 2 2 3 2 4" xfId="31892"/>
    <cellStyle name="Vérification 2 3 8 4 2 2 3 3" xfId="23844"/>
    <cellStyle name="Vérification 2 3 8 4 2 2 3 3 2" xfId="35851"/>
    <cellStyle name="Vérification 2 3 8 4 2 2 3 4" xfId="13368"/>
    <cellStyle name="Vérification 2 3 8 4 2 2 3 5" xfId="29589"/>
    <cellStyle name="Vérification 2 3 8 4 2 2 4" xfId="7997"/>
    <cellStyle name="Vérification 2 3 8 4 2 2 4 2" xfId="24221"/>
    <cellStyle name="Vérification 2 3 8 4 2 2 4 2 2" xfId="36228"/>
    <cellStyle name="Vérification 2 3 8 4 2 2 4 3" xfId="14004"/>
    <cellStyle name="Vérification 2 3 8 4 2 2 4 4" xfId="30225"/>
    <cellStyle name="Vérification 2 3 8 4 2 2 5" xfId="19112"/>
    <cellStyle name="Vérification 2 3 8 4 2 2 5 2" xfId="33226"/>
    <cellStyle name="Vérification 2 3 8 4 2 2 6" xfId="11353"/>
    <cellStyle name="Vérification 2 3 8 4 2 2 7" xfId="27574"/>
    <cellStyle name="Vérification 2 3 8 4 2 3" xfId="5103"/>
    <cellStyle name="Vérification 2 3 8 4 2 3 2" xfId="7130"/>
    <cellStyle name="Vérification 2 3 8 4 2 3 2 2" xfId="9331"/>
    <cellStyle name="Vérification 2 3 8 4 2 3 2 2 2" xfId="25555"/>
    <cellStyle name="Vérification 2 3 8 4 2 3 2 2 2 2" xfId="37562"/>
    <cellStyle name="Vérification 2 3 8 4 2 3 2 2 3" xfId="15338"/>
    <cellStyle name="Vérification 2 3 8 4 2 3 2 2 4" xfId="31559"/>
    <cellStyle name="Vérification 2 3 8 4 2 3 2 3" xfId="23354"/>
    <cellStyle name="Vérification 2 3 8 4 2 3 2 3 2" xfId="35361"/>
    <cellStyle name="Vérification 2 3 8 4 2 3 2 4" xfId="13035"/>
    <cellStyle name="Vérification 2 3 8 4 2 3 2 5" xfId="29256"/>
    <cellStyle name="Vérification 2 3 8 4 2 3 3" xfId="6667"/>
    <cellStyle name="Vérification 2 3 8 4 2 3 3 2" xfId="22891"/>
    <cellStyle name="Vérification 2 3 8 4 2 3 3 2 2" xfId="34898"/>
    <cellStyle name="Vérification 2 3 8 4 2 3 3 3" xfId="11615"/>
    <cellStyle name="Vérification 2 3 8 4 2 3 3 4" xfId="27836"/>
    <cellStyle name="Vérification 2 3 8 4 2 3 4" xfId="21329"/>
    <cellStyle name="Vérification 2 3 8 4 2 3 4 2" xfId="34470"/>
    <cellStyle name="Vérification 2 3 8 4 2 3 5" xfId="11017"/>
    <cellStyle name="Vérification 2 3 8 4 2 3 6" xfId="27240"/>
    <cellStyle name="Vérification 2 3 8 4 2 4" xfId="3494"/>
    <cellStyle name="Vérification 2 3 8 4 2 4 2" xfId="8461"/>
    <cellStyle name="Vérification 2 3 8 4 2 4 2 2" xfId="24685"/>
    <cellStyle name="Vérification 2 3 8 4 2 4 2 2 2" xfId="36692"/>
    <cellStyle name="Vérification 2 3 8 4 2 4 2 3" xfId="14468"/>
    <cellStyle name="Vérification 2 3 8 4 2 4 2 4" xfId="30689"/>
    <cellStyle name="Vérification 2 3 8 4 2 4 3" xfId="9998"/>
    <cellStyle name="Vérification 2 3 8 4 2 4 3 2" xfId="26222"/>
    <cellStyle name="Vérification 2 3 8 4 2 4 3 2 2" xfId="38229"/>
    <cellStyle name="Vérification 2 3 8 4 2 4 3 3" xfId="16005"/>
    <cellStyle name="Vérification 2 3 8 4 2 4 3 4" xfId="32226"/>
    <cellStyle name="Vérification 2 3 8 4 2 4 4" xfId="19722"/>
    <cellStyle name="Vérification 2 3 8 4 2 4 4 2" xfId="33836"/>
    <cellStyle name="Vérification 2 3 8 4 2 4 5" xfId="12016"/>
    <cellStyle name="Vérification 2 3 8 4 2 4 6" xfId="28237"/>
    <cellStyle name="Vérification 2 3 8 4 2 5" xfId="3083"/>
    <cellStyle name="Vérification 2 3 8 4 2 5 2" xfId="8142"/>
    <cellStyle name="Vérification 2 3 8 4 2 5 2 2" xfId="24366"/>
    <cellStyle name="Vérification 2 3 8 4 2 5 2 2 2" xfId="36373"/>
    <cellStyle name="Vérification 2 3 8 4 2 5 2 3" xfId="14149"/>
    <cellStyle name="Vérification 2 3 8 4 2 5 2 4" xfId="30370"/>
    <cellStyle name="Vérification 2 3 8 4 2 5 3" xfId="19311"/>
    <cellStyle name="Vérification 2 3 8 4 2 5 3 2" xfId="33425"/>
    <cellStyle name="Vérification 2 3 8 4 2 5 4" xfId="11697"/>
    <cellStyle name="Vérification 2 3 8 4 2 5 5" xfId="27918"/>
    <cellStyle name="Vérification 2 3 8 4 2 6" xfId="3655"/>
    <cellStyle name="Vérification 2 3 8 4 2 6 2" xfId="19883"/>
    <cellStyle name="Vérification 2 3 8 4 2 6 2 2" xfId="33997"/>
    <cellStyle name="Vérification 2 3 8 4 2 6 3" xfId="12285"/>
    <cellStyle name="Vérification 2 3 8 4 2 6 4" xfId="28506"/>
    <cellStyle name="Vérification 2 3 8 4 2 7" xfId="17645"/>
    <cellStyle name="Vérification 2 3 8 4 2 7 2" xfId="32893"/>
    <cellStyle name="Vérification 2 3 8 4 2 8" xfId="10665"/>
    <cellStyle name="Vérification 2 3 8 4 2 9" xfId="26890"/>
    <cellStyle name="Vérification 2 3 8 4 3" xfId="1293"/>
    <cellStyle name="Vérification 2 3 8 4 3 2" xfId="2795"/>
    <cellStyle name="Vérification 2 3 8 4 3 2 2" xfId="6483"/>
    <cellStyle name="Vérification 2 3 8 4 3 2 2 2" xfId="8864"/>
    <cellStyle name="Vérification 2 3 8 4 3 2 2 2 2" xfId="25088"/>
    <cellStyle name="Vérification 2 3 8 4 3 2 2 2 2 2" xfId="37095"/>
    <cellStyle name="Vérification 2 3 8 4 3 2 2 2 3" xfId="14871"/>
    <cellStyle name="Vérification 2 3 8 4 3 2 2 2 4" xfId="31092"/>
    <cellStyle name="Vérification 2 3 8 4 3 2 2 3" xfId="10242"/>
    <cellStyle name="Vérification 2 3 8 4 3 2 2 3 2" xfId="26466"/>
    <cellStyle name="Vérification 2 3 8 4 3 2 2 3 2 2" xfId="38473"/>
    <cellStyle name="Vérification 2 3 8 4 3 2 2 3 3" xfId="16249"/>
    <cellStyle name="Vérification 2 3 8 4 3 2 2 3 4" xfId="32470"/>
    <cellStyle name="Vérification 2 3 8 4 3 2 2 4" xfId="22707"/>
    <cellStyle name="Vérification 2 3 8 4 3 2 2 4 2" xfId="34714"/>
    <cellStyle name="Vérification 2 3 8 4 3 2 2 5" xfId="12568"/>
    <cellStyle name="Vérification 2 3 8 4 3 2 2 6" xfId="28789"/>
    <cellStyle name="Vérification 2 3 8 4 3 2 3" xfId="7531"/>
    <cellStyle name="Vérification 2 3 8 4 3 2 3 2" xfId="9575"/>
    <cellStyle name="Vérification 2 3 8 4 3 2 3 2 2" xfId="25799"/>
    <cellStyle name="Vérification 2 3 8 4 3 2 3 2 2 2" xfId="37806"/>
    <cellStyle name="Vérification 2 3 8 4 3 2 3 2 3" xfId="15582"/>
    <cellStyle name="Vérification 2 3 8 4 3 2 3 2 4" xfId="31803"/>
    <cellStyle name="Vérification 2 3 8 4 3 2 3 3" xfId="23755"/>
    <cellStyle name="Vérification 2 3 8 4 3 2 3 3 2" xfId="35762"/>
    <cellStyle name="Vérification 2 3 8 4 3 2 3 4" xfId="13279"/>
    <cellStyle name="Vérification 2 3 8 4 3 2 3 5" xfId="29500"/>
    <cellStyle name="Vérification 2 3 8 4 3 2 4" xfId="7908"/>
    <cellStyle name="Vérification 2 3 8 4 3 2 4 2" xfId="24132"/>
    <cellStyle name="Vérification 2 3 8 4 3 2 4 2 2" xfId="36139"/>
    <cellStyle name="Vérification 2 3 8 4 3 2 4 3" xfId="13915"/>
    <cellStyle name="Vérification 2 3 8 4 3 2 4 4" xfId="30136"/>
    <cellStyle name="Vérification 2 3 8 4 3 2 5" xfId="19023"/>
    <cellStyle name="Vérification 2 3 8 4 3 2 5 2" xfId="33137"/>
    <cellStyle name="Vérification 2 3 8 4 3 2 6" xfId="11264"/>
    <cellStyle name="Vérification 2 3 8 4 3 2 7" xfId="27485"/>
    <cellStyle name="Vérification 2 3 8 4 3 3" xfId="4990"/>
    <cellStyle name="Vérification 2 3 8 4 3 3 2" xfId="7038"/>
    <cellStyle name="Vérification 2 3 8 4 3 3 2 2" xfId="9242"/>
    <cellStyle name="Vérification 2 3 8 4 3 3 2 2 2" xfId="25466"/>
    <cellStyle name="Vérification 2 3 8 4 3 3 2 2 2 2" xfId="37473"/>
    <cellStyle name="Vérification 2 3 8 4 3 3 2 2 3" xfId="15249"/>
    <cellStyle name="Vérification 2 3 8 4 3 3 2 2 4" xfId="31470"/>
    <cellStyle name="Vérification 2 3 8 4 3 3 2 3" xfId="23262"/>
    <cellStyle name="Vérification 2 3 8 4 3 3 2 3 2" xfId="35269"/>
    <cellStyle name="Vérification 2 3 8 4 3 3 2 4" xfId="12946"/>
    <cellStyle name="Vérification 2 3 8 4 3 3 2 5" xfId="29167"/>
    <cellStyle name="Vérification 2 3 8 4 3 3 3" xfId="3171"/>
    <cellStyle name="Vérification 2 3 8 4 3 3 3 2" xfId="19399"/>
    <cellStyle name="Vérification 2 3 8 4 3 3 3 2 2" xfId="33513"/>
    <cellStyle name="Vérification 2 3 8 4 3 3 3 3" xfId="12318"/>
    <cellStyle name="Vérification 2 3 8 4 3 3 3 4" xfId="28539"/>
    <cellStyle name="Vérification 2 3 8 4 3 3 4" xfId="21216"/>
    <cellStyle name="Vérification 2 3 8 4 3 3 4 2" xfId="34381"/>
    <cellStyle name="Vérification 2 3 8 4 3 3 5" xfId="10928"/>
    <cellStyle name="Vérification 2 3 8 4 3 3 6" xfId="27151"/>
    <cellStyle name="Vérification 2 3 8 4 3 4" xfId="3400"/>
    <cellStyle name="Vérification 2 3 8 4 3 4 2" xfId="8369"/>
    <cellStyle name="Vérification 2 3 8 4 3 4 2 2" xfId="24593"/>
    <cellStyle name="Vérification 2 3 8 4 3 4 2 2 2" xfId="36600"/>
    <cellStyle name="Vérification 2 3 8 4 3 4 2 3" xfId="14376"/>
    <cellStyle name="Vérification 2 3 8 4 3 4 2 4" xfId="30597"/>
    <cellStyle name="Vérification 2 3 8 4 3 4 3" xfId="9909"/>
    <cellStyle name="Vérification 2 3 8 4 3 4 3 2" xfId="26133"/>
    <cellStyle name="Vérification 2 3 8 4 3 4 3 2 2" xfId="38140"/>
    <cellStyle name="Vérification 2 3 8 4 3 4 3 3" xfId="15916"/>
    <cellStyle name="Vérification 2 3 8 4 3 4 3 4" xfId="32137"/>
    <cellStyle name="Vérification 2 3 8 4 3 4 4" xfId="19628"/>
    <cellStyle name="Vérification 2 3 8 4 3 4 4 2" xfId="33742"/>
    <cellStyle name="Vérification 2 3 8 4 3 4 5" xfId="11924"/>
    <cellStyle name="Vérification 2 3 8 4 3 4 6" xfId="28145"/>
    <cellStyle name="Vérification 2 3 8 4 3 5" xfId="3673"/>
    <cellStyle name="Vérification 2 3 8 4 3 5 2" xfId="8568"/>
    <cellStyle name="Vérification 2 3 8 4 3 5 2 2" xfId="24792"/>
    <cellStyle name="Vérification 2 3 8 4 3 5 2 2 2" xfId="36799"/>
    <cellStyle name="Vérification 2 3 8 4 3 5 2 3" xfId="14575"/>
    <cellStyle name="Vérification 2 3 8 4 3 5 2 4" xfId="30796"/>
    <cellStyle name="Vérification 2 3 8 4 3 5 3" xfId="19901"/>
    <cellStyle name="Vérification 2 3 8 4 3 5 3 2" xfId="34015"/>
    <cellStyle name="Vérification 2 3 8 4 3 5 4" xfId="12123"/>
    <cellStyle name="Vérification 2 3 8 4 3 5 5" xfId="28344"/>
    <cellStyle name="Vérification 2 3 8 4 3 6" xfId="7288"/>
    <cellStyle name="Vérification 2 3 8 4 3 6 2" xfId="23512"/>
    <cellStyle name="Vérification 2 3 8 4 3 6 2 2" xfId="35519"/>
    <cellStyle name="Vérification 2 3 8 4 3 6 3" xfId="13672"/>
    <cellStyle name="Vérification 2 3 8 4 3 6 4" xfId="29893"/>
    <cellStyle name="Vérification 2 3 8 4 3 7" xfId="17532"/>
    <cellStyle name="Vérification 2 3 8 4 3 7 2" xfId="32804"/>
    <cellStyle name="Vérification 2 3 8 4 3 8" xfId="10576"/>
    <cellStyle name="Vérification 2 3 8 4 3 9" xfId="26801"/>
    <cellStyle name="Vérification 2 3 8 4 4" xfId="2706"/>
    <cellStyle name="Vérification 2 3 8 4 4 2" xfId="6394"/>
    <cellStyle name="Vérification 2 3 8 4 4 2 2" xfId="8775"/>
    <cellStyle name="Vérification 2 3 8 4 4 2 2 2" xfId="24999"/>
    <cellStyle name="Vérification 2 3 8 4 4 2 2 2 2" xfId="37006"/>
    <cellStyle name="Vérification 2 3 8 4 4 2 2 3" xfId="14782"/>
    <cellStyle name="Vérification 2 3 8 4 4 2 2 4" xfId="31003"/>
    <cellStyle name="Vérification 2 3 8 4 4 2 3" xfId="10153"/>
    <cellStyle name="Vérification 2 3 8 4 4 2 3 2" xfId="26377"/>
    <cellStyle name="Vérification 2 3 8 4 4 2 3 2 2" xfId="38384"/>
    <cellStyle name="Vérification 2 3 8 4 4 2 3 3" xfId="16160"/>
    <cellStyle name="Vérification 2 3 8 4 4 2 3 4" xfId="32381"/>
    <cellStyle name="Vérification 2 3 8 4 4 2 4" xfId="22618"/>
    <cellStyle name="Vérification 2 3 8 4 4 2 4 2" xfId="34625"/>
    <cellStyle name="Vérification 2 3 8 4 4 2 5" xfId="12479"/>
    <cellStyle name="Vérification 2 3 8 4 4 2 6" xfId="28700"/>
    <cellStyle name="Vérification 2 3 8 4 4 3" xfId="7442"/>
    <cellStyle name="Vérification 2 3 8 4 4 3 2" xfId="9486"/>
    <cellStyle name="Vérification 2 3 8 4 4 3 2 2" xfId="25710"/>
    <cellStyle name="Vérification 2 3 8 4 4 3 2 2 2" xfId="37717"/>
    <cellStyle name="Vérification 2 3 8 4 4 3 2 3" xfId="15493"/>
    <cellStyle name="Vérification 2 3 8 4 4 3 2 4" xfId="31714"/>
    <cellStyle name="Vérification 2 3 8 4 4 3 3" xfId="23666"/>
    <cellStyle name="Vérification 2 3 8 4 4 3 3 2" xfId="35673"/>
    <cellStyle name="Vérification 2 3 8 4 4 3 4" xfId="13190"/>
    <cellStyle name="Vérification 2 3 8 4 4 3 5" xfId="29411"/>
    <cellStyle name="Vérification 2 3 8 4 4 4" xfId="7819"/>
    <cellStyle name="Vérification 2 3 8 4 4 4 2" xfId="24043"/>
    <cellStyle name="Vérification 2 3 8 4 4 4 2 2" xfId="36050"/>
    <cellStyle name="Vérification 2 3 8 4 4 4 3" xfId="13826"/>
    <cellStyle name="Vérification 2 3 8 4 4 4 4" xfId="30047"/>
    <cellStyle name="Vérification 2 3 8 4 4 5" xfId="18934"/>
    <cellStyle name="Vérification 2 3 8 4 4 5 2" xfId="33048"/>
    <cellStyle name="Vérification 2 3 8 4 4 6" xfId="11175"/>
    <cellStyle name="Vérification 2 3 8 4 4 7" xfId="27396"/>
    <cellStyle name="Vérification 2 3 8 4 5" xfId="4415"/>
    <cellStyle name="Vérification 2 3 8 4 5 2" xfId="6883"/>
    <cellStyle name="Vérification 2 3 8 4 5 2 2" xfId="9153"/>
    <cellStyle name="Vérification 2 3 8 4 5 2 2 2" xfId="25377"/>
    <cellStyle name="Vérification 2 3 8 4 5 2 2 2 2" xfId="37384"/>
    <cellStyle name="Vérification 2 3 8 4 5 2 2 3" xfId="15160"/>
    <cellStyle name="Vérification 2 3 8 4 5 2 2 4" xfId="31381"/>
    <cellStyle name="Vérification 2 3 8 4 5 2 3" xfId="23107"/>
    <cellStyle name="Vérification 2 3 8 4 5 2 3 2" xfId="35114"/>
    <cellStyle name="Vérification 2 3 8 4 5 2 4" xfId="12857"/>
    <cellStyle name="Vérification 2 3 8 4 5 2 5" xfId="29078"/>
    <cellStyle name="Vérification 2 3 8 4 5 3" xfId="6936"/>
    <cellStyle name="Vérification 2 3 8 4 5 3 2" xfId="23160"/>
    <cellStyle name="Vérification 2 3 8 4 5 3 2 2" xfId="35167"/>
    <cellStyle name="Vérification 2 3 8 4 5 3 3" xfId="11510"/>
    <cellStyle name="Vérification 2 3 8 4 5 3 4" xfId="27731"/>
    <cellStyle name="Vérification 2 3 8 4 5 4" xfId="20641"/>
    <cellStyle name="Vérification 2 3 8 4 5 4 2" xfId="34292"/>
    <cellStyle name="Vérification 2 3 8 4 5 5" xfId="10838"/>
    <cellStyle name="Vérification 2 3 8 4 5 6" xfId="27061"/>
    <cellStyle name="Vérification 2 3 8 4 6" xfId="3190"/>
    <cellStyle name="Vérification 2 3 8 4 6 2" xfId="8212"/>
    <cellStyle name="Vérification 2 3 8 4 6 2 2" xfId="24436"/>
    <cellStyle name="Vérification 2 3 8 4 6 2 2 2" xfId="36443"/>
    <cellStyle name="Vérification 2 3 8 4 6 2 3" xfId="14219"/>
    <cellStyle name="Vérification 2 3 8 4 6 2 4" xfId="30440"/>
    <cellStyle name="Vérification 2 3 8 4 6 3" xfId="9820"/>
    <cellStyle name="Vérification 2 3 8 4 6 3 2" xfId="26044"/>
    <cellStyle name="Vérification 2 3 8 4 6 3 2 2" xfId="38051"/>
    <cellStyle name="Vérification 2 3 8 4 6 3 3" xfId="15827"/>
    <cellStyle name="Vérification 2 3 8 4 6 3 4" xfId="32048"/>
    <cellStyle name="Vérification 2 3 8 4 6 4" xfId="19418"/>
    <cellStyle name="Vérification 2 3 8 4 6 4 2" xfId="33532"/>
    <cellStyle name="Vérification 2 3 8 4 6 5" xfId="11767"/>
    <cellStyle name="Vérification 2 3 8 4 6 6" xfId="27988"/>
    <cellStyle name="Vérification 2 3 8 4 7" xfId="3574"/>
    <cellStyle name="Vérification 2 3 8 4 7 2" xfId="8517"/>
    <cellStyle name="Vérification 2 3 8 4 7 2 2" xfId="24741"/>
    <cellStyle name="Vérification 2 3 8 4 7 2 2 2" xfId="36748"/>
    <cellStyle name="Vérification 2 3 8 4 7 2 3" xfId="14524"/>
    <cellStyle name="Vérification 2 3 8 4 7 2 4" xfId="30745"/>
    <cellStyle name="Vérification 2 3 8 4 7 3" xfId="19802"/>
    <cellStyle name="Vérification 2 3 8 4 7 3 2" xfId="33916"/>
    <cellStyle name="Vérification 2 3 8 4 7 4" xfId="12072"/>
    <cellStyle name="Vérification 2 3 8 4 7 5" xfId="28293"/>
    <cellStyle name="Vérification 2 3 8 4 8" xfId="6766"/>
    <cellStyle name="Vérification 2 3 8 4 8 2" xfId="22990"/>
    <cellStyle name="Vérification 2 3 8 4 8 2 2" xfId="34997"/>
    <cellStyle name="Vérification 2 3 8 4 8 3" xfId="12352"/>
    <cellStyle name="Vérification 2 3 8 4 8 4" xfId="28573"/>
    <cellStyle name="Vérification 2 3 8 4 9" xfId="16957"/>
    <cellStyle name="Vérification 2 3 8 4 9 2" xfId="32715"/>
    <cellStyle name="Vérification 2 3 8 5" xfId="760"/>
    <cellStyle name="Vérification 2 3 8 5 10" xfId="26734"/>
    <cellStyle name="Vérification 2 3 8 5 2" xfId="1428"/>
    <cellStyle name="Vérification 2 3 8 5 2 2" xfId="2906"/>
    <cellStyle name="Vérification 2 3 8 5 2 2 2" xfId="6594"/>
    <cellStyle name="Vérification 2 3 8 5 2 2 2 2" xfId="8975"/>
    <cellStyle name="Vérification 2 3 8 5 2 2 2 2 2" xfId="25199"/>
    <cellStyle name="Vérification 2 3 8 5 2 2 2 2 2 2" xfId="37206"/>
    <cellStyle name="Vérification 2 3 8 5 2 2 2 2 3" xfId="14982"/>
    <cellStyle name="Vérification 2 3 8 5 2 2 2 2 4" xfId="31203"/>
    <cellStyle name="Vérification 2 3 8 5 2 2 2 3" xfId="10353"/>
    <cellStyle name="Vérification 2 3 8 5 2 2 2 3 2" xfId="26577"/>
    <cellStyle name="Vérification 2 3 8 5 2 2 2 3 2 2" xfId="38584"/>
    <cellStyle name="Vérification 2 3 8 5 2 2 2 3 3" xfId="16360"/>
    <cellStyle name="Vérification 2 3 8 5 2 2 2 3 4" xfId="32581"/>
    <cellStyle name="Vérification 2 3 8 5 2 2 2 4" xfId="22818"/>
    <cellStyle name="Vérification 2 3 8 5 2 2 2 4 2" xfId="34825"/>
    <cellStyle name="Vérification 2 3 8 5 2 2 2 5" xfId="12679"/>
    <cellStyle name="Vérification 2 3 8 5 2 2 2 6" xfId="28900"/>
    <cellStyle name="Vérification 2 3 8 5 2 2 3" xfId="7642"/>
    <cellStyle name="Vérification 2 3 8 5 2 2 3 2" xfId="9686"/>
    <cellStyle name="Vérification 2 3 8 5 2 2 3 2 2" xfId="25910"/>
    <cellStyle name="Vérification 2 3 8 5 2 2 3 2 2 2" xfId="37917"/>
    <cellStyle name="Vérification 2 3 8 5 2 2 3 2 3" xfId="15693"/>
    <cellStyle name="Vérification 2 3 8 5 2 2 3 2 4" xfId="31914"/>
    <cellStyle name="Vérification 2 3 8 5 2 2 3 3" xfId="23866"/>
    <cellStyle name="Vérification 2 3 8 5 2 2 3 3 2" xfId="35873"/>
    <cellStyle name="Vérification 2 3 8 5 2 2 3 4" xfId="13390"/>
    <cellStyle name="Vérification 2 3 8 5 2 2 3 5" xfId="29611"/>
    <cellStyle name="Vérification 2 3 8 5 2 2 4" xfId="8019"/>
    <cellStyle name="Vérification 2 3 8 5 2 2 4 2" xfId="24243"/>
    <cellStyle name="Vérification 2 3 8 5 2 2 4 2 2" xfId="36250"/>
    <cellStyle name="Vérification 2 3 8 5 2 2 4 3" xfId="14026"/>
    <cellStyle name="Vérification 2 3 8 5 2 2 4 4" xfId="30247"/>
    <cellStyle name="Vérification 2 3 8 5 2 2 5" xfId="19134"/>
    <cellStyle name="Vérification 2 3 8 5 2 2 5 2" xfId="33248"/>
    <cellStyle name="Vérification 2 3 8 5 2 2 6" xfId="11375"/>
    <cellStyle name="Vérification 2 3 8 5 2 2 7" xfId="27596"/>
    <cellStyle name="Vérification 2 3 8 5 2 3" xfId="5125"/>
    <cellStyle name="Vérification 2 3 8 5 2 3 2" xfId="7152"/>
    <cellStyle name="Vérification 2 3 8 5 2 3 2 2" xfId="9353"/>
    <cellStyle name="Vérification 2 3 8 5 2 3 2 2 2" xfId="25577"/>
    <cellStyle name="Vérification 2 3 8 5 2 3 2 2 2 2" xfId="37584"/>
    <cellStyle name="Vérification 2 3 8 5 2 3 2 2 3" xfId="15360"/>
    <cellStyle name="Vérification 2 3 8 5 2 3 2 2 4" xfId="31581"/>
    <cellStyle name="Vérification 2 3 8 5 2 3 2 3" xfId="23376"/>
    <cellStyle name="Vérification 2 3 8 5 2 3 2 3 2" xfId="35383"/>
    <cellStyle name="Vérification 2 3 8 5 2 3 2 4" xfId="13057"/>
    <cellStyle name="Vérification 2 3 8 5 2 3 2 5" xfId="29278"/>
    <cellStyle name="Vérification 2 3 8 5 2 3 3" xfId="6696"/>
    <cellStyle name="Vérification 2 3 8 5 2 3 3 2" xfId="22920"/>
    <cellStyle name="Vérification 2 3 8 5 2 3 3 2 2" xfId="34927"/>
    <cellStyle name="Vérification 2 3 8 5 2 3 3 3" xfId="12366"/>
    <cellStyle name="Vérification 2 3 8 5 2 3 3 4" xfId="28587"/>
    <cellStyle name="Vérification 2 3 8 5 2 3 4" xfId="21351"/>
    <cellStyle name="Vérification 2 3 8 5 2 3 4 2" xfId="34492"/>
    <cellStyle name="Vérification 2 3 8 5 2 3 5" xfId="11039"/>
    <cellStyle name="Vérification 2 3 8 5 2 3 6" xfId="27262"/>
    <cellStyle name="Vérification 2 3 8 5 2 4" xfId="3516"/>
    <cellStyle name="Vérification 2 3 8 5 2 4 2" xfId="8483"/>
    <cellStyle name="Vérification 2 3 8 5 2 4 2 2" xfId="24707"/>
    <cellStyle name="Vérification 2 3 8 5 2 4 2 2 2" xfId="36714"/>
    <cellStyle name="Vérification 2 3 8 5 2 4 2 3" xfId="14490"/>
    <cellStyle name="Vérification 2 3 8 5 2 4 2 4" xfId="30711"/>
    <cellStyle name="Vérification 2 3 8 5 2 4 3" xfId="10020"/>
    <cellStyle name="Vérification 2 3 8 5 2 4 3 2" xfId="26244"/>
    <cellStyle name="Vérification 2 3 8 5 2 4 3 2 2" xfId="38251"/>
    <cellStyle name="Vérification 2 3 8 5 2 4 3 3" xfId="16027"/>
    <cellStyle name="Vérification 2 3 8 5 2 4 3 4" xfId="32248"/>
    <cellStyle name="Vérification 2 3 8 5 2 4 4" xfId="19744"/>
    <cellStyle name="Vérification 2 3 8 5 2 4 4 2" xfId="33858"/>
    <cellStyle name="Vérification 2 3 8 5 2 4 5" xfId="12038"/>
    <cellStyle name="Vérification 2 3 8 5 2 4 6" xfId="28259"/>
    <cellStyle name="Vérification 2 3 8 5 2 5" xfId="3145"/>
    <cellStyle name="Vérification 2 3 8 5 2 5 2" xfId="8189"/>
    <cellStyle name="Vérification 2 3 8 5 2 5 2 2" xfId="24413"/>
    <cellStyle name="Vérification 2 3 8 5 2 5 2 2 2" xfId="36420"/>
    <cellStyle name="Vérification 2 3 8 5 2 5 2 3" xfId="14196"/>
    <cellStyle name="Vérification 2 3 8 5 2 5 2 4" xfId="30417"/>
    <cellStyle name="Vérification 2 3 8 5 2 5 3" xfId="19373"/>
    <cellStyle name="Vérification 2 3 8 5 2 5 3 2" xfId="33487"/>
    <cellStyle name="Vérification 2 3 8 5 2 5 4" xfId="11744"/>
    <cellStyle name="Vérification 2 3 8 5 2 5 5" xfId="27965"/>
    <cellStyle name="Vérification 2 3 8 5 2 6" xfId="3320"/>
    <cellStyle name="Vérification 2 3 8 5 2 6 2" xfId="19548"/>
    <cellStyle name="Vérification 2 3 8 5 2 6 2 2" xfId="33662"/>
    <cellStyle name="Vérification 2 3 8 5 2 6 3" xfId="12272"/>
    <cellStyle name="Vérification 2 3 8 5 2 6 4" xfId="28493"/>
    <cellStyle name="Vérification 2 3 8 5 2 7" xfId="17667"/>
    <cellStyle name="Vérification 2 3 8 5 2 7 2" xfId="32915"/>
    <cellStyle name="Vérification 2 3 8 5 2 8" xfId="10687"/>
    <cellStyle name="Vérification 2 3 8 5 2 9" xfId="26912"/>
    <cellStyle name="Vérification 2 3 8 5 3" xfId="2728"/>
    <cellStyle name="Vérification 2 3 8 5 3 2" xfId="6416"/>
    <cellStyle name="Vérification 2 3 8 5 3 2 2" xfId="8797"/>
    <cellStyle name="Vérification 2 3 8 5 3 2 2 2" xfId="25021"/>
    <cellStyle name="Vérification 2 3 8 5 3 2 2 2 2" xfId="37028"/>
    <cellStyle name="Vérification 2 3 8 5 3 2 2 3" xfId="14804"/>
    <cellStyle name="Vérification 2 3 8 5 3 2 2 4" xfId="31025"/>
    <cellStyle name="Vérification 2 3 8 5 3 2 3" xfId="10175"/>
    <cellStyle name="Vérification 2 3 8 5 3 2 3 2" xfId="26399"/>
    <cellStyle name="Vérification 2 3 8 5 3 2 3 2 2" xfId="38406"/>
    <cellStyle name="Vérification 2 3 8 5 3 2 3 3" xfId="16182"/>
    <cellStyle name="Vérification 2 3 8 5 3 2 3 4" xfId="32403"/>
    <cellStyle name="Vérification 2 3 8 5 3 2 4" xfId="22640"/>
    <cellStyle name="Vérification 2 3 8 5 3 2 4 2" xfId="34647"/>
    <cellStyle name="Vérification 2 3 8 5 3 2 5" xfId="12501"/>
    <cellStyle name="Vérification 2 3 8 5 3 2 6" xfId="28722"/>
    <cellStyle name="Vérification 2 3 8 5 3 3" xfId="7464"/>
    <cellStyle name="Vérification 2 3 8 5 3 3 2" xfId="9508"/>
    <cellStyle name="Vérification 2 3 8 5 3 3 2 2" xfId="25732"/>
    <cellStyle name="Vérification 2 3 8 5 3 3 2 2 2" xfId="37739"/>
    <cellStyle name="Vérification 2 3 8 5 3 3 2 3" xfId="15515"/>
    <cellStyle name="Vérification 2 3 8 5 3 3 2 4" xfId="31736"/>
    <cellStyle name="Vérification 2 3 8 5 3 3 3" xfId="23688"/>
    <cellStyle name="Vérification 2 3 8 5 3 3 3 2" xfId="35695"/>
    <cellStyle name="Vérification 2 3 8 5 3 3 4" xfId="13212"/>
    <cellStyle name="Vérification 2 3 8 5 3 3 5" xfId="29433"/>
    <cellStyle name="Vérification 2 3 8 5 3 4" xfId="7841"/>
    <cellStyle name="Vérification 2 3 8 5 3 4 2" xfId="24065"/>
    <cellStyle name="Vérification 2 3 8 5 3 4 2 2" xfId="36072"/>
    <cellStyle name="Vérification 2 3 8 5 3 4 3" xfId="13848"/>
    <cellStyle name="Vérification 2 3 8 5 3 4 4" xfId="30069"/>
    <cellStyle name="Vérification 2 3 8 5 3 5" xfId="18956"/>
    <cellStyle name="Vérification 2 3 8 5 3 5 2" xfId="33070"/>
    <cellStyle name="Vérification 2 3 8 5 3 6" xfId="11197"/>
    <cellStyle name="Vérification 2 3 8 5 3 7" xfId="27418"/>
    <cellStyle name="Vérification 2 3 8 5 4" xfId="4461"/>
    <cellStyle name="Vérification 2 3 8 5 4 2" xfId="6906"/>
    <cellStyle name="Vérification 2 3 8 5 4 2 2" xfId="9175"/>
    <cellStyle name="Vérification 2 3 8 5 4 2 2 2" xfId="25399"/>
    <cellStyle name="Vérification 2 3 8 5 4 2 2 2 2" xfId="37406"/>
    <cellStyle name="Vérification 2 3 8 5 4 2 2 3" xfId="15182"/>
    <cellStyle name="Vérification 2 3 8 5 4 2 2 4" xfId="31403"/>
    <cellStyle name="Vérification 2 3 8 5 4 2 3" xfId="23130"/>
    <cellStyle name="Vérification 2 3 8 5 4 2 3 2" xfId="35137"/>
    <cellStyle name="Vérification 2 3 8 5 4 2 4" xfId="12879"/>
    <cellStyle name="Vérification 2 3 8 5 4 2 5" xfId="29100"/>
    <cellStyle name="Vérification 2 3 8 5 4 3" xfId="3771"/>
    <cellStyle name="Vérification 2 3 8 5 4 3 2" xfId="19999"/>
    <cellStyle name="Vérification 2 3 8 5 4 3 2 2" xfId="34113"/>
    <cellStyle name="Vérification 2 3 8 5 4 3 3" xfId="11537"/>
    <cellStyle name="Vérification 2 3 8 5 4 3 4" xfId="27758"/>
    <cellStyle name="Vérification 2 3 8 5 4 4" xfId="20687"/>
    <cellStyle name="Vérification 2 3 8 5 4 4 2" xfId="34314"/>
    <cellStyle name="Vérification 2 3 8 5 4 5" xfId="10860"/>
    <cellStyle name="Vérification 2 3 8 5 4 6" xfId="27083"/>
    <cellStyle name="Vérification 2 3 8 5 5" xfId="3217"/>
    <cellStyle name="Vérification 2 3 8 5 5 2" xfId="8238"/>
    <cellStyle name="Vérification 2 3 8 5 5 2 2" xfId="24462"/>
    <cellStyle name="Vérification 2 3 8 5 5 2 2 2" xfId="36469"/>
    <cellStyle name="Vérification 2 3 8 5 5 2 3" xfId="14245"/>
    <cellStyle name="Vérification 2 3 8 5 5 2 4" xfId="30466"/>
    <cellStyle name="Vérification 2 3 8 5 5 3" xfId="9842"/>
    <cellStyle name="Vérification 2 3 8 5 5 3 2" xfId="26066"/>
    <cellStyle name="Vérification 2 3 8 5 5 3 2 2" xfId="38073"/>
    <cellStyle name="Vérification 2 3 8 5 5 3 3" xfId="15849"/>
    <cellStyle name="Vérification 2 3 8 5 5 3 4" xfId="32070"/>
    <cellStyle name="Vérification 2 3 8 5 5 4" xfId="19445"/>
    <cellStyle name="Vérification 2 3 8 5 5 4 2" xfId="33559"/>
    <cellStyle name="Vérification 2 3 8 5 5 5" xfId="11793"/>
    <cellStyle name="Vérification 2 3 8 5 5 6" xfId="28014"/>
    <cellStyle name="Vérification 2 3 8 5 6" xfId="3263"/>
    <cellStyle name="Vérification 2 3 8 5 6 2" xfId="8263"/>
    <cellStyle name="Vérification 2 3 8 5 6 2 2" xfId="24487"/>
    <cellStyle name="Vérification 2 3 8 5 6 2 2 2" xfId="36494"/>
    <cellStyle name="Vérification 2 3 8 5 6 2 3" xfId="14270"/>
    <cellStyle name="Vérification 2 3 8 5 6 2 4" xfId="30491"/>
    <cellStyle name="Vérification 2 3 8 5 6 3" xfId="19491"/>
    <cellStyle name="Vérification 2 3 8 5 6 3 2" xfId="33605"/>
    <cellStyle name="Vérification 2 3 8 5 6 4" xfId="11818"/>
    <cellStyle name="Vérification 2 3 8 5 6 5" xfId="28039"/>
    <cellStyle name="Vérification 2 3 8 5 7" xfId="3136"/>
    <cellStyle name="Vérification 2 3 8 5 7 2" xfId="19364"/>
    <cellStyle name="Vérification 2 3 8 5 7 2 2" xfId="33478"/>
    <cellStyle name="Vérification 2 3 8 5 7 3" xfId="13485"/>
    <cellStyle name="Vérification 2 3 8 5 7 4" xfId="29706"/>
    <cellStyle name="Vérification 2 3 8 5 8" xfId="17003"/>
    <cellStyle name="Vérification 2 3 8 5 8 2" xfId="32737"/>
    <cellStyle name="Vérification 2 3 8 5 9" xfId="10509"/>
    <cellStyle name="Vérification 2 3 8 6" xfId="1339"/>
    <cellStyle name="Vérification 2 3 8 6 2" xfId="2817"/>
    <cellStyle name="Vérification 2 3 8 6 2 2" xfId="6505"/>
    <cellStyle name="Vérification 2 3 8 6 2 2 2" xfId="8886"/>
    <cellStyle name="Vérification 2 3 8 6 2 2 2 2" xfId="25110"/>
    <cellStyle name="Vérification 2 3 8 6 2 2 2 2 2" xfId="37117"/>
    <cellStyle name="Vérification 2 3 8 6 2 2 2 3" xfId="14893"/>
    <cellStyle name="Vérification 2 3 8 6 2 2 2 4" xfId="31114"/>
    <cellStyle name="Vérification 2 3 8 6 2 2 3" xfId="10264"/>
    <cellStyle name="Vérification 2 3 8 6 2 2 3 2" xfId="26488"/>
    <cellStyle name="Vérification 2 3 8 6 2 2 3 2 2" xfId="38495"/>
    <cellStyle name="Vérification 2 3 8 6 2 2 3 3" xfId="16271"/>
    <cellStyle name="Vérification 2 3 8 6 2 2 3 4" xfId="32492"/>
    <cellStyle name="Vérification 2 3 8 6 2 2 4" xfId="22729"/>
    <cellStyle name="Vérification 2 3 8 6 2 2 4 2" xfId="34736"/>
    <cellStyle name="Vérification 2 3 8 6 2 2 5" xfId="12590"/>
    <cellStyle name="Vérification 2 3 8 6 2 2 6" xfId="28811"/>
    <cellStyle name="Vérification 2 3 8 6 2 3" xfId="7553"/>
    <cellStyle name="Vérification 2 3 8 6 2 3 2" xfId="9597"/>
    <cellStyle name="Vérification 2 3 8 6 2 3 2 2" xfId="25821"/>
    <cellStyle name="Vérification 2 3 8 6 2 3 2 2 2" xfId="37828"/>
    <cellStyle name="Vérification 2 3 8 6 2 3 2 3" xfId="15604"/>
    <cellStyle name="Vérification 2 3 8 6 2 3 2 4" xfId="31825"/>
    <cellStyle name="Vérification 2 3 8 6 2 3 3" xfId="23777"/>
    <cellStyle name="Vérification 2 3 8 6 2 3 3 2" xfId="35784"/>
    <cellStyle name="Vérification 2 3 8 6 2 3 4" xfId="13301"/>
    <cellStyle name="Vérification 2 3 8 6 2 3 5" xfId="29522"/>
    <cellStyle name="Vérification 2 3 8 6 2 4" xfId="7930"/>
    <cellStyle name="Vérification 2 3 8 6 2 4 2" xfId="24154"/>
    <cellStyle name="Vérification 2 3 8 6 2 4 2 2" xfId="36161"/>
    <cellStyle name="Vérification 2 3 8 6 2 4 3" xfId="13937"/>
    <cellStyle name="Vérification 2 3 8 6 2 4 4" xfId="30158"/>
    <cellStyle name="Vérification 2 3 8 6 2 5" xfId="19045"/>
    <cellStyle name="Vérification 2 3 8 6 2 5 2" xfId="33159"/>
    <cellStyle name="Vérification 2 3 8 6 2 6" xfId="11286"/>
    <cellStyle name="Vérification 2 3 8 6 2 7" xfId="27507"/>
    <cellStyle name="Vérification 2 3 8 6 3" xfId="5036"/>
    <cellStyle name="Vérification 2 3 8 6 3 2" xfId="7063"/>
    <cellStyle name="Vérification 2 3 8 6 3 2 2" xfId="9264"/>
    <cellStyle name="Vérification 2 3 8 6 3 2 2 2" xfId="25488"/>
    <cellStyle name="Vérification 2 3 8 6 3 2 2 2 2" xfId="37495"/>
    <cellStyle name="Vérification 2 3 8 6 3 2 2 3" xfId="15271"/>
    <cellStyle name="Vérification 2 3 8 6 3 2 2 4" xfId="31492"/>
    <cellStyle name="Vérification 2 3 8 6 3 2 3" xfId="23287"/>
    <cellStyle name="Vérification 2 3 8 6 3 2 3 2" xfId="35294"/>
    <cellStyle name="Vérification 2 3 8 6 3 2 4" xfId="12968"/>
    <cellStyle name="Vérification 2 3 8 6 3 2 5" xfId="29189"/>
    <cellStyle name="Vérification 2 3 8 6 3 3" xfId="7286"/>
    <cellStyle name="Vérification 2 3 8 6 3 3 2" xfId="23510"/>
    <cellStyle name="Vérification 2 3 8 6 3 3 2 2" xfId="35517"/>
    <cellStyle name="Vérification 2 3 8 6 3 3 3" xfId="13670"/>
    <cellStyle name="Vérification 2 3 8 6 3 3 4" xfId="29891"/>
    <cellStyle name="Vérification 2 3 8 6 3 4" xfId="21262"/>
    <cellStyle name="Vérification 2 3 8 6 3 4 2" xfId="34403"/>
    <cellStyle name="Vérification 2 3 8 6 3 5" xfId="10950"/>
    <cellStyle name="Vérification 2 3 8 6 3 6" xfId="27173"/>
    <cellStyle name="Vérification 2 3 8 6 4" xfId="3427"/>
    <cellStyle name="Vérification 2 3 8 6 4 2" xfId="8394"/>
    <cellStyle name="Vérification 2 3 8 6 4 2 2" xfId="24618"/>
    <cellStyle name="Vérification 2 3 8 6 4 2 2 2" xfId="36625"/>
    <cellStyle name="Vérification 2 3 8 6 4 2 3" xfId="14401"/>
    <cellStyle name="Vérification 2 3 8 6 4 2 4" xfId="30622"/>
    <cellStyle name="Vérification 2 3 8 6 4 3" xfId="9931"/>
    <cellStyle name="Vérification 2 3 8 6 4 3 2" xfId="26155"/>
    <cellStyle name="Vérification 2 3 8 6 4 3 2 2" xfId="38162"/>
    <cellStyle name="Vérification 2 3 8 6 4 3 3" xfId="15938"/>
    <cellStyle name="Vérification 2 3 8 6 4 3 4" xfId="32159"/>
    <cellStyle name="Vérification 2 3 8 6 4 4" xfId="19655"/>
    <cellStyle name="Vérification 2 3 8 6 4 4 2" xfId="33769"/>
    <cellStyle name="Vérification 2 3 8 6 4 5" xfId="11949"/>
    <cellStyle name="Vérification 2 3 8 6 4 6" xfId="28170"/>
    <cellStyle name="Vérification 2 3 8 6 5" xfId="3699"/>
    <cellStyle name="Vérification 2 3 8 6 5 2" xfId="8586"/>
    <cellStyle name="Vérification 2 3 8 6 5 2 2" xfId="24810"/>
    <cellStyle name="Vérification 2 3 8 6 5 2 2 2" xfId="36817"/>
    <cellStyle name="Vérification 2 3 8 6 5 2 3" xfId="14593"/>
    <cellStyle name="Vérification 2 3 8 6 5 2 4" xfId="30814"/>
    <cellStyle name="Vérification 2 3 8 6 5 3" xfId="19927"/>
    <cellStyle name="Vérification 2 3 8 6 5 3 2" xfId="34041"/>
    <cellStyle name="Vérification 2 3 8 6 5 4" xfId="12141"/>
    <cellStyle name="Vérification 2 3 8 6 5 5" xfId="28362"/>
    <cellStyle name="Vérification 2 3 8 6 6" xfId="3766"/>
    <cellStyle name="Vérification 2 3 8 6 6 2" xfId="19994"/>
    <cellStyle name="Vérification 2 3 8 6 6 2 2" xfId="34108"/>
    <cellStyle name="Vérification 2 3 8 6 6 3" xfId="12343"/>
    <cellStyle name="Vérification 2 3 8 6 6 4" xfId="28564"/>
    <cellStyle name="Vérification 2 3 8 6 7" xfId="17578"/>
    <cellStyle name="Vérification 2 3 8 6 7 2" xfId="32826"/>
    <cellStyle name="Vérification 2 3 8 6 8" xfId="10598"/>
    <cellStyle name="Vérification 2 3 8 6 9" xfId="26823"/>
    <cellStyle name="Vérification 2 3 8 7" xfId="2570"/>
    <cellStyle name="Vérification 2 3 8 7 2" xfId="2929"/>
    <cellStyle name="Vérification 2 3 8 7 2 2" xfId="6617"/>
    <cellStyle name="Vérification 2 3 8 7 2 2 2" xfId="8998"/>
    <cellStyle name="Vérification 2 3 8 7 2 2 2 2" xfId="25222"/>
    <cellStyle name="Vérification 2 3 8 7 2 2 2 2 2" xfId="37229"/>
    <cellStyle name="Vérification 2 3 8 7 2 2 2 3" xfId="15005"/>
    <cellStyle name="Vérification 2 3 8 7 2 2 2 4" xfId="31226"/>
    <cellStyle name="Vérification 2 3 8 7 2 2 3" xfId="10376"/>
    <cellStyle name="Vérification 2 3 8 7 2 2 3 2" xfId="26600"/>
    <cellStyle name="Vérification 2 3 8 7 2 2 3 2 2" xfId="38607"/>
    <cellStyle name="Vérification 2 3 8 7 2 2 3 3" xfId="16383"/>
    <cellStyle name="Vérification 2 3 8 7 2 2 3 4" xfId="32604"/>
    <cellStyle name="Vérification 2 3 8 7 2 2 4" xfId="22841"/>
    <cellStyle name="Vérification 2 3 8 7 2 2 4 2" xfId="34848"/>
    <cellStyle name="Vérification 2 3 8 7 2 2 5" xfId="12702"/>
    <cellStyle name="Vérification 2 3 8 7 2 2 6" xfId="28923"/>
    <cellStyle name="Vérification 2 3 8 7 2 3" xfId="7665"/>
    <cellStyle name="Vérification 2 3 8 7 2 3 2" xfId="9709"/>
    <cellStyle name="Vérification 2 3 8 7 2 3 2 2" xfId="25933"/>
    <cellStyle name="Vérification 2 3 8 7 2 3 2 2 2" xfId="37940"/>
    <cellStyle name="Vérification 2 3 8 7 2 3 2 3" xfId="15716"/>
    <cellStyle name="Vérification 2 3 8 7 2 3 2 4" xfId="31937"/>
    <cellStyle name="Vérification 2 3 8 7 2 3 3" xfId="23889"/>
    <cellStyle name="Vérification 2 3 8 7 2 3 3 2" xfId="35896"/>
    <cellStyle name="Vérification 2 3 8 7 2 3 4" xfId="13413"/>
    <cellStyle name="Vérification 2 3 8 7 2 3 5" xfId="29634"/>
    <cellStyle name="Vérification 2 3 8 7 2 4" xfId="8042"/>
    <cellStyle name="Vérification 2 3 8 7 2 4 2" xfId="24266"/>
    <cellStyle name="Vérification 2 3 8 7 2 4 2 2" xfId="36273"/>
    <cellStyle name="Vérification 2 3 8 7 2 4 3" xfId="14049"/>
    <cellStyle name="Vérification 2 3 8 7 2 4 4" xfId="30270"/>
    <cellStyle name="Vérification 2 3 8 7 2 5" xfId="19157"/>
    <cellStyle name="Vérification 2 3 8 7 2 5 2" xfId="33271"/>
    <cellStyle name="Vérification 2 3 8 7 2 6" xfId="11398"/>
    <cellStyle name="Vérification 2 3 8 7 2 7" xfId="27619"/>
    <cellStyle name="Vérification 2 3 8 7 3" xfId="6260"/>
    <cellStyle name="Vérification 2 3 8 7 3 2" xfId="7330"/>
    <cellStyle name="Vérification 2 3 8 7 3 2 2" xfId="9376"/>
    <cellStyle name="Vérification 2 3 8 7 3 2 2 2" xfId="25600"/>
    <cellStyle name="Vérification 2 3 8 7 3 2 2 2 2" xfId="37607"/>
    <cellStyle name="Vérification 2 3 8 7 3 2 2 3" xfId="15383"/>
    <cellStyle name="Vérification 2 3 8 7 3 2 2 4" xfId="31604"/>
    <cellStyle name="Vérification 2 3 8 7 3 2 3" xfId="23554"/>
    <cellStyle name="Vérification 2 3 8 7 3 2 3 2" xfId="35561"/>
    <cellStyle name="Vérification 2 3 8 7 3 2 4" xfId="13080"/>
    <cellStyle name="Vérification 2 3 8 7 3 2 5" xfId="29301"/>
    <cellStyle name="Vérification 2 3 8 7 3 3" xfId="7709"/>
    <cellStyle name="Vérification 2 3 8 7 3 3 2" xfId="23933"/>
    <cellStyle name="Vérification 2 3 8 7 3 3 2 2" xfId="35940"/>
    <cellStyle name="Vérification 2 3 8 7 3 3 3" xfId="13716"/>
    <cellStyle name="Vérification 2 3 8 7 3 3 4" xfId="29937"/>
    <cellStyle name="Vérification 2 3 8 7 3 4" xfId="22484"/>
    <cellStyle name="Vérification 2 3 8 7 3 4 2" xfId="34515"/>
    <cellStyle name="Vérification 2 3 8 7 3 5" xfId="11064"/>
    <cellStyle name="Vérification 2 3 8 7 3 6" xfId="27285"/>
    <cellStyle name="Vérification 2 3 8 7 4" xfId="3833"/>
    <cellStyle name="Vérification 2 3 8 7 4 2" xfId="8661"/>
    <cellStyle name="Vérification 2 3 8 7 4 2 2" xfId="24885"/>
    <cellStyle name="Vérification 2 3 8 7 4 2 2 2" xfId="36892"/>
    <cellStyle name="Vérification 2 3 8 7 4 2 3" xfId="14668"/>
    <cellStyle name="Vérification 2 3 8 7 4 2 4" xfId="30889"/>
    <cellStyle name="Vérification 2 3 8 7 4 3" xfId="10043"/>
    <cellStyle name="Vérification 2 3 8 7 4 3 2" xfId="26267"/>
    <cellStyle name="Vérification 2 3 8 7 4 3 2 2" xfId="38274"/>
    <cellStyle name="Vérification 2 3 8 7 4 3 3" xfId="16050"/>
    <cellStyle name="Vérification 2 3 8 7 4 3 4" xfId="32271"/>
    <cellStyle name="Vérification 2 3 8 7 4 4" xfId="20061"/>
    <cellStyle name="Vérification 2 3 8 7 4 4 2" xfId="34175"/>
    <cellStyle name="Vérification 2 3 8 7 4 5" xfId="12216"/>
    <cellStyle name="Vérification 2 3 8 7 4 6" xfId="28437"/>
    <cellStyle name="Vérification 2 3 8 7 5" xfId="6692"/>
    <cellStyle name="Vérification 2 3 8 7 5 2" xfId="9042"/>
    <cellStyle name="Vérification 2 3 8 7 5 2 2" xfId="25266"/>
    <cellStyle name="Vérification 2 3 8 7 5 2 2 2" xfId="37273"/>
    <cellStyle name="Vérification 2 3 8 7 5 2 3" xfId="15049"/>
    <cellStyle name="Vérification 2 3 8 7 5 2 4" xfId="31270"/>
    <cellStyle name="Vérification 2 3 8 7 5 3" xfId="22916"/>
    <cellStyle name="Vérification 2 3 8 7 5 3 2" xfId="34923"/>
    <cellStyle name="Vérification 2 3 8 7 5 4" xfId="12746"/>
    <cellStyle name="Vérification 2 3 8 7 5 5" xfId="28967"/>
    <cellStyle name="Vérification 2 3 8 7 6" xfId="3234"/>
    <cellStyle name="Vérification 2 3 8 7 6 2" xfId="19462"/>
    <cellStyle name="Vérification 2 3 8 7 6 2 2" xfId="33576"/>
    <cellStyle name="Vérification 2 3 8 7 6 3" xfId="11553"/>
    <cellStyle name="Vérification 2 3 8 7 6 4" xfId="27774"/>
    <cellStyle name="Vérification 2 3 8 7 7" xfId="18800"/>
    <cellStyle name="Vérification 2 3 8 7 7 2" xfId="32938"/>
    <cellStyle name="Vérification 2 3 8 7 8" xfId="10712"/>
    <cellStyle name="Vérification 2 3 8 7 9" xfId="26935"/>
    <cellStyle name="Vérification 2 3 8 8" xfId="2617"/>
    <cellStyle name="Vérification 2 3 8 8 2" xfId="2950"/>
    <cellStyle name="Vérification 2 3 8 8 2 2" xfId="6638"/>
    <cellStyle name="Vérification 2 3 8 8 2 2 2" xfId="9019"/>
    <cellStyle name="Vérification 2 3 8 8 2 2 2 2" xfId="25243"/>
    <cellStyle name="Vérification 2 3 8 8 2 2 2 2 2" xfId="37250"/>
    <cellStyle name="Vérification 2 3 8 8 2 2 2 3" xfId="15026"/>
    <cellStyle name="Vérification 2 3 8 8 2 2 2 4" xfId="31247"/>
    <cellStyle name="Vérification 2 3 8 8 2 2 3" xfId="10397"/>
    <cellStyle name="Vérification 2 3 8 8 2 2 3 2" xfId="26621"/>
    <cellStyle name="Vérification 2 3 8 8 2 2 3 2 2" xfId="38628"/>
    <cellStyle name="Vérification 2 3 8 8 2 2 3 3" xfId="16404"/>
    <cellStyle name="Vérification 2 3 8 8 2 2 3 4" xfId="32625"/>
    <cellStyle name="Vérification 2 3 8 8 2 2 4" xfId="22862"/>
    <cellStyle name="Vérification 2 3 8 8 2 2 4 2" xfId="34869"/>
    <cellStyle name="Vérification 2 3 8 8 2 2 5" xfId="12723"/>
    <cellStyle name="Vérification 2 3 8 8 2 2 6" xfId="28944"/>
    <cellStyle name="Vérification 2 3 8 8 2 3" xfId="7686"/>
    <cellStyle name="Vérification 2 3 8 8 2 3 2" xfId="9730"/>
    <cellStyle name="Vérification 2 3 8 8 2 3 2 2" xfId="25954"/>
    <cellStyle name="Vérification 2 3 8 8 2 3 2 2 2" xfId="37961"/>
    <cellStyle name="Vérification 2 3 8 8 2 3 2 3" xfId="15737"/>
    <cellStyle name="Vérification 2 3 8 8 2 3 2 4" xfId="31958"/>
    <cellStyle name="Vérification 2 3 8 8 2 3 3" xfId="23910"/>
    <cellStyle name="Vérification 2 3 8 8 2 3 3 2" xfId="35917"/>
    <cellStyle name="Vérification 2 3 8 8 2 3 4" xfId="13434"/>
    <cellStyle name="Vérification 2 3 8 8 2 3 5" xfId="29655"/>
    <cellStyle name="Vérification 2 3 8 8 2 4" xfId="8063"/>
    <cellStyle name="Vérification 2 3 8 8 2 4 2" xfId="24287"/>
    <cellStyle name="Vérification 2 3 8 8 2 4 2 2" xfId="36294"/>
    <cellStyle name="Vérification 2 3 8 8 2 4 3" xfId="14070"/>
    <cellStyle name="Vérification 2 3 8 8 2 4 4" xfId="30291"/>
    <cellStyle name="Vérification 2 3 8 8 2 5" xfId="19178"/>
    <cellStyle name="Vérification 2 3 8 8 2 5 2" xfId="33292"/>
    <cellStyle name="Vérification 2 3 8 8 2 6" xfId="11419"/>
    <cellStyle name="Vérification 2 3 8 8 2 7" xfId="27640"/>
    <cellStyle name="Vérification 2 3 8 8 3" xfId="6305"/>
    <cellStyle name="Vérification 2 3 8 8 3 2" xfId="7353"/>
    <cellStyle name="Vérification 2 3 8 8 3 2 2" xfId="9397"/>
    <cellStyle name="Vérification 2 3 8 8 3 2 2 2" xfId="25621"/>
    <cellStyle name="Vérification 2 3 8 8 3 2 2 2 2" xfId="37628"/>
    <cellStyle name="Vérification 2 3 8 8 3 2 2 3" xfId="15404"/>
    <cellStyle name="Vérification 2 3 8 8 3 2 2 4" xfId="31625"/>
    <cellStyle name="Vérification 2 3 8 8 3 2 3" xfId="23577"/>
    <cellStyle name="Vérification 2 3 8 8 3 2 3 2" xfId="35584"/>
    <cellStyle name="Vérification 2 3 8 8 3 2 4" xfId="13101"/>
    <cellStyle name="Vérification 2 3 8 8 3 2 5" xfId="29322"/>
    <cellStyle name="Vérification 2 3 8 8 3 3" xfId="7730"/>
    <cellStyle name="Vérification 2 3 8 8 3 3 2" xfId="23954"/>
    <cellStyle name="Vérification 2 3 8 8 3 3 2 2" xfId="35961"/>
    <cellStyle name="Vérification 2 3 8 8 3 3 3" xfId="13737"/>
    <cellStyle name="Vérification 2 3 8 8 3 3 4" xfId="29958"/>
    <cellStyle name="Vérification 2 3 8 8 3 4" xfId="22529"/>
    <cellStyle name="Vérification 2 3 8 8 3 4 2" xfId="34536"/>
    <cellStyle name="Vérification 2 3 8 8 3 5" xfId="11086"/>
    <cellStyle name="Vérification 2 3 8 8 3 6" xfId="27307"/>
    <cellStyle name="Vérification 2 3 8 8 4" xfId="3860"/>
    <cellStyle name="Vérification 2 3 8 8 4 2" xfId="8686"/>
    <cellStyle name="Vérification 2 3 8 8 4 2 2" xfId="24910"/>
    <cellStyle name="Vérification 2 3 8 8 4 2 2 2" xfId="36917"/>
    <cellStyle name="Vérification 2 3 8 8 4 2 3" xfId="14693"/>
    <cellStyle name="Vérification 2 3 8 8 4 2 4" xfId="30914"/>
    <cellStyle name="Vérification 2 3 8 8 4 3" xfId="10064"/>
    <cellStyle name="Vérification 2 3 8 8 4 3 2" xfId="26288"/>
    <cellStyle name="Vérification 2 3 8 8 4 3 2 2" xfId="38295"/>
    <cellStyle name="Vérification 2 3 8 8 4 3 3" xfId="16071"/>
    <cellStyle name="Vérification 2 3 8 8 4 3 4" xfId="32292"/>
    <cellStyle name="Vérification 2 3 8 8 4 4" xfId="20088"/>
    <cellStyle name="Vérification 2 3 8 8 4 4 2" xfId="34202"/>
    <cellStyle name="Vérification 2 3 8 8 4 5" xfId="12241"/>
    <cellStyle name="Vérification 2 3 8 8 4 6" xfId="28462"/>
    <cellStyle name="Vérification 2 3 8 8 5" xfId="6717"/>
    <cellStyle name="Vérification 2 3 8 8 5 2" xfId="9063"/>
    <cellStyle name="Vérification 2 3 8 8 5 2 2" xfId="25287"/>
    <cellStyle name="Vérification 2 3 8 8 5 2 2 2" xfId="37294"/>
    <cellStyle name="Vérification 2 3 8 8 5 2 3" xfId="15070"/>
    <cellStyle name="Vérification 2 3 8 8 5 2 4" xfId="31291"/>
    <cellStyle name="Vérification 2 3 8 8 5 3" xfId="22941"/>
    <cellStyle name="Vérification 2 3 8 8 5 3 2" xfId="34948"/>
    <cellStyle name="Vérification 2 3 8 8 5 4" xfId="12767"/>
    <cellStyle name="Vérification 2 3 8 8 5 5" xfId="28988"/>
    <cellStyle name="Vérification 2 3 8 8 6" xfId="3356"/>
    <cellStyle name="Vérification 2 3 8 8 6 2" xfId="19584"/>
    <cellStyle name="Vérification 2 3 8 8 6 2 2" xfId="33698"/>
    <cellStyle name="Vérification 2 3 8 8 6 3" xfId="10815"/>
    <cellStyle name="Vérification 2 3 8 8 6 4" xfId="27038"/>
    <cellStyle name="Vérification 2 3 8 8 7" xfId="18845"/>
    <cellStyle name="Vérification 2 3 8 8 7 2" xfId="32959"/>
    <cellStyle name="Vérification 2 3 8 8 8" xfId="10733"/>
    <cellStyle name="Vérification 2 3 8 8 9" xfId="26956"/>
    <cellStyle name="Vérification 2 3 8 9" xfId="2639"/>
    <cellStyle name="Vérification 2 3 8 9 2" xfId="6327"/>
    <cellStyle name="Vérification 2 3 8 9 2 2" xfId="8708"/>
    <cellStyle name="Vérification 2 3 8 9 2 2 2" xfId="24932"/>
    <cellStyle name="Vérification 2 3 8 9 2 2 2 2" xfId="36939"/>
    <cellStyle name="Vérification 2 3 8 9 2 2 3" xfId="14715"/>
    <cellStyle name="Vérification 2 3 8 9 2 2 4" xfId="30936"/>
    <cellStyle name="Vérification 2 3 8 9 2 3" xfId="10086"/>
    <cellStyle name="Vérification 2 3 8 9 2 3 2" xfId="26310"/>
    <cellStyle name="Vérification 2 3 8 9 2 3 2 2" xfId="38317"/>
    <cellStyle name="Vérification 2 3 8 9 2 3 3" xfId="16093"/>
    <cellStyle name="Vérification 2 3 8 9 2 3 4" xfId="32314"/>
    <cellStyle name="Vérification 2 3 8 9 2 4" xfId="22551"/>
    <cellStyle name="Vérification 2 3 8 9 2 4 2" xfId="34558"/>
    <cellStyle name="Vérification 2 3 8 9 2 5" xfId="12412"/>
    <cellStyle name="Vérification 2 3 8 9 2 6" xfId="28633"/>
    <cellStyle name="Vérification 2 3 8 9 3" xfId="7375"/>
    <cellStyle name="Vérification 2 3 8 9 3 2" xfId="9419"/>
    <cellStyle name="Vérification 2 3 8 9 3 2 2" xfId="25643"/>
    <cellStyle name="Vérification 2 3 8 9 3 2 2 2" xfId="37650"/>
    <cellStyle name="Vérification 2 3 8 9 3 2 3" xfId="15426"/>
    <cellStyle name="Vérification 2 3 8 9 3 2 4" xfId="31647"/>
    <cellStyle name="Vérification 2 3 8 9 3 3" xfId="23599"/>
    <cellStyle name="Vérification 2 3 8 9 3 3 2" xfId="35606"/>
    <cellStyle name="Vérification 2 3 8 9 3 4" xfId="13123"/>
    <cellStyle name="Vérification 2 3 8 9 3 5" xfId="29344"/>
    <cellStyle name="Vérification 2 3 8 9 4" xfId="7752"/>
    <cellStyle name="Vérification 2 3 8 9 4 2" xfId="23976"/>
    <cellStyle name="Vérification 2 3 8 9 4 2 2" xfId="35983"/>
    <cellStyle name="Vérification 2 3 8 9 4 3" xfId="13759"/>
    <cellStyle name="Vérification 2 3 8 9 4 4" xfId="29980"/>
    <cellStyle name="Vérification 2 3 8 9 5" xfId="18867"/>
    <cellStyle name="Vérification 2 3 8 9 5 2" xfId="32981"/>
    <cellStyle name="Vérification 2 3 8 9 6" xfId="11108"/>
    <cellStyle name="Vérification 2 3 8 9 7" xfId="27329"/>
    <cellStyle name="Vérification 2 3 9" xfId="286"/>
    <cellStyle name="Vérification 2 3 9 10" xfId="4025"/>
    <cellStyle name="Vérification 2 3 9 10 2" xfId="6765"/>
    <cellStyle name="Vérification 2 3 9 10 2 2" xfId="9088"/>
    <cellStyle name="Vérification 2 3 9 10 2 2 2" xfId="25312"/>
    <cellStyle name="Vérification 2 3 9 10 2 2 2 2" xfId="37319"/>
    <cellStyle name="Vérification 2 3 9 10 2 2 3" xfId="15095"/>
    <cellStyle name="Vérification 2 3 9 10 2 2 4" xfId="31316"/>
    <cellStyle name="Vérification 2 3 9 10 2 3" xfId="22989"/>
    <cellStyle name="Vérification 2 3 9 10 2 3 2" xfId="34996"/>
    <cellStyle name="Vérification 2 3 9 10 2 4" xfId="12792"/>
    <cellStyle name="Vérification 2 3 9 10 2 5" xfId="29013"/>
    <cellStyle name="Vérification 2 3 9 10 3" xfId="3059"/>
    <cellStyle name="Vérification 2 3 9 10 3 2" xfId="19287"/>
    <cellStyle name="Vérification 2 3 9 10 3 2 2" xfId="33401"/>
    <cellStyle name="Vérification 2 3 9 10 3 3" xfId="13473"/>
    <cellStyle name="Vérification 2 3 9 10 3 4" xfId="29694"/>
    <cellStyle name="Vérification 2 3 9 10 4" xfId="20252"/>
    <cellStyle name="Vérification 2 3 9 10 4 2" xfId="34227"/>
    <cellStyle name="Vérification 2 3 9 10 5" xfId="10767"/>
    <cellStyle name="Vérification 2 3 9 10 6" xfId="26990"/>
    <cellStyle name="Vérification 2 3 9 11" xfId="3029"/>
    <cellStyle name="Vérification 2 3 9 11 2" xfId="8109"/>
    <cellStyle name="Vérification 2 3 9 11 2 2" xfId="24333"/>
    <cellStyle name="Vérification 2 3 9 11 2 2 2" xfId="36340"/>
    <cellStyle name="Vérification 2 3 9 11 2 3" xfId="14116"/>
    <cellStyle name="Vérification 2 3 9 11 2 4" xfId="30337"/>
    <cellStyle name="Vérification 2 3 9 11 3" xfId="9755"/>
    <cellStyle name="Vérification 2 3 9 11 3 2" xfId="25979"/>
    <cellStyle name="Vérification 2 3 9 11 3 2 2" xfId="37986"/>
    <cellStyle name="Vérification 2 3 9 11 3 3" xfId="15762"/>
    <cellStyle name="Vérification 2 3 9 11 3 4" xfId="31983"/>
    <cellStyle name="Vérification 2 3 9 11 4" xfId="19257"/>
    <cellStyle name="Vérification 2 3 9 11 4 2" xfId="33371"/>
    <cellStyle name="Vérification 2 3 9 11 5" xfId="11664"/>
    <cellStyle name="Vérification 2 3 9 11 6" xfId="27885"/>
    <cellStyle name="Vérification 2 3 9 12" xfId="3131"/>
    <cellStyle name="Vérification 2 3 9 12 2" xfId="8179"/>
    <cellStyle name="Vérification 2 3 9 12 2 2" xfId="24403"/>
    <cellStyle name="Vérification 2 3 9 12 2 2 2" xfId="36410"/>
    <cellStyle name="Vérification 2 3 9 12 2 3" xfId="14186"/>
    <cellStyle name="Vérification 2 3 9 12 2 4" xfId="30407"/>
    <cellStyle name="Vérification 2 3 9 12 3" xfId="19359"/>
    <cellStyle name="Vérification 2 3 9 12 3 2" xfId="33473"/>
    <cellStyle name="Vérification 2 3 9 12 4" xfId="11734"/>
    <cellStyle name="Vérification 2 3 9 12 5" xfId="27955"/>
    <cellStyle name="Vérification 2 3 9 13" xfId="3005"/>
    <cellStyle name="Vérification 2 3 9 13 2" xfId="19233"/>
    <cellStyle name="Vérification 2 3 9 13 2 2" xfId="33347"/>
    <cellStyle name="Vérification 2 3 9 13 3" xfId="12383"/>
    <cellStyle name="Vérification 2 3 9 13 4" xfId="28604"/>
    <cellStyle name="Vérification 2 3 9 14" xfId="16568"/>
    <cellStyle name="Vérification 2 3 9 14 2" xfId="32650"/>
    <cellStyle name="Vérification 2 3 9 15" xfId="10422"/>
    <cellStyle name="Vérification 2 3 9 16" xfId="26647"/>
    <cellStyle name="Vérification 2 3 9 2" xfId="474"/>
    <cellStyle name="Vérification 2 3 9 2 10" xfId="10445"/>
    <cellStyle name="Vérification 2 3 9 2 11" xfId="26670"/>
    <cellStyle name="Vérification 2 3 9 2 2" xfId="1364"/>
    <cellStyle name="Vérification 2 3 9 2 2 2" xfId="2842"/>
    <cellStyle name="Vérification 2 3 9 2 2 2 2" xfId="6530"/>
    <cellStyle name="Vérification 2 3 9 2 2 2 2 2" xfId="8911"/>
    <cellStyle name="Vérification 2 3 9 2 2 2 2 2 2" xfId="25135"/>
    <cellStyle name="Vérification 2 3 9 2 2 2 2 2 2 2" xfId="37142"/>
    <cellStyle name="Vérification 2 3 9 2 2 2 2 2 3" xfId="14918"/>
    <cellStyle name="Vérification 2 3 9 2 2 2 2 2 4" xfId="31139"/>
    <cellStyle name="Vérification 2 3 9 2 2 2 2 3" xfId="10289"/>
    <cellStyle name="Vérification 2 3 9 2 2 2 2 3 2" xfId="26513"/>
    <cellStyle name="Vérification 2 3 9 2 2 2 2 3 2 2" xfId="38520"/>
    <cellStyle name="Vérification 2 3 9 2 2 2 2 3 3" xfId="16296"/>
    <cellStyle name="Vérification 2 3 9 2 2 2 2 3 4" xfId="32517"/>
    <cellStyle name="Vérification 2 3 9 2 2 2 2 4" xfId="22754"/>
    <cellStyle name="Vérification 2 3 9 2 2 2 2 4 2" xfId="34761"/>
    <cellStyle name="Vérification 2 3 9 2 2 2 2 5" xfId="12615"/>
    <cellStyle name="Vérification 2 3 9 2 2 2 2 6" xfId="28836"/>
    <cellStyle name="Vérification 2 3 9 2 2 2 3" xfId="7578"/>
    <cellStyle name="Vérification 2 3 9 2 2 2 3 2" xfId="9622"/>
    <cellStyle name="Vérification 2 3 9 2 2 2 3 2 2" xfId="25846"/>
    <cellStyle name="Vérification 2 3 9 2 2 2 3 2 2 2" xfId="37853"/>
    <cellStyle name="Vérification 2 3 9 2 2 2 3 2 3" xfId="15629"/>
    <cellStyle name="Vérification 2 3 9 2 2 2 3 2 4" xfId="31850"/>
    <cellStyle name="Vérification 2 3 9 2 2 2 3 3" xfId="23802"/>
    <cellStyle name="Vérification 2 3 9 2 2 2 3 3 2" xfId="35809"/>
    <cellStyle name="Vérification 2 3 9 2 2 2 3 4" xfId="13326"/>
    <cellStyle name="Vérification 2 3 9 2 2 2 3 5" xfId="29547"/>
    <cellStyle name="Vérification 2 3 9 2 2 2 4" xfId="7955"/>
    <cellStyle name="Vérification 2 3 9 2 2 2 4 2" xfId="24179"/>
    <cellStyle name="Vérification 2 3 9 2 2 2 4 2 2" xfId="36186"/>
    <cellStyle name="Vérification 2 3 9 2 2 2 4 3" xfId="13962"/>
    <cellStyle name="Vérification 2 3 9 2 2 2 4 4" xfId="30183"/>
    <cellStyle name="Vérification 2 3 9 2 2 2 5" xfId="19070"/>
    <cellStyle name="Vérification 2 3 9 2 2 2 5 2" xfId="33184"/>
    <cellStyle name="Vérification 2 3 9 2 2 2 6" xfId="11311"/>
    <cellStyle name="Vérification 2 3 9 2 2 2 7" xfId="27532"/>
    <cellStyle name="Vérification 2 3 9 2 2 3" xfId="5061"/>
    <cellStyle name="Vérification 2 3 9 2 2 3 2" xfId="7088"/>
    <cellStyle name="Vérification 2 3 9 2 2 3 2 2" xfId="9289"/>
    <cellStyle name="Vérification 2 3 9 2 2 3 2 2 2" xfId="25513"/>
    <cellStyle name="Vérification 2 3 9 2 2 3 2 2 2 2" xfId="37520"/>
    <cellStyle name="Vérification 2 3 9 2 2 3 2 2 3" xfId="15296"/>
    <cellStyle name="Vérification 2 3 9 2 2 3 2 2 4" xfId="31517"/>
    <cellStyle name="Vérification 2 3 9 2 2 3 2 3" xfId="23312"/>
    <cellStyle name="Vérification 2 3 9 2 2 3 2 3 2" xfId="35319"/>
    <cellStyle name="Vérification 2 3 9 2 2 3 2 4" xfId="12993"/>
    <cellStyle name="Vérification 2 3 9 2 2 3 2 5" xfId="29214"/>
    <cellStyle name="Vérification 2 3 9 2 2 3 3" xfId="7025"/>
    <cellStyle name="Vérification 2 3 9 2 2 3 3 2" xfId="23249"/>
    <cellStyle name="Vérification 2 3 9 2 2 3 3 2 2" xfId="35256"/>
    <cellStyle name="Vérification 2 3 9 2 2 3 3 3" xfId="13531"/>
    <cellStyle name="Vérification 2 3 9 2 2 3 3 4" xfId="29752"/>
    <cellStyle name="Vérification 2 3 9 2 2 3 4" xfId="21287"/>
    <cellStyle name="Vérification 2 3 9 2 2 3 4 2" xfId="34428"/>
    <cellStyle name="Vérification 2 3 9 2 2 3 5" xfId="10975"/>
    <cellStyle name="Vérification 2 3 9 2 2 3 6" xfId="27198"/>
    <cellStyle name="Vérification 2 3 9 2 2 4" xfId="3452"/>
    <cellStyle name="Vérification 2 3 9 2 2 4 2" xfId="8419"/>
    <cellStyle name="Vérification 2 3 9 2 2 4 2 2" xfId="24643"/>
    <cellStyle name="Vérification 2 3 9 2 2 4 2 2 2" xfId="36650"/>
    <cellStyle name="Vérification 2 3 9 2 2 4 2 3" xfId="14426"/>
    <cellStyle name="Vérification 2 3 9 2 2 4 2 4" xfId="30647"/>
    <cellStyle name="Vérification 2 3 9 2 2 4 3" xfId="9956"/>
    <cellStyle name="Vérification 2 3 9 2 2 4 3 2" xfId="26180"/>
    <cellStyle name="Vérification 2 3 9 2 2 4 3 2 2" xfId="38187"/>
    <cellStyle name="Vérification 2 3 9 2 2 4 3 3" xfId="15963"/>
    <cellStyle name="Vérification 2 3 9 2 2 4 3 4" xfId="32184"/>
    <cellStyle name="Vérification 2 3 9 2 2 4 4" xfId="19680"/>
    <cellStyle name="Vérification 2 3 9 2 2 4 4 2" xfId="33794"/>
    <cellStyle name="Vérification 2 3 9 2 2 4 5" xfId="11974"/>
    <cellStyle name="Vérification 2 3 9 2 2 4 6" xfId="28195"/>
    <cellStyle name="Vérification 2 3 9 2 2 5" xfId="3132"/>
    <cellStyle name="Vérification 2 3 9 2 2 5 2" xfId="8180"/>
    <cellStyle name="Vérification 2 3 9 2 2 5 2 2" xfId="24404"/>
    <cellStyle name="Vérification 2 3 9 2 2 5 2 2 2" xfId="36411"/>
    <cellStyle name="Vérification 2 3 9 2 2 5 2 3" xfId="14187"/>
    <cellStyle name="Vérification 2 3 9 2 2 5 2 4" xfId="30408"/>
    <cellStyle name="Vérification 2 3 9 2 2 5 3" xfId="19360"/>
    <cellStyle name="Vérification 2 3 9 2 2 5 3 2" xfId="33474"/>
    <cellStyle name="Vérification 2 3 9 2 2 5 4" xfId="11735"/>
    <cellStyle name="Vérification 2 3 9 2 2 5 5" xfId="27956"/>
    <cellStyle name="Vérification 2 3 9 2 2 6" xfId="7231"/>
    <cellStyle name="Vérification 2 3 9 2 2 6 2" xfId="23455"/>
    <cellStyle name="Vérification 2 3 9 2 2 6 2 2" xfId="35462"/>
    <cellStyle name="Vérification 2 3 9 2 2 6 3" xfId="13615"/>
    <cellStyle name="Vérification 2 3 9 2 2 6 4" xfId="29836"/>
    <cellStyle name="Vérification 2 3 9 2 2 7" xfId="17603"/>
    <cellStyle name="Vérification 2 3 9 2 2 7 2" xfId="32851"/>
    <cellStyle name="Vérification 2 3 9 2 2 8" xfId="10623"/>
    <cellStyle name="Vérification 2 3 9 2 2 9" xfId="26848"/>
    <cellStyle name="Vérification 2 3 9 2 3" xfId="1089"/>
    <cellStyle name="Vérification 2 3 9 2 3 2" xfId="2753"/>
    <cellStyle name="Vérification 2 3 9 2 3 2 2" xfId="6441"/>
    <cellStyle name="Vérification 2 3 9 2 3 2 2 2" xfId="8822"/>
    <cellStyle name="Vérification 2 3 9 2 3 2 2 2 2" xfId="25046"/>
    <cellStyle name="Vérification 2 3 9 2 3 2 2 2 2 2" xfId="37053"/>
    <cellStyle name="Vérification 2 3 9 2 3 2 2 2 3" xfId="14829"/>
    <cellStyle name="Vérification 2 3 9 2 3 2 2 2 4" xfId="31050"/>
    <cellStyle name="Vérification 2 3 9 2 3 2 2 3" xfId="10200"/>
    <cellStyle name="Vérification 2 3 9 2 3 2 2 3 2" xfId="26424"/>
    <cellStyle name="Vérification 2 3 9 2 3 2 2 3 2 2" xfId="38431"/>
    <cellStyle name="Vérification 2 3 9 2 3 2 2 3 3" xfId="16207"/>
    <cellStyle name="Vérification 2 3 9 2 3 2 2 3 4" xfId="32428"/>
    <cellStyle name="Vérification 2 3 9 2 3 2 2 4" xfId="22665"/>
    <cellStyle name="Vérification 2 3 9 2 3 2 2 4 2" xfId="34672"/>
    <cellStyle name="Vérification 2 3 9 2 3 2 2 5" xfId="12526"/>
    <cellStyle name="Vérification 2 3 9 2 3 2 2 6" xfId="28747"/>
    <cellStyle name="Vérification 2 3 9 2 3 2 3" xfId="7489"/>
    <cellStyle name="Vérification 2 3 9 2 3 2 3 2" xfId="9533"/>
    <cellStyle name="Vérification 2 3 9 2 3 2 3 2 2" xfId="25757"/>
    <cellStyle name="Vérification 2 3 9 2 3 2 3 2 2 2" xfId="37764"/>
    <cellStyle name="Vérification 2 3 9 2 3 2 3 2 3" xfId="15540"/>
    <cellStyle name="Vérification 2 3 9 2 3 2 3 2 4" xfId="31761"/>
    <cellStyle name="Vérification 2 3 9 2 3 2 3 3" xfId="23713"/>
    <cellStyle name="Vérification 2 3 9 2 3 2 3 3 2" xfId="35720"/>
    <cellStyle name="Vérification 2 3 9 2 3 2 3 4" xfId="13237"/>
    <cellStyle name="Vérification 2 3 9 2 3 2 3 5" xfId="29458"/>
    <cellStyle name="Vérification 2 3 9 2 3 2 4" xfId="7866"/>
    <cellStyle name="Vérification 2 3 9 2 3 2 4 2" xfId="24090"/>
    <cellStyle name="Vérification 2 3 9 2 3 2 4 2 2" xfId="36097"/>
    <cellStyle name="Vérification 2 3 9 2 3 2 4 3" xfId="13873"/>
    <cellStyle name="Vérification 2 3 9 2 3 2 4 4" xfId="30094"/>
    <cellStyle name="Vérification 2 3 9 2 3 2 5" xfId="18981"/>
    <cellStyle name="Vérification 2 3 9 2 3 2 5 2" xfId="33095"/>
    <cellStyle name="Vérification 2 3 9 2 3 2 6" xfId="11222"/>
    <cellStyle name="Vérification 2 3 9 2 3 2 7" xfId="27443"/>
    <cellStyle name="Vérification 2 3 9 2 3 3" xfId="4786"/>
    <cellStyle name="Vérification 2 3 9 2 3 3 2" xfId="6977"/>
    <cellStyle name="Vérification 2 3 9 2 3 3 2 2" xfId="9200"/>
    <cellStyle name="Vérification 2 3 9 2 3 3 2 2 2" xfId="25424"/>
    <cellStyle name="Vérification 2 3 9 2 3 3 2 2 2 2" xfId="37431"/>
    <cellStyle name="Vérification 2 3 9 2 3 3 2 2 3" xfId="15207"/>
    <cellStyle name="Vérification 2 3 9 2 3 3 2 2 4" xfId="31428"/>
    <cellStyle name="Vérification 2 3 9 2 3 3 2 3" xfId="23201"/>
    <cellStyle name="Vérification 2 3 9 2 3 3 2 3 2" xfId="35208"/>
    <cellStyle name="Vérification 2 3 9 2 3 3 2 4" xfId="12904"/>
    <cellStyle name="Vérification 2 3 9 2 3 3 2 5" xfId="29125"/>
    <cellStyle name="Vérification 2 3 9 2 3 3 3" xfId="7177"/>
    <cellStyle name="Vérification 2 3 9 2 3 3 3 2" xfId="23401"/>
    <cellStyle name="Vérification 2 3 9 2 3 3 3 2 2" xfId="35408"/>
    <cellStyle name="Vérification 2 3 9 2 3 3 3 3" xfId="13561"/>
    <cellStyle name="Vérification 2 3 9 2 3 3 3 4" xfId="29782"/>
    <cellStyle name="Vérification 2 3 9 2 3 3 4" xfId="21012"/>
    <cellStyle name="Vérification 2 3 9 2 3 3 4 2" xfId="34339"/>
    <cellStyle name="Vérification 2 3 9 2 3 3 5" xfId="10886"/>
    <cellStyle name="Vérification 2 3 9 2 3 3 6" xfId="27109"/>
    <cellStyle name="Vérification 2 3 9 2 3 4" xfId="3317"/>
    <cellStyle name="Vérification 2 3 9 2 3 4 2" xfId="8302"/>
    <cellStyle name="Vérification 2 3 9 2 3 4 2 2" xfId="24526"/>
    <cellStyle name="Vérification 2 3 9 2 3 4 2 2 2" xfId="36533"/>
    <cellStyle name="Vérification 2 3 9 2 3 4 2 3" xfId="14309"/>
    <cellStyle name="Vérification 2 3 9 2 3 4 2 4" xfId="30530"/>
    <cellStyle name="Vérification 2 3 9 2 3 4 3" xfId="9867"/>
    <cellStyle name="Vérification 2 3 9 2 3 4 3 2" xfId="26091"/>
    <cellStyle name="Vérification 2 3 9 2 3 4 3 2 2" xfId="38098"/>
    <cellStyle name="Vérification 2 3 9 2 3 4 3 3" xfId="15874"/>
    <cellStyle name="Vérification 2 3 9 2 3 4 3 4" xfId="32095"/>
    <cellStyle name="Vérification 2 3 9 2 3 4 4" xfId="19545"/>
    <cellStyle name="Vérification 2 3 9 2 3 4 4 2" xfId="33659"/>
    <cellStyle name="Vérification 2 3 9 2 3 4 5" xfId="11857"/>
    <cellStyle name="Vérification 2 3 9 2 3 4 6" xfId="28078"/>
    <cellStyle name="Vérification 2 3 9 2 3 5" xfId="3358"/>
    <cellStyle name="Vérification 2 3 9 2 3 5 2" xfId="8336"/>
    <cellStyle name="Vérification 2 3 9 2 3 5 2 2" xfId="24560"/>
    <cellStyle name="Vérification 2 3 9 2 3 5 2 2 2" xfId="36567"/>
    <cellStyle name="Vérification 2 3 9 2 3 5 2 3" xfId="14343"/>
    <cellStyle name="Vérification 2 3 9 2 3 5 2 4" xfId="30564"/>
    <cellStyle name="Vérification 2 3 9 2 3 5 3" xfId="19586"/>
    <cellStyle name="Vérification 2 3 9 2 3 5 3 2" xfId="33700"/>
    <cellStyle name="Vérification 2 3 9 2 3 5 4" xfId="11891"/>
    <cellStyle name="Vérification 2 3 9 2 3 5 5" xfId="28112"/>
    <cellStyle name="Vérification 2 3 9 2 3 6" xfId="6815"/>
    <cellStyle name="Vérification 2 3 9 2 3 6 2" xfId="23039"/>
    <cellStyle name="Vérification 2 3 9 2 3 6 2 2" xfId="35046"/>
    <cellStyle name="Vérification 2 3 9 2 3 6 3" xfId="11531"/>
    <cellStyle name="Vérification 2 3 9 2 3 6 4" xfId="27752"/>
    <cellStyle name="Vérification 2 3 9 2 3 7" xfId="17328"/>
    <cellStyle name="Vérification 2 3 9 2 3 7 2" xfId="32762"/>
    <cellStyle name="Vérification 2 3 9 2 3 8" xfId="10534"/>
    <cellStyle name="Vérification 2 3 9 2 3 9" xfId="26759"/>
    <cellStyle name="Vérification 2 3 9 2 4" xfId="2664"/>
    <cellStyle name="Vérification 2 3 9 2 4 2" xfId="6352"/>
    <cellStyle name="Vérification 2 3 9 2 4 2 2" xfId="8733"/>
    <cellStyle name="Vérification 2 3 9 2 4 2 2 2" xfId="24957"/>
    <cellStyle name="Vérification 2 3 9 2 4 2 2 2 2" xfId="36964"/>
    <cellStyle name="Vérification 2 3 9 2 4 2 2 3" xfId="14740"/>
    <cellStyle name="Vérification 2 3 9 2 4 2 2 4" xfId="30961"/>
    <cellStyle name="Vérification 2 3 9 2 4 2 3" xfId="10111"/>
    <cellStyle name="Vérification 2 3 9 2 4 2 3 2" xfId="26335"/>
    <cellStyle name="Vérification 2 3 9 2 4 2 3 2 2" xfId="38342"/>
    <cellStyle name="Vérification 2 3 9 2 4 2 3 3" xfId="16118"/>
    <cellStyle name="Vérification 2 3 9 2 4 2 3 4" xfId="32339"/>
    <cellStyle name="Vérification 2 3 9 2 4 2 4" xfId="22576"/>
    <cellStyle name="Vérification 2 3 9 2 4 2 4 2" xfId="34583"/>
    <cellStyle name="Vérification 2 3 9 2 4 2 5" xfId="12437"/>
    <cellStyle name="Vérification 2 3 9 2 4 2 6" xfId="28658"/>
    <cellStyle name="Vérification 2 3 9 2 4 3" xfId="7400"/>
    <cellStyle name="Vérification 2 3 9 2 4 3 2" xfId="9444"/>
    <cellStyle name="Vérification 2 3 9 2 4 3 2 2" xfId="25668"/>
    <cellStyle name="Vérification 2 3 9 2 4 3 2 2 2" xfId="37675"/>
    <cellStyle name="Vérification 2 3 9 2 4 3 2 3" xfId="15451"/>
    <cellStyle name="Vérification 2 3 9 2 4 3 2 4" xfId="31672"/>
    <cellStyle name="Vérification 2 3 9 2 4 3 3" xfId="23624"/>
    <cellStyle name="Vérification 2 3 9 2 4 3 3 2" xfId="35631"/>
    <cellStyle name="Vérification 2 3 9 2 4 3 4" xfId="13148"/>
    <cellStyle name="Vérification 2 3 9 2 4 3 5" xfId="29369"/>
    <cellStyle name="Vérification 2 3 9 2 4 4" xfId="7777"/>
    <cellStyle name="Vérification 2 3 9 2 4 4 2" xfId="24001"/>
    <cellStyle name="Vérification 2 3 9 2 4 4 2 2" xfId="36008"/>
    <cellStyle name="Vérification 2 3 9 2 4 4 3" xfId="13784"/>
    <cellStyle name="Vérification 2 3 9 2 4 4 4" xfId="30005"/>
    <cellStyle name="Vérification 2 3 9 2 4 5" xfId="18892"/>
    <cellStyle name="Vérification 2 3 9 2 4 5 2" xfId="33006"/>
    <cellStyle name="Vérification 2 3 9 2 4 6" xfId="11133"/>
    <cellStyle name="Vérification 2 3 9 2 4 7" xfId="27354"/>
    <cellStyle name="Vérification 2 3 9 2 5" xfId="4211"/>
    <cellStyle name="Vérification 2 3 9 2 5 2" xfId="6814"/>
    <cellStyle name="Vérification 2 3 9 2 5 2 2" xfId="9111"/>
    <cellStyle name="Vérification 2 3 9 2 5 2 2 2" xfId="25335"/>
    <cellStyle name="Vérification 2 3 9 2 5 2 2 2 2" xfId="37342"/>
    <cellStyle name="Vérification 2 3 9 2 5 2 2 3" xfId="15118"/>
    <cellStyle name="Vérification 2 3 9 2 5 2 2 4" xfId="31339"/>
    <cellStyle name="Vérification 2 3 9 2 5 2 3" xfId="23038"/>
    <cellStyle name="Vérification 2 3 9 2 5 2 3 2" xfId="35045"/>
    <cellStyle name="Vérification 2 3 9 2 5 2 4" xfId="12815"/>
    <cellStyle name="Vérification 2 3 9 2 5 2 5" xfId="29036"/>
    <cellStyle name="Vérification 2 3 9 2 5 3" xfId="3138"/>
    <cellStyle name="Vérification 2 3 9 2 5 3 2" xfId="19366"/>
    <cellStyle name="Vérification 2 3 9 2 5 3 2 2" xfId="33480"/>
    <cellStyle name="Vérification 2 3 9 2 5 3 3" xfId="11578"/>
    <cellStyle name="Vérification 2 3 9 2 5 3 4" xfId="27799"/>
    <cellStyle name="Vérification 2 3 9 2 5 4" xfId="20437"/>
    <cellStyle name="Vérification 2 3 9 2 5 4 2" xfId="34250"/>
    <cellStyle name="Vérification 2 3 9 2 5 5" xfId="10790"/>
    <cellStyle name="Vérification 2 3 9 2 5 6" xfId="27013"/>
    <cellStyle name="Vérification 2 3 9 2 6" xfId="3098"/>
    <cellStyle name="Vérification 2 3 9 2 6 2" xfId="8151"/>
    <cellStyle name="Vérification 2 3 9 2 6 2 2" xfId="24375"/>
    <cellStyle name="Vérification 2 3 9 2 6 2 2 2" xfId="36382"/>
    <cellStyle name="Vérification 2 3 9 2 6 2 3" xfId="14158"/>
    <cellStyle name="Vérification 2 3 9 2 6 2 4" xfId="30379"/>
    <cellStyle name="Vérification 2 3 9 2 6 3" xfId="9778"/>
    <cellStyle name="Vérification 2 3 9 2 6 3 2" xfId="26002"/>
    <cellStyle name="Vérification 2 3 9 2 6 3 2 2" xfId="38009"/>
    <cellStyle name="Vérification 2 3 9 2 6 3 3" xfId="15785"/>
    <cellStyle name="Vérification 2 3 9 2 6 3 4" xfId="32006"/>
    <cellStyle name="Vérification 2 3 9 2 6 4" xfId="19326"/>
    <cellStyle name="Vérification 2 3 9 2 6 4 2" xfId="33440"/>
    <cellStyle name="Vérification 2 3 9 2 6 5" xfId="11706"/>
    <cellStyle name="Vérification 2 3 9 2 6 6" xfId="27927"/>
    <cellStyle name="Vérification 2 3 9 2 7" xfId="3278"/>
    <cellStyle name="Vérification 2 3 9 2 7 2" xfId="8274"/>
    <cellStyle name="Vérification 2 3 9 2 7 2 2" xfId="24498"/>
    <cellStyle name="Vérification 2 3 9 2 7 2 2 2" xfId="36505"/>
    <cellStyle name="Vérification 2 3 9 2 7 2 3" xfId="14281"/>
    <cellStyle name="Vérification 2 3 9 2 7 2 4" xfId="30502"/>
    <cellStyle name="Vérification 2 3 9 2 7 3" xfId="19506"/>
    <cellStyle name="Vérification 2 3 9 2 7 3 2" xfId="33620"/>
    <cellStyle name="Vérification 2 3 9 2 7 4" xfId="11829"/>
    <cellStyle name="Vérification 2 3 9 2 7 5" xfId="28050"/>
    <cellStyle name="Vérification 2 3 9 2 8" xfId="7162"/>
    <cellStyle name="Vérification 2 3 9 2 8 2" xfId="23386"/>
    <cellStyle name="Vérification 2 3 9 2 8 2 2" xfId="35393"/>
    <cellStyle name="Vérification 2 3 9 2 8 3" xfId="13546"/>
    <cellStyle name="Vérification 2 3 9 2 8 4" xfId="29767"/>
    <cellStyle name="Vérification 2 3 9 2 9" xfId="16753"/>
    <cellStyle name="Vérification 2 3 9 2 9 2" xfId="32673"/>
    <cellStyle name="Vérification 2 3 9 3" xfId="519"/>
    <cellStyle name="Vérification 2 3 9 3 10" xfId="10466"/>
    <cellStyle name="Vérification 2 3 9 3 11" xfId="26691"/>
    <cellStyle name="Vérification 2 3 9 3 2" xfId="1385"/>
    <cellStyle name="Vérification 2 3 9 3 2 2" xfId="2863"/>
    <cellStyle name="Vérification 2 3 9 3 2 2 2" xfId="6551"/>
    <cellStyle name="Vérification 2 3 9 3 2 2 2 2" xfId="8932"/>
    <cellStyle name="Vérification 2 3 9 3 2 2 2 2 2" xfId="25156"/>
    <cellStyle name="Vérification 2 3 9 3 2 2 2 2 2 2" xfId="37163"/>
    <cellStyle name="Vérification 2 3 9 3 2 2 2 2 3" xfId="14939"/>
    <cellStyle name="Vérification 2 3 9 3 2 2 2 2 4" xfId="31160"/>
    <cellStyle name="Vérification 2 3 9 3 2 2 2 3" xfId="10310"/>
    <cellStyle name="Vérification 2 3 9 3 2 2 2 3 2" xfId="26534"/>
    <cellStyle name="Vérification 2 3 9 3 2 2 2 3 2 2" xfId="38541"/>
    <cellStyle name="Vérification 2 3 9 3 2 2 2 3 3" xfId="16317"/>
    <cellStyle name="Vérification 2 3 9 3 2 2 2 3 4" xfId="32538"/>
    <cellStyle name="Vérification 2 3 9 3 2 2 2 4" xfId="22775"/>
    <cellStyle name="Vérification 2 3 9 3 2 2 2 4 2" xfId="34782"/>
    <cellStyle name="Vérification 2 3 9 3 2 2 2 5" xfId="12636"/>
    <cellStyle name="Vérification 2 3 9 3 2 2 2 6" xfId="28857"/>
    <cellStyle name="Vérification 2 3 9 3 2 2 3" xfId="7599"/>
    <cellStyle name="Vérification 2 3 9 3 2 2 3 2" xfId="9643"/>
    <cellStyle name="Vérification 2 3 9 3 2 2 3 2 2" xfId="25867"/>
    <cellStyle name="Vérification 2 3 9 3 2 2 3 2 2 2" xfId="37874"/>
    <cellStyle name="Vérification 2 3 9 3 2 2 3 2 3" xfId="15650"/>
    <cellStyle name="Vérification 2 3 9 3 2 2 3 2 4" xfId="31871"/>
    <cellStyle name="Vérification 2 3 9 3 2 2 3 3" xfId="23823"/>
    <cellStyle name="Vérification 2 3 9 3 2 2 3 3 2" xfId="35830"/>
    <cellStyle name="Vérification 2 3 9 3 2 2 3 4" xfId="13347"/>
    <cellStyle name="Vérification 2 3 9 3 2 2 3 5" xfId="29568"/>
    <cellStyle name="Vérification 2 3 9 3 2 2 4" xfId="7976"/>
    <cellStyle name="Vérification 2 3 9 3 2 2 4 2" xfId="24200"/>
    <cellStyle name="Vérification 2 3 9 3 2 2 4 2 2" xfId="36207"/>
    <cellStyle name="Vérification 2 3 9 3 2 2 4 3" xfId="13983"/>
    <cellStyle name="Vérification 2 3 9 3 2 2 4 4" xfId="30204"/>
    <cellStyle name="Vérification 2 3 9 3 2 2 5" xfId="19091"/>
    <cellStyle name="Vérification 2 3 9 3 2 2 5 2" xfId="33205"/>
    <cellStyle name="Vérification 2 3 9 3 2 2 6" xfId="11332"/>
    <cellStyle name="Vérification 2 3 9 3 2 2 7" xfId="27553"/>
    <cellStyle name="Vérification 2 3 9 3 2 3" xfId="5082"/>
    <cellStyle name="Vérification 2 3 9 3 2 3 2" xfId="7109"/>
    <cellStyle name="Vérification 2 3 9 3 2 3 2 2" xfId="9310"/>
    <cellStyle name="Vérification 2 3 9 3 2 3 2 2 2" xfId="25534"/>
    <cellStyle name="Vérification 2 3 9 3 2 3 2 2 2 2" xfId="37541"/>
    <cellStyle name="Vérification 2 3 9 3 2 3 2 2 3" xfId="15317"/>
    <cellStyle name="Vérification 2 3 9 3 2 3 2 2 4" xfId="31538"/>
    <cellStyle name="Vérification 2 3 9 3 2 3 2 3" xfId="23333"/>
    <cellStyle name="Vérification 2 3 9 3 2 3 2 3 2" xfId="35340"/>
    <cellStyle name="Vérification 2 3 9 3 2 3 2 4" xfId="13014"/>
    <cellStyle name="Vérification 2 3 9 3 2 3 2 5" xfId="29235"/>
    <cellStyle name="Vérification 2 3 9 3 2 3 3" xfId="3682"/>
    <cellStyle name="Vérification 2 3 9 3 2 3 3 2" xfId="19910"/>
    <cellStyle name="Vérification 2 3 9 3 2 3 3 2 2" xfId="34024"/>
    <cellStyle name="Vérification 2 3 9 3 2 3 3 3" xfId="11495"/>
    <cellStyle name="Vérification 2 3 9 3 2 3 3 4" xfId="27716"/>
    <cellStyle name="Vérification 2 3 9 3 2 3 4" xfId="21308"/>
    <cellStyle name="Vérification 2 3 9 3 2 3 4 2" xfId="34449"/>
    <cellStyle name="Vérification 2 3 9 3 2 3 5" xfId="10996"/>
    <cellStyle name="Vérification 2 3 9 3 2 3 6" xfId="27219"/>
    <cellStyle name="Vérification 2 3 9 3 2 4" xfId="3473"/>
    <cellStyle name="Vérification 2 3 9 3 2 4 2" xfId="8440"/>
    <cellStyle name="Vérification 2 3 9 3 2 4 2 2" xfId="24664"/>
    <cellStyle name="Vérification 2 3 9 3 2 4 2 2 2" xfId="36671"/>
    <cellStyle name="Vérification 2 3 9 3 2 4 2 3" xfId="14447"/>
    <cellStyle name="Vérification 2 3 9 3 2 4 2 4" xfId="30668"/>
    <cellStyle name="Vérification 2 3 9 3 2 4 3" xfId="9977"/>
    <cellStyle name="Vérification 2 3 9 3 2 4 3 2" xfId="26201"/>
    <cellStyle name="Vérification 2 3 9 3 2 4 3 2 2" xfId="38208"/>
    <cellStyle name="Vérification 2 3 9 3 2 4 3 3" xfId="15984"/>
    <cellStyle name="Vérification 2 3 9 3 2 4 3 4" xfId="32205"/>
    <cellStyle name="Vérification 2 3 9 3 2 4 4" xfId="19701"/>
    <cellStyle name="Vérification 2 3 9 3 2 4 4 2" xfId="33815"/>
    <cellStyle name="Vérification 2 3 9 3 2 4 5" xfId="11995"/>
    <cellStyle name="Vérification 2 3 9 3 2 4 6" xfId="28216"/>
    <cellStyle name="Vérification 2 3 9 3 2 5" xfId="3250"/>
    <cellStyle name="Vérification 2 3 9 3 2 5 2" xfId="8254"/>
    <cellStyle name="Vérification 2 3 9 3 2 5 2 2" xfId="24478"/>
    <cellStyle name="Vérification 2 3 9 3 2 5 2 2 2" xfId="36485"/>
    <cellStyle name="Vérification 2 3 9 3 2 5 2 3" xfId="14261"/>
    <cellStyle name="Vérification 2 3 9 3 2 5 2 4" xfId="30482"/>
    <cellStyle name="Vérification 2 3 9 3 2 5 3" xfId="19478"/>
    <cellStyle name="Vérification 2 3 9 3 2 5 3 2" xfId="33592"/>
    <cellStyle name="Vérification 2 3 9 3 2 5 4" xfId="11809"/>
    <cellStyle name="Vérification 2 3 9 3 2 5 5" xfId="28030"/>
    <cellStyle name="Vérification 2 3 9 3 2 6" xfId="7299"/>
    <cellStyle name="Vérification 2 3 9 3 2 6 2" xfId="23523"/>
    <cellStyle name="Vérification 2 3 9 3 2 6 2 2" xfId="35530"/>
    <cellStyle name="Vérification 2 3 9 3 2 6 3" xfId="13680"/>
    <cellStyle name="Vérification 2 3 9 3 2 6 4" xfId="29901"/>
    <cellStyle name="Vérification 2 3 9 3 2 7" xfId="17624"/>
    <cellStyle name="Vérification 2 3 9 3 2 7 2" xfId="32872"/>
    <cellStyle name="Vérification 2 3 9 3 2 8" xfId="10644"/>
    <cellStyle name="Vérification 2 3 9 3 2 9" xfId="26869"/>
    <cellStyle name="Vérification 2 3 9 3 3" xfId="1134"/>
    <cellStyle name="Vérification 2 3 9 3 3 2" xfId="2774"/>
    <cellStyle name="Vérification 2 3 9 3 3 2 2" xfId="6462"/>
    <cellStyle name="Vérification 2 3 9 3 3 2 2 2" xfId="8843"/>
    <cellStyle name="Vérification 2 3 9 3 3 2 2 2 2" xfId="25067"/>
    <cellStyle name="Vérification 2 3 9 3 3 2 2 2 2 2" xfId="37074"/>
    <cellStyle name="Vérification 2 3 9 3 3 2 2 2 3" xfId="14850"/>
    <cellStyle name="Vérification 2 3 9 3 3 2 2 2 4" xfId="31071"/>
    <cellStyle name="Vérification 2 3 9 3 3 2 2 3" xfId="10221"/>
    <cellStyle name="Vérification 2 3 9 3 3 2 2 3 2" xfId="26445"/>
    <cellStyle name="Vérification 2 3 9 3 3 2 2 3 2 2" xfId="38452"/>
    <cellStyle name="Vérification 2 3 9 3 3 2 2 3 3" xfId="16228"/>
    <cellStyle name="Vérification 2 3 9 3 3 2 2 3 4" xfId="32449"/>
    <cellStyle name="Vérification 2 3 9 3 3 2 2 4" xfId="22686"/>
    <cellStyle name="Vérification 2 3 9 3 3 2 2 4 2" xfId="34693"/>
    <cellStyle name="Vérification 2 3 9 3 3 2 2 5" xfId="12547"/>
    <cellStyle name="Vérification 2 3 9 3 3 2 2 6" xfId="28768"/>
    <cellStyle name="Vérification 2 3 9 3 3 2 3" xfId="7510"/>
    <cellStyle name="Vérification 2 3 9 3 3 2 3 2" xfId="9554"/>
    <cellStyle name="Vérification 2 3 9 3 3 2 3 2 2" xfId="25778"/>
    <cellStyle name="Vérification 2 3 9 3 3 2 3 2 2 2" xfId="37785"/>
    <cellStyle name="Vérification 2 3 9 3 3 2 3 2 3" xfId="15561"/>
    <cellStyle name="Vérification 2 3 9 3 3 2 3 2 4" xfId="31782"/>
    <cellStyle name="Vérification 2 3 9 3 3 2 3 3" xfId="23734"/>
    <cellStyle name="Vérification 2 3 9 3 3 2 3 3 2" xfId="35741"/>
    <cellStyle name="Vérification 2 3 9 3 3 2 3 4" xfId="13258"/>
    <cellStyle name="Vérification 2 3 9 3 3 2 3 5" xfId="29479"/>
    <cellStyle name="Vérification 2 3 9 3 3 2 4" xfId="7887"/>
    <cellStyle name="Vérification 2 3 9 3 3 2 4 2" xfId="24111"/>
    <cellStyle name="Vérification 2 3 9 3 3 2 4 2 2" xfId="36118"/>
    <cellStyle name="Vérification 2 3 9 3 3 2 4 3" xfId="13894"/>
    <cellStyle name="Vérification 2 3 9 3 3 2 4 4" xfId="30115"/>
    <cellStyle name="Vérification 2 3 9 3 3 2 5" xfId="19002"/>
    <cellStyle name="Vérification 2 3 9 3 3 2 5 2" xfId="33116"/>
    <cellStyle name="Vérification 2 3 9 3 3 2 6" xfId="11243"/>
    <cellStyle name="Vérification 2 3 9 3 3 2 7" xfId="27464"/>
    <cellStyle name="Vérification 2 3 9 3 3 3" xfId="4831"/>
    <cellStyle name="Vérification 2 3 9 3 3 3 2" xfId="7001"/>
    <cellStyle name="Vérification 2 3 9 3 3 3 2 2" xfId="9221"/>
    <cellStyle name="Vérification 2 3 9 3 3 3 2 2 2" xfId="25445"/>
    <cellStyle name="Vérification 2 3 9 3 3 3 2 2 2 2" xfId="37452"/>
    <cellStyle name="Vérification 2 3 9 3 3 3 2 2 3" xfId="15228"/>
    <cellStyle name="Vérification 2 3 9 3 3 3 2 2 4" xfId="31449"/>
    <cellStyle name="Vérification 2 3 9 3 3 3 2 3" xfId="23225"/>
    <cellStyle name="Vérification 2 3 9 3 3 3 2 3 2" xfId="35232"/>
    <cellStyle name="Vérification 2 3 9 3 3 3 2 4" xfId="12925"/>
    <cellStyle name="Vérification 2 3 9 3 3 3 2 5" xfId="29146"/>
    <cellStyle name="Vérification 2 3 9 3 3 3 3" xfId="7220"/>
    <cellStyle name="Vérification 2 3 9 3 3 3 3 2" xfId="23444"/>
    <cellStyle name="Vérification 2 3 9 3 3 3 3 2 2" xfId="35451"/>
    <cellStyle name="Vérification 2 3 9 3 3 3 3 3" xfId="13604"/>
    <cellStyle name="Vérification 2 3 9 3 3 3 3 4" xfId="29825"/>
    <cellStyle name="Vérification 2 3 9 3 3 3 4" xfId="21057"/>
    <cellStyle name="Vérification 2 3 9 3 3 3 4 2" xfId="34360"/>
    <cellStyle name="Vérification 2 3 9 3 3 3 5" xfId="10907"/>
    <cellStyle name="Vérification 2 3 9 3 3 3 6" xfId="27130"/>
    <cellStyle name="Vérification 2 3 9 3 3 4" xfId="3345"/>
    <cellStyle name="Vérification 2 3 9 3 3 4 2" xfId="8328"/>
    <cellStyle name="Vérification 2 3 9 3 3 4 2 2" xfId="24552"/>
    <cellStyle name="Vérification 2 3 9 3 3 4 2 2 2" xfId="36559"/>
    <cellStyle name="Vérification 2 3 9 3 3 4 2 3" xfId="14335"/>
    <cellStyle name="Vérification 2 3 9 3 3 4 2 4" xfId="30556"/>
    <cellStyle name="Vérification 2 3 9 3 3 4 3" xfId="9888"/>
    <cellStyle name="Vérification 2 3 9 3 3 4 3 2" xfId="26112"/>
    <cellStyle name="Vérification 2 3 9 3 3 4 3 2 2" xfId="38119"/>
    <cellStyle name="Vérification 2 3 9 3 3 4 3 3" xfId="15895"/>
    <cellStyle name="Vérification 2 3 9 3 3 4 3 4" xfId="32116"/>
    <cellStyle name="Vérification 2 3 9 3 3 4 4" xfId="19573"/>
    <cellStyle name="Vérification 2 3 9 3 3 4 4 2" xfId="33687"/>
    <cellStyle name="Vérification 2 3 9 3 3 4 5" xfId="11883"/>
    <cellStyle name="Vérification 2 3 9 3 3 4 6" xfId="28104"/>
    <cellStyle name="Vérification 2 3 9 3 3 5" xfId="3177"/>
    <cellStyle name="Vérification 2 3 9 3 3 5 2" xfId="8208"/>
    <cellStyle name="Vérification 2 3 9 3 3 5 2 2" xfId="24432"/>
    <cellStyle name="Vérification 2 3 9 3 3 5 2 2 2" xfId="36439"/>
    <cellStyle name="Vérification 2 3 9 3 3 5 2 3" xfId="14215"/>
    <cellStyle name="Vérification 2 3 9 3 3 5 2 4" xfId="30436"/>
    <cellStyle name="Vérification 2 3 9 3 3 5 3" xfId="19405"/>
    <cellStyle name="Vérification 2 3 9 3 3 5 3 2" xfId="33519"/>
    <cellStyle name="Vérification 2 3 9 3 3 5 4" xfId="11763"/>
    <cellStyle name="Vérification 2 3 9 3 3 5 5" xfId="27984"/>
    <cellStyle name="Vérification 2 3 9 3 3 6" xfId="7218"/>
    <cellStyle name="Vérification 2 3 9 3 3 6 2" xfId="23442"/>
    <cellStyle name="Vérification 2 3 9 3 3 6 2 2" xfId="35449"/>
    <cellStyle name="Vérification 2 3 9 3 3 6 3" xfId="13602"/>
    <cellStyle name="Vérification 2 3 9 3 3 6 4" xfId="29823"/>
    <cellStyle name="Vérification 2 3 9 3 3 7" xfId="17373"/>
    <cellStyle name="Vérification 2 3 9 3 3 7 2" xfId="32783"/>
    <cellStyle name="Vérification 2 3 9 3 3 8" xfId="10555"/>
    <cellStyle name="Vérification 2 3 9 3 3 9" xfId="26780"/>
    <cellStyle name="Vérification 2 3 9 3 4" xfId="2685"/>
    <cellStyle name="Vérification 2 3 9 3 4 2" xfId="6373"/>
    <cellStyle name="Vérification 2 3 9 3 4 2 2" xfId="8754"/>
    <cellStyle name="Vérification 2 3 9 3 4 2 2 2" xfId="24978"/>
    <cellStyle name="Vérification 2 3 9 3 4 2 2 2 2" xfId="36985"/>
    <cellStyle name="Vérification 2 3 9 3 4 2 2 3" xfId="14761"/>
    <cellStyle name="Vérification 2 3 9 3 4 2 2 4" xfId="30982"/>
    <cellStyle name="Vérification 2 3 9 3 4 2 3" xfId="10132"/>
    <cellStyle name="Vérification 2 3 9 3 4 2 3 2" xfId="26356"/>
    <cellStyle name="Vérification 2 3 9 3 4 2 3 2 2" xfId="38363"/>
    <cellStyle name="Vérification 2 3 9 3 4 2 3 3" xfId="16139"/>
    <cellStyle name="Vérification 2 3 9 3 4 2 3 4" xfId="32360"/>
    <cellStyle name="Vérification 2 3 9 3 4 2 4" xfId="22597"/>
    <cellStyle name="Vérification 2 3 9 3 4 2 4 2" xfId="34604"/>
    <cellStyle name="Vérification 2 3 9 3 4 2 5" xfId="12458"/>
    <cellStyle name="Vérification 2 3 9 3 4 2 6" xfId="28679"/>
    <cellStyle name="Vérification 2 3 9 3 4 3" xfId="7421"/>
    <cellStyle name="Vérification 2 3 9 3 4 3 2" xfId="9465"/>
    <cellStyle name="Vérification 2 3 9 3 4 3 2 2" xfId="25689"/>
    <cellStyle name="Vérification 2 3 9 3 4 3 2 2 2" xfId="37696"/>
    <cellStyle name="Vérification 2 3 9 3 4 3 2 3" xfId="15472"/>
    <cellStyle name="Vérification 2 3 9 3 4 3 2 4" xfId="31693"/>
    <cellStyle name="Vérification 2 3 9 3 4 3 3" xfId="23645"/>
    <cellStyle name="Vérification 2 3 9 3 4 3 3 2" xfId="35652"/>
    <cellStyle name="Vérification 2 3 9 3 4 3 4" xfId="13169"/>
    <cellStyle name="Vérification 2 3 9 3 4 3 5" xfId="29390"/>
    <cellStyle name="Vérification 2 3 9 3 4 4" xfId="7798"/>
    <cellStyle name="Vérification 2 3 9 3 4 4 2" xfId="24022"/>
    <cellStyle name="Vérification 2 3 9 3 4 4 2 2" xfId="36029"/>
    <cellStyle name="Vérification 2 3 9 3 4 4 3" xfId="13805"/>
    <cellStyle name="Vérification 2 3 9 3 4 4 4" xfId="30026"/>
    <cellStyle name="Vérification 2 3 9 3 4 5" xfId="18913"/>
    <cellStyle name="Vérification 2 3 9 3 4 5 2" xfId="33027"/>
    <cellStyle name="Vérification 2 3 9 3 4 6" xfId="11154"/>
    <cellStyle name="Vérification 2 3 9 3 4 7" xfId="27375"/>
    <cellStyle name="Vérification 2 3 9 3 5" xfId="4256"/>
    <cellStyle name="Vérification 2 3 9 3 5 2" xfId="6836"/>
    <cellStyle name="Vérification 2 3 9 3 5 2 2" xfId="9132"/>
    <cellStyle name="Vérification 2 3 9 3 5 2 2 2" xfId="25356"/>
    <cellStyle name="Vérification 2 3 9 3 5 2 2 2 2" xfId="37363"/>
    <cellStyle name="Vérification 2 3 9 3 5 2 2 3" xfId="15139"/>
    <cellStyle name="Vérification 2 3 9 3 5 2 2 4" xfId="31360"/>
    <cellStyle name="Vérification 2 3 9 3 5 2 3" xfId="23060"/>
    <cellStyle name="Vérification 2 3 9 3 5 2 3 2" xfId="35067"/>
    <cellStyle name="Vérification 2 3 9 3 5 2 4" xfId="12836"/>
    <cellStyle name="Vérification 2 3 9 3 5 2 5" xfId="29057"/>
    <cellStyle name="Vérification 2 3 9 3 5 3" xfId="7275"/>
    <cellStyle name="Vérification 2 3 9 3 5 3 2" xfId="23499"/>
    <cellStyle name="Vérification 2 3 9 3 5 3 2 2" xfId="35506"/>
    <cellStyle name="Vérification 2 3 9 3 5 3 3" xfId="13659"/>
    <cellStyle name="Vérification 2 3 9 3 5 3 4" xfId="29880"/>
    <cellStyle name="Vérification 2 3 9 3 5 4" xfId="20482"/>
    <cellStyle name="Vérification 2 3 9 3 5 4 2" xfId="34271"/>
    <cellStyle name="Vérification 2 3 9 3 5 5" xfId="10811"/>
    <cellStyle name="Vérification 2 3 9 3 5 6" xfId="27034"/>
    <cellStyle name="Vérification 2 3 9 3 6" xfId="3124"/>
    <cellStyle name="Vérification 2 3 9 3 6 2" xfId="8176"/>
    <cellStyle name="Vérification 2 3 9 3 6 2 2" xfId="24400"/>
    <cellStyle name="Vérification 2 3 9 3 6 2 2 2" xfId="36407"/>
    <cellStyle name="Vérification 2 3 9 3 6 2 3" xfId="14183"/>
    <cellStyle name="Vérification 2 3 9 3 6 2 4" xfId="30404"/>
    <cellStyle name="Vérification 2 3 9 3 6 3" xfId="9799"/>
    <cellStyle name="Vérification 2 3 9 3 6 3 2" xfId="26023"/>
    <cellStyle name="Vérification 2 3 9 3 6 3 2 2" xfId="38030"/>
    <cellStyle name="Vérification 2 3 9 3 6 3 3" xfId="15806"/>
    <cellStyle name="Vérification 2 3 9 3 6 3 4" xfId="32027"/>
    <cellStyle name="Vérification 2 3 9 3 6 4" xfId="19352"/>
    <cellStyle name="Vérification 2 3 9 3 6 4 2" xfId="33466"/>
    <cellStyle name="Vérification 2 3 9 3 6 5" xfId="11731"/>
    <cellStyle name="Vérification 2 3 9 3 6 6" xfId="27952"/>
    <cellStyle name="Vérification 2 3 9 3 7" xfId="3399"/>
    <cellStyle name="Vérification 2 3 9 3 7 2" xfId="8368"/>
    <cellStyle name="Vérification 2 3 9 3 7 2 2" xfId="24592"/>
    <cellStyle name="Vérification 2 3 9 3 7 2 2 2" xfId="36599"/>
    <cellStyle name="Vérification 2 3 9 3 7 2 3" xfId="14375"/>
    <cellStyle name="Vérification 2 3 9 3 7 2 4" xfId="30596"/>
    <cellStyle name="Vérification 2 3 9 3 7 3" xfId="19627"/>
    <cellStyle name="Vérification 2 3 9 3 7 3 2" xfId="33741"/>
    <cellStyle name="Vérification 2 3 9 3 7 4" xfId="11923"/>
    <cellStyle name="Vérification 2 3 9 3 7 5" xfId="28144"/>
    <cellStyle name="Vérification 2 3 9 3 8" xfId="7245"/>
    <cellStyle name="Vérification 2 3 9 3 8 2" xfId="23469"/>
    <cellStyle name="Vérification 2 3 9 3 8 2 2" xfId="35476"/>
    <cellStyle name="Vérification 2 3 9 3 8 3" xfId="13629"/>
    <cellStyle name="Vérification 2 3 9 3 8 4" xfId="29850"/>
    <cellStyle name="Vérification 2 3 9 3 9" xfId="16798"/>
    <cellStyle name="Vérification 2 3 9 3 9 2" xfId="32694"/>
    <cellStyle name="Vérification 2 3 9 4" xfId="716"/>
    <cellStyle name="Vérification 2 3 9 4 10" xfId="10489"/>
    <cellStyle name="Vérification 2 3 9 4 11" xfId="26714"/>
    <cellStyle name="Vérification 2 3 9 4 2" xfId="1408"/>
    <cellStyle name="Vérification 2 3 9 4 2 2" xfId="2886"/>
    <cellStyle name="Vérification 2 3 9 4 2 2 2" xfId="6574"/>
    <cellStyle name="Vérification 2 3 9 4 2 2 2 2" xfId="8955"/>
    <cellStyle name="Vérification 2 3 9 4 2 2 2 2 2" xfId="25179"/>
    <cellStyle name="Vérification 2 3 9 4 2 2 2 2 2 2" xfId="37186"/>
    <cellStyle name="Vérification 2 3 9 4 2 2 2 2 3" xfId="14962"/>
    <cellStyle name="Vérification 2 3 9 4 2 2 2 2 4" xfId="31183"/>
    <cellStyle name="Vérification 2 3 9 4 2 2 2 3" xfId="10333"/>
    <cellStyle name="Vérification 2 3 9 4 2 2 2 3 2" xfId="26557"/>
    <cellStyle name="Vérification 2 3 9 4 2 2 2 3 2 2" xfId="38564"/>
    <cellStyle name="Vérification 2 3 9 4 2 2 2 3 3" xfId="16340"/>
    <cellStyle name="Vérification 2 3 9 4 2 2 2 3 4" xfId="32561"/>
    <cellStyle name="Vérification 2 3 9 4 2 2 2 4" xfId="22798"/>
    <cellStyle name="Vérification 2 3 9 4 2 2 2 4 2" xfId="34805"/>
    <cellStyle name="Vérification 2 3 9 4 2 2 2 5" xfId="12659"/>
    <cellStyle name="Vérification 2 3 9 4 2 2 2 6" xfId="28880"/>
    <cellStyle name="Vérification 2 3 9 4 2 2 3" xfId="7622"/>
    <cellStyle name="Vérification 2 3 9 4 2 2 3 2" xfId="9666"/>
    <cellStyle name="Vérification 2 3 9 4 2 2 3 2 2" xfId="25890"/>
    <cellStyle name="Vérification 2 3 9 4 2 2 3 2 2 2" xfId="37897"/>
    <cellStyle name="Vérification 2 3 9 4 2 2 3 2 3" xfId="15673"/>
    <cellStyle name="Vérification 2 3 9 4 2 2 3 2 4" xfId="31894"/>
    <cellStyle name="Vérification 2 3 9 4 2 2 3 3" xfId="23846"/>
    <cellStyle name="Vérification 2 3 9 4 2 2 3 3 2" xfId="35853"/>
    <cellStyle name="Vérification 2 3 9 4 2 2 3 4" xfId="13370"/>
    <cellStyle name="Vérification 2 3 9 4 2 2 3 5" xfId="29591"/>
    <cellStyle name="Vérification 2 3 9 4 2 2 4" xfId="7999"/>
    <cellStyle name="Vérification 2 3 9 4 2 2 4 2" xfId="24223"/>
    <cellStyle name="Vérification 2 3 9 4 2 2 4 2 2" xfId="36230"/>
    <cellStyle name="Vérification 2 3 9 4 2 2 4 3" xfId="14006"/>
    <cellStyle name="Vérification 2 3 9 4 2 2 4 4" xfId="30227"/>
    <cellStyle name="Vérification 2 3 9 4 2 2 5" xfId="19114"/>
    <cellStyle name="Vérification 2 3 9 4 2 2 5 2" xfId="33228"/>
    <cellStyle name="Vérification 2 3 9 4 2 2 6" xfId="11355"/>
    <cellStyle name="Vérification 2 3 9 4 2 2 7" xfId="27576"/>
    <cellStyle name="Vérification 2 3 9 4 2 3" xfId="5105"/>
    <cellStyle name="Vérification 2 3 9 4 2 3 2" xfId="7132"/>
    <cellStyle name="Vérification 2 3 9 4 2 3 2 2" xfId="9333"/>
    <cellStyle name="Vérification 2 3 9 4 2 3 2 2 2" xfId="25557"/>
    <cellStyle name="Vérification 2 3 9 4 2 3 2 2 2 2" xfId="37564"/>
    <cellStyle name="Vérification 2 3 9 4 2 3 2 2 3" xfId="15340"/>
    <cellStyle name="Vérification 2 3 9 4 2 3 2 2 4" xfId="31561"/>
    <cellStyle name="Vérification 2 3 9 4 2 3 2 3" xfId="23356"/>
    <cellStyle name="Vérification 2 3 9 4 2 3 2 3 2" xfId="35363"/>
    <cellStyle name="Vérification 2 3 9 4 2 3 2 4" xfId="13037"/>
    <cellStyle name="Vérification 2 3 9 4 2 3 2 5" xfId="29258"/>
    <cellStyle name="Vérification 2 3 9 4 2 3 3" xfId="3584"/>
    <cellStyle name="Vérification 2 3 9 4 2 3 3 2" xfId="19812"/>
    <cellStyle name="Vérification 2 3 9 4 2 3 3 2 2" xfId="33926"/>
    <cellStyle name="Vérification 2 3 9 4 2 3 3 3" xfId="11539"/>
    <cellStyle name="Vérification 2 3 9 4 2 3 3 4" xfId="27760"/>
    <cellStyle name="Vérification 2 3 9 4 2 3 4" xfId="21331"/>
    <cellStyle name="Vérification 2 3 9 4 2 3 4 2" xfId="34472"/>
    <cellStyle name="Vérification 2 3 9 4 2 3 5" xfId="11019"/>
    <cellStyle name="Vérification 2 3 9 4 2 3 6" xfId="27242"/>
    <cellStyle name="Vérification 2 3 9 4 2 4" xfId="3496"/>
    <cellStyle name="Vérification 2 3 9 4 2 4 2" xfId="8463"/>
    <cellStyle name="Vérification 2 3 9 4 2 4 2 2" xfId="24687"/>
    <cellStyle name="Vérification 2 3 9 4 2 4 2 2 2" xfId="36694"/>
    <cellStyle name="Vérification 2 3 9 4 2 4 2 3" xfId="14470"/>
    <cellStyle name="Vérification 2 3 9 4 2 4 2 4" xfId="30691"/>
    <cellStyle name="Vérification 2 3 9 4 2 4 3" xfId="10000"/>
    <cellStyle name="Vérification 2 3 9 4 2 4 3 2" xfId="26224"/>
    <cellStyle name="Vérification 2 3 9 4 2 4 3 2 2" xfId="38231"/>
    <cellStyle name="Vérification 2 3 9 4 2 4 3 3" xfId="16007"/>
    <cellStyle name="Vérification 2 3 9 4 2 4 3 4" xfId="32228"/>
    <cellStyle name="Vérification 2 3 9 4 2 4 4" xfId="19724"/>
    <cellStyle name="Vérification 2 3 9 4 2 4 4 2" xfId="33838"/>
    <cellStyle name="Vérification 2 3 9 4 2 4 5" xfId="12018"/>
    <cellStyle name="Vérification 2 3 9 4 2 4 6" xfId="28239"/>
    <cellStyle name="Vérification 2 3 9 4 2 5" xfId="3806"/>
    <cellStyle name="Vérification 2 3 9 4 2 5 2" xfId="8644"/>
    <cellStyle name="Vérification 2 3 9 4 2 5 2 2" xfId="24868"/>
    <cellStyle name="Vérification 2 3 9 4 2 5 2 2 2" xfId="36875"/>
    <cellStyle name="Vérification 2 3 9 4 2 5 2 3" xfId="14651"/>
    <cellStyle name="Vérification 2 3 9 4 2 5 2 4" xfId="30872"/>
    <cellStyle name="Vérification 2 3 9 4 2 5 3" xfId="20034"/>
    <cellStyle name="Vérification 2 3 9 4 2 5 3 2" xfId="34148"/>
    <cellStyle name="Vérification 2 3 9 4 2 5 4" xfId="12199"/>
    <cellStyle name="Vérification 2 3 9 4 2 5 5" xfId="28420"/>
    <cellStyle name="Vérification 2 3 9 4 2 6" xfId="3230"/>
    <cellStyle name="Vérification 2 3 9 4 2 6 2" xfId="19458"/>
    <cellStyle name="Vérification 2 3 9 4 2 6 2 2" xfId="33572"/>
    <cellStyle name="Vérification 2 3 9 4 2 6 3" xfId="13516"/>
    <cellStyle name="Vérification 2 3 9 4 2 6 4" xfId="29737"/>
    <cellStyle name="Vérification 2 3 9 4 2 7" xfId="17647"/>
    <cellStyle name="Vérification 2 3 9 4 2 7 2" xfId="32895"/>
    <cellStyle name="Vérification 2 3 9 4 2 8" xfId="10667"/>
    <cellStyle name="Vérification 2 3 9 4 2 9" xfId="26892"/>
    <cellStyle name="Vérification 2 3 9 4 3" xfId="1295"/>
    <cellStyle name="Vérification 2 3 9 4 3 2" xfId="2797"/>
    <cellStyle name="Vérification 2 3 9 4 3 2 2" xfId="6485"/>
    <cellStyle name="Vérification 2 3 9 4 3 2 2 2" xfId="8866"/>
    <cellStyle name="Vérification 2 3 9 4 3 2 2 2 2" xfId="25090"/>
    <cellStyle name="Vérification 2 3 9 4 3 2 2 2 2 2" xfId="37097"/>
    <cellStyle name="Vérification 2 3 9 4 3 2 2 2 3" xfId="14873"/>
    <cellStyle name="Vérification 2 3 9 4 3 2 2 2 4" xfId="31094"/>
    <cellStyle name="Vérification 2 3 9 4 3 2 2 3" xfId="10244"/>
    <cellStyle name="Vérification 2 3 9 4 3 2 2 3 2" xfId="26468"/>
    <cellStyle name="Vérification 2 3 9 4 3 2 2 3 2 2" xfId="38475"/>
    <cellStyle name="Vérification 2 3 9 4 3 2 2 3 3" xfId="16251"/>
    <cellStyle name="Vérification 2 3 9 4 3 2 2 3 4" xfId="32472"/>
    <cellStyle name="Vérification 2 3 9 4 3 2 2 4" xfId="22709"/>
    <cellStyle name="Vérification 2 3 9 4 3 2 2 4 2" xfId="34716"/>
    <cellStyle name="Vérification 2 3 9 4 3 2 2 5" xfId="12570"/>
    <cellStyle name="Vérification 2 3 9 4 3 2 2 6" xfId="28791"/>
    <cellStyle name="Vérification 2 3 9 4 3 2 3" xfId="7533"/>
    <cellStyle name="Vérification 2 3 9 4 3 2 3 2" xfId="9577"/>
    <cellStyle name="Vérification 2 3 9 4 3 2 3 2 2" xfId="25801"/>
    <cellStyle name="Vérification 2 3 9 4 3 2 3 2 2 2" xfId="37808"/>
    <cellStyle name="Vérification 2 3 9 4 3 2 3 2 3" xfId="15584"/>
    <cellStyle name="Vérification 2 3 9 4 3 2 3 2 4" xfId="31805"/>
    <cellStyle name="Vérification 2 3 9 4 3 2 3 3" xfId="23757"/>
    <cellStyle name="Vérification 2 3 9 4 3 2 3 3 2" xfId="35764"/>
    <cellStyle name="Vérification 2 3 9 4 3 2 3 4" xfId="13281"/>
    <cellStyle name="Vérification 2 3 9 4 3 2 3 5" xfId="29502"/>
    <cellStyle name="Vérification 2 3 9 4 3 2 4" xfId="7910"/>
    <cellStyle name="Vérification 2 3 9 4 3 2 4 2" xfId="24134"/>
    <cellStyle name="Vérification 2 3 9 4 3 2 4 2 2" xfId="36141"/>
    <cellStyle name="Vérification 2 3 9 4 3 2 4 3" xfId="13917"/>
    <cellStyle name="Vérification 2 3 9 4 3 2 4 4" xfId="30138"/>
    <cellStyle name="Vérification 2 3 9 4 3 2 5" xfId="19025"/>
    <cellStyle name="Vérification 2 3 9 4 3 2 5 2" xfId="33139"/>
    <cellStyle name="Vérification 2 3 9 4 3 2 6" xfId="11266"/>
    <cellStyle name="Vérification 2 3 9 4 3 2 7" xfId="27487"/>
    <cellStyle name="Vérification 2 3 9 4 3 3" xfId="4992"/>
    <cellStyle name="Vérification 2 3 9 4 3 3 2" xfId="7040"/>
    <cellStyle name="Vérification 2 3 9 4 3 3 2 2" xfId="9244"/>
    <cellStyle name="Vérification 2 3 9 4 3 3 2 2 2" xfId="25468"/>
    <cellStyle name="Vérification 2 3 9 4 3 3 2 2 2 2" xfId="37475"/>
    <cellStyle name="Vérification 2 3 9 4 3 3 2 2 3" xfId="15251"/>
    <cellStyle name="Vérification 2 3 9 4 3 3 2 2 4" xfId="31472"/>
    <cellStyle name="Vérification 2 3 9 4 3 3 2 3" xfId="23264"/>
    <cellStyle name="Vérification 2 3 9 4 3 3 2 3 2" xfId="35271"/>
    <cellStyle name="Vérification 2 3 9 4 3 3 2 4" xfId="12948"/>
    <cellStyle name="Vérification 2 3 9 4 3 3 2 5" xfId="29169"/>
    <cellStyle name="Vérification 2 3 9 4 3 3 3" xfId="7268"/>
    <cellStyle name="Vérification 2 3 9 4 3 3 3 2" xfId="23492"/>
    <cellStyle name="Vérification 2 3 9 4 3 3 3 2 2" xfId="35499"/>
    <cellStyle name="Vérification 2 3 9 4 3 3 3 3" xfId="13652"/>
    <cellStyle name="Vérification 2 3 9 4 3 3 3 4" xfId="29873"/>
    <cellStyle name="Vérification 2 3 9 4 3 3 4" xfId="21218"/>
    <cellStyle name="Vérification 2 3 9 4 3 3 4 2" xfId="34383"/>
    <cellStyle name="Vérification 2 3 9 4 3 3 5" xfId="10930"/>
    <cellStyle name="Vérification 2 3 9 4 3 3 6" xfId="27153"/>
    <cellStyle name="Vérification 2 3 9 4 3 4" xfId="3402"/>
    <cellStyle name="Vérification 2 3 9 4 3 4 2" xfId="8371"/>
    <cellStyle name="Vérification 2 3 9 4 3 4 2 2" xfId="24595"/>
    <cellStyle name="Vérification 2 3 9 4 3 4 2 2 2" xfId="36602"/>
    <cellStyle name="Vérification 2 3 9 4 3 4 2 3" xfId="14378"/>
    <cellStyle name="Vérification 2 3 9 4 3 4 2 4" xfId="30599"/>
    <cellStyle name="Vérification 2 3 9 4 3 4 3" xfId="9911"/>
    <cellStyle name="Vérification 2 3 9 4 3 4 3 2" xfId="26135"/>
    <cellStyle name="Vérification 2 3 9 4 3 4 3 2 2" xfId="38142"/>
    <cellStyle name="Vérification 2 3 9 4 3 4 3 3" xfId="15918"/>
    <cellStyle name="Vérification 2 3 9 4 3 4 3 4" xfId="32139"/>
    <cellStyle name="Vérification 2 3 9 4 3 4 4" xfId="19630"/>
    <cellStyle name="Vérification 2 3 9 4 3 4 4 2" xfId="33744"/>
    <cellStyle name="Vérification 2 3 9 4 3 4 5" xfId="11926"/>
    <cellStyle name="Vérification 2 3 9 4 3 4 6" xfId="28147"/>
    <cellStyle name="Vérification 2 3 9 4 3 5" xfId="3628"/>
    <cellStyle name="Vérification 2 3 9 4 3 5 2" xfId="8547"/>
    <cellStyle name="Vérification 2 3 9 4 3 5 2 2" xfId="24771"/>
    <cellStyle name="Vérification 2 3 9 4 3 5 2 2 2" xfId="36778"/>
    <cellStyle name="Vérification 2 3 9 4 3 5 2 3" xfId="14554"/>
    <cellStyle name="Vérification 2 3 9 4 3 5 2 4" xfId="30775"/>
    <cellStyle name="Vérification 2 3 9 4 3 5 3" xfId="19856"/>
    <cellStyle name="Vérification 2 3 9 4 3 5 3 2" xfId="33970"/>
    <cellStyle name="Vérification 2 3 9 4 3 5 4" xfId="12102"/>
    <cellStyle name="Vérification 2 3 9 4 3 5 5" xfId="28323"/>
    <cellStyle name="Vérification 2 3 9 4 3 6" xfId="3545"/>
    <cellStyle name="Vérification 2 3 9 4 3 6 2" xfId="19773"/>
    <cellStyle name="Vérification 2 3 9 4 3 6 2 2" xfId="33887"/>
    <cellStyle name="Vérification 2 3 9 4 3 6 3" xfId="12259"/>
    <cellStyle name="Vérification 2 3 9 4 3 6 4" xfId="28480"/>
    <cellStyle name="Vérification 2 3 9 4 3 7" xfId="17534"/>
    <cellStyle name="Vérification 2 3 9 4 3 7 2" xfId="32806"/>
    <cellStyle name="Vérification 2 3 9 4 3 8" xfId="10578"/>
    <cellStyle name="Vérification 2 3 9 4 3 9" xfId="26803"/>
    <cellStyle name="Vérification 2 3 9 4 4" xfId="2708"/>
    <cellStyle name="Vérification 2 3 9 4 4 2" xfId="6396"/>
    <cellStyle name="Vérification 2 3 9 4 4 2 2" xfId="8777"/>
    <cellStyle name="Vérification 2 3 9 4 4 2 2 2" xfId="25001"/>
    <cellStyle name="Vérification 2 3 9 4 4 2 2 2 2" xfId="37008"/>
    <cellStyle name="Vérification 2 3 9 4 4 2 2 3" xfId="14784"/>
    <cellStyle name="Vérification 2 3 9 4 4 2 2 4" xfId="31005"/>
    <cellStyle name="Vérification 2 3 9 4 4 2 3" xfId="10155"/>
    <cellStyle name="Vérification 2 3 9 4 4 2 3 2" xfId="26379"/>
    <cellStyle name="Vérification 2 3 9 4 4 2 3 2 2" xfId="38386"/>
    <cellStyle name="Vérification 2 3 9 4 4 2 3 3" xfId="16162"/>
    <cellStyle name="Vérification 2 3 9 4 4 2 3 4" xfId="32383"/>
    <cellStyle name="Vérification 2 3 9 4 4 2 4" xfId="22620"/>
    <cellStyle name="Vérification 2 3 9 4 4 2 4 2" xfId="34627"/>
    <cellStyle name="Vérification 2 3 9 4 4 2 5" xfId="12481"/>
    <cellStyle name="Vérification 2 3 9 4 4 2 6" xfId="28702"/>
    <cellStyle name="Vérification 2 3 9 4 4 3" xfId="7444"/>
    <cellStyle name="Vérification 2 3 9 4 4 3 2" xfId="9488"/>
    <cellStyle name="Vérification 2 3 9 4 4 3 2 2" xfId="25712"/>
    <cellStyle name="Vérification 2 3 9 4 4 3 2 2 2" xfId="37719"/>
    <cellStyle name="Vérification 2 3 9 4 4 3 2 3" xfId="15495"/>
    <cellStyle name="Vérification 2 3 9 4 4 3 2 4" xfId="31716"/>
    <cellStyle name="Vérification 2 3 9 4 4 3 3" xfId="23668"/>
    <cellStyle name="Vérification 2 3 9 4 4 3 3 2" xfId="35675"/>
    <cellStyle name="Vérification 2 3 9 4 4 3 4" xfId="13192"/>
    <cellStyle name="Vérification 2 3 9 4 4 3 5" xfId="29413"/>
    <cellStyle name="Vérification 2 3 9 4 4 4" xfId="7821"/>
    <cellStyle name="Vérification 2 3 9 4 4 4 2" xfId="24045"/>
    <cellStyle name="Vérification 2 3 9 4 4 4 2 2" xfId="36052"/>
    <cellStyle name="Vérification 2 3 9 4 4 4 3" xfId="13828"/>
    <cellStyle name="Vérification 2 3 9 4 4 4 4" xfId="30049"/>
    <cellStyle name="Vérification 2 3 9 4 4 5" xfId="18936"/>
    <cellStyle name="Vérification 2 3 9 4 4 5 2" xfId="33050"/>
    <cellStyle name="Vérification 2 3 9 4 4 6" xfId="11177"/>
    <cellStyle name="Vérification 2 3 9 4 4 7" xfId="27398"/>
    <cellStyle name="Vérification 2 3 9 4 5" xfId="4417"/>
    <cellStyle name="Vérification 2 3 9 4 5 2" xfId="6885"/>
    <cellStyle name="Vérification 2 3 9 4 5 2 2" xfId="9155"/>
    <cellStyle name="Vérification 2 3 9 4 5 2 2 2" xfId="25379"/>
    <cellStyle name="Vérification 2 3 9 4 5 2 2 2 2" xfId="37386"/>
    <cellStyle name="Vérification 2 3 9 4 5 2 2 3" xfId="15162"/>
    <cellStyle name="Vérification 2 3 9 4 5 2 2 4" xfId="31383"/>
    <cellStyle name="Vérification 2 3 9 4 5 2 3" xfId="23109"/>
    <cellStyle name="Vérification 2 3 9 4 5 2 3 2" xfId="35116"/>
    <cellStyle name="Vérification 2 3 9 4 5 2 4" xfId="12859"/>
    <cellStyle name="Vérification 2 3 9 4 5 2 5" xfId="29080"/>
    <cellStyle name="Vérification 2 3 9 4 5 3" xfId="3816"/>
    <cellStyle name="Vérification 2 3 9 4 5 3 2" xfId="20044"/>
    <cellStyle name="Vérification 2 3 9 4 5 3 2 2" xfId="34158"/>
    <cellStyle name="Vérification 2 3 9 4 5 3 3" xfId="11608"/>
    <cellStyle name="Vérification 2 3 9 4 5 3 4" xfId="27829"/>
    <cellStyle name="Vérification 2 3 9 4 5 4" xfId="20643"/>
    <cellStyle name="Vérification 2 3 9 4 5 4 2" xfId="34294"/>
    <cellStyle name="Vérification 2 3 9 4 5 5" xfId="10840"/>
    <cellStyle name="Vérification 2 3 9 4 5 6" xfId="27063"/>
    <cellStyle name="Vérification 2 3 9 4 6" xfId="3192"/>
    <cellStyle name="Vérification 2 3 9 4 6 2" xfId="8214"/>
    <cellStyle name="Vérification 2 3 9 4 6 2 2" xfId="24438"/>
    <cellStyle name="Vérification 2 3 9 4 6 2 2 2" xfId="36445"/>
    <cellStyle name="Vérification 2 3 9 4 6 2 3" xfId="14221"/>
    <cellStyle name="Vérification 2 3 9 4 6 2 4" xfId="30442"/>
    <cellStyle name="Vérification 2 3 9 4 6 3" xfId="9822"/>
    <cellStyle name="Vérification 2 3 9 4 6 3 2" xfId="26046"/>
    <cellStyle name="Vérification 2 3 9 4 6 3 2 2" xfId="38053"/>
    <cellStyle name="Vérification 2 3 9 4 6 3 3" xfId="15829"/>
    <cellStyle name="Vérification 2 3 9 4 6 3 4" xfId="32050"/>
    <cellStyle name="Vérification 2 3 9 4 6 4" xfId="19420"/>
    <cellStyle name="Vérification 2 3 9 4 6 4 2" xfId="33534"/>
    <cellStyle name="Vérification 2 3 9 4 6 5" xfId="11769"/>
    <cellStyle name="Vérification 2 3 9 4 6 6" xfId="27990"/>
    <cellStyle name="Vérification 2 3 9 4 7" xfId="3291"/>
    <cellStyle name="Vérification 2 3 9 4 7 2" xfId="8282"/>
    <cellStyle name="Vérification 2 3 9 4 7 2 2" xfId="24506"/>
    <cellStyle name="Vérification 2 3 9 4 7 2 2 2" xfId="36513"/>
    <cellStyle name="Vérification 2 3 9 4 7 2 3" xfId="14289"/>
    <cellStyle name="Vérification 2 3 9 4 7 2 4" xfId="30510"/>
    <cellStyle name="Vérification 2 3 9 4 7 3" xfId="19519"/>
    <cellStyle name="Vérification 2 3 9 4 7 3 2" xfId="33633"/>
    <cellStyle name="Vérification 2 3 9 4 7 4" xfId="11837"/>
    <cellStyle name="Vérification 2 3 9 4 7 5" xfId="28058"/>
    <cellStyle name="Vérification 2 3 9 4 8" xfId="6695"/>
    <cellStyle name="Vérification 2 3 9 4 8 2" xfId="22919"/>
    <cellStyle name="Vérification 2 3 9 4 8 2 2" xfId="34926"/>
    <cellStyle name="Vérification 2 3 9 4 8 3" xfId="11481"/>
    <cellStyle name="Vérification 2 3 9 4 8 4" xfId="27702"/>
    <cellStyle name="Vérification 2 3 9 4 9" xfId="16959"/>
    <cellStyle name="Vérification 2 3 9 4 9 2" xfId="32717"/>
    <cellStyle name="Vérification 2 3 9 5" xfId="762"/>
    <cellStyle name="Vérification 2 3 9 5 10" xfId="26736"/>
    <cellStyle name="Vérification 2 3 9 5 2" xfId="1430"/>
    <cellStyle name="Vérification 2 3 9 5 2 2" xfId="2908"/>
    <cellStyle name="Vérification 2 3 9 5 2 2 2" xfId="6596"/>
    <cellStyle name="Vérification 2 3 9 5 2 2 2 2" xfId="8977"/>
    <cellStyle name="Vérification 2 3 9 5 2 2 2 2 2" xfId="25201"/>
    <cellStyle name="Vérification 2 3 9 5 2 2 2 2 2 2" xfId="37208"/>
    <cellStyle name="Vérification 2 3 9 5 2 2 2 2 3" xfId="14984"/>
    <cellStyle name="Vérification 2 3 9 5 2 2 2 2 4" xfId="31205"/>
    <cellStyle name="Vérification 2 3 9 5 2 2 2 3" xfId="10355"/>
    <cellStyle name="Vérification 2 3 9 5 2 2 2 3 2" xfId="26579"/>
    <cellStyle name="Vérification 2 3 9 5 2 2 2 3 2 2" xfId="38586"/>
    <cellStyle name="Vérification 2 3 9 5 2 2 2 3 3" xfId="16362"/>
    <cellStyle name="Vérification 2 3 9 5 2 2 2 3 4" xfId="32583"/>
    <cellStyle name="Vérification 2 3 9 5 2 2 2 4" xfId="22820"/>
    <cellStyle name="Vérification 2 3 9 5 2 2 2 4 2" xfId="34827"/>
    <cellStyle name="Vérification 2 3 9 5 2 2 2 5" xfId="12681"/>
    <cellStyle name="Vérification 2 3 9 5 2 2 2 6" xfId="28902"/>
    <cellStyle name="Vérification 2 3 9 5 2 2 3" xfId="7644"/>
    <cellStyle name="Vérification 2 3 9 5 2 2 3 2" xfId="9688"/>
    <cellStyle name="Vérification 2 3 9 5 2 2 3 2 2" xfId="25912"/>
    <cellStyle name="Vérification 2 3 9 5 2 2 3 2 2 2" xfId="37919"/>
    <cellStyle name="Vérification 2 3 9 5 2 2 3 2 3" xfId="15695"/>
    <cellStyle name="Vérification 2 3 9 5 2 2 3 2 4" xfId="31916"/>
    <cellStyle name="Vérification 2 3 9 5 2 2 3 3" xfId="23868"/>
    <cellStyle name="Vérification 2 3 9 5 2 2 3 3 2" xfId="35875"/>
    <cellStyle name="Vérification 2 3 9 5 2 2 3 4" xfId="13392"/>
    <cellStyle name="Vérification 2 3 9 5 2 2 3 5" xfId="29613"/>
    <cellStyle name="Vérification 2 3 9 5 2 2 4" xfId="8021"/>
    <cellStyle name="Vérification 2 3 9 5 2 2 4 2" xfId="24245"/>
    <cellStyle name="Vérification 2 3 9 5 2 2 4 2 2" xfId="36252"/>
    <cellStyle name="Vérification 2 3 9 5 2 2 4 3" xfId="14028"/>
    <cellStyle name="Vérification 2 3 9 5 2 2 4 4" xfId="30249"/>
    <cellStyle name="Vérification 2 3 9 5 2 2 5" xfId="19136"/>
    <cellStyle name="Vérification 2 3 9 5 2 2 5 2" xfId="33250"/>
    <cellStyle name="Vérification 2 3 9 5 2 2 6" xfId="11377"/>
    <cellStyle name="Vérification 2 3 9 5 2 2 7" xfId="27598"/>
    <cellStyle name="Vérification 2 3 9 5 2 3" xfId="5127"/>
    <cellStyle name="Vérification 2 3 9 5 2 3 2" xfId="7154"/>
    <cellStyle name="Vérification 2 3 9 5 2 3 2 2" xfId="9355"/>
    <cellStyle name="Vérification 2 3 9 5 2 3 2 2 2" xfId="25579"/>
    <cellStyle name="Vérification 2 3 9 5 2 3 2 2 2 2" xfId="37586"/>
    <cellStyle name="Vérification 2 3 9 5 2 3 2 2 3" xfId="15362"/>
    <cellStyle name="Vérification 2 3 9 5 2 3 2 2 4" xfId="31583"/>
    <cellStyle name="Vérification 2 3 9 5 2 3 2 3" xfId="23378"/>
    <cellStyle name="Vérification 2 3 9 5 2 3 2 3 2" xfId="35385"/>
    <cellStyle name="Vérification 2 3 9 5 2 3 2 4" xfId="13059"/>
    <cellStyle name="Vérification 2 3 9 5 2 3 2 5" xfId="29280"/>
    <cellStyle name="Vérification 2 3 9 5 2 3 3" xfId="3390"/>
    <cellStyle name="Vérification 2 3 9 5 2 3 3 2" xfId="19618"/>
    <cellStyle name="Vérification 2 3 9 5 2 3 3 2 2" xfId="33732"/>
    <cellStyle name="Vérification 2 3 9 5 2 3 3 3" xfId="12246"/>
    <cellStyle name="Vérification 2 3 9 5 2 3 3 4" xfId="28467"/>
    <cellStyle name="Vérification 2 3 9 5 2 3 4" xfId="21353"/>
    <cellStyle name="Vérification 2 3 9 5 2 3 4 2" xfId="34494"/>
    <cellStyle name="Vérification 2 3 9 5 2 3 5" xfId="11041"/>
    <cellStyle name="Vérification 2 3 9 5 2 3 6" xfId="27264"/>
    <cellStyle name="Vérification 2 3 9 5 2 4" xfId="3518"/>
    <cellStyle name="Vérification 2 3 9 5 2 4 2" xfId="8485"/>
    <cellStyle name="Vérification 2 3 9 5 2 4 2 2" xfId="24709"/>
    <cellStyle name="Vérification 2 3 9 5 2 4 2 2 2" xfId="36716"/>
    <cellStyle name="Vérification 2 3 9 5 2 4 2 3" xfId="14492"/>
    <cellStyle name="Vérification 2 3 9 5 2 4 2 4" xfId="30713"/>
    <cellStyle name="Vérification 2 3 9 5 2 4 3" xfId="10022"/>
    <cellStyle name="Vérification 2 3 9 5 2 4 3 2" xfId="26246"/>
    <cellStyle name="Vérification 2 3 9 5 2 4 3 2 2" xfId="38253"/>
    <cellStyle name="Vérification 2 3 9 5 2 4 3 3" xfId="16029"/>
    <cellStyle name="Vérification 2 3 9 5 2 4 3 4" xfId="32250"/>
    <cellStyle name="Vérification 2 3 9 5 2 4 4" xfId="19746"/>
    <cellStyle name="Vérification 2 3 9 5 2 4 4 2" xfId="33860"/>
    <cellStyle name="Vérification 2 3 9 5 2 4 5" xfId="12040"/>
    <cellStyle name="Vérification 2 3 9 5 2 4 6" xfId="28261"/>
    <cellStyle name="Vérification 2 3 9 5 2 5" xfId="3698"/>
    <cellStyle name="Vérification 2 3 9 5 2 5 2" xfId="8585"/>
    <cellStyle name="Vérification 2 3 9 5 2 5 2 2" xfId="24809"/>
    <cellStyle name="Vérification 2 3 9 5 2 5 2 2 2" xfId="36816"/>
    <cellStyle name="Vérification 2 3 9 5 2 5 2 3" xfId="14592"/>
    <cellStyle name="Vérification 2 3 9 5 2 5 2 4" xfId="30813"/>
    <cellStyle name="Vérification 2 3 9 5 2 5 3" xfId="19926"/>
    <cellStyle name="Vérification 2 3 9 5 2 5 3 2" xfId="34040"/>
    <cellStyle name="Vérification 2 3 9 5 2 5 4" xfId="12140"/>
    <cellStyle name="Vérification 2 3 9 5 2 5 5" xfId="28361"/>
    <cellStyle name="Vérification 2 3 9 5 2 6" xfId="7202"/>
    <cellStyle name="Vérification 2 3 9 5 2 6 2" xfId="23426"/>
    <cellStyle name="Vérification 2 3 9 5 2 6 2 2" xfId="35433"/>
    <cellStyle name="Vérification 2 3 9 5 2 6 3" xfId="13586"/>
    <cellStyle name="Vérification 2 3 9 5 2 6 4" xfId="29807"/>
    <cellStyle name="Vérification 2 3 9 5 2 7" xfId="17669"/>
    <cellStyle name="Vérification 2 3 9 5 2 7 2" xfId="32917"/>
    <cellStyle name="Vérification 2 3 9 5 2 8" xfId="10689"/>
    <cellStyle name="Vérification 2 3 9 5 2 9" xfId="26914"/>
    <cellStyle name="Vérification 2 3 9 5 3" xfId="2730"/>
    <cellStyle name="Vérification 2 3 9 5 3 2" xfId="6418"/>
    <cellStyle name="Vérification 2 3 9 5 3 2 2" xfId="8799"/>
    <cellStyle name="Vérification 2 3 9 5 3 2 2 2" xfId="25023"/>
    <cellStyle name="Vérification 2 3 9 5 3 2 2 2 2" xfId="37030"/>
    <cellStyle name="Vérification 2 3 9 5 3 2 2 3" xfId="14806"/>
    <cellStyle name="Vérification 2 3 9 5 3 2 2 4" xfId="31027"/>
    <cellStyle name="Vérification 2 3 9 5 3 2 3" xfId="10177"/>
    <cellStyle name="Vérification 2 3 9 5 3 2 3 2" xfId="26401"/>
    <cellStyle name="Vérification 2 3 9 5 3 2 3 2 2" xfId="38408"/>
    <cellStyle name="Vérification 2 3 9 5 3 2 3 3" xfId="16184"/>
    <cellStyle name="Vérification 2 3 9 5 3 2 3 4" xfId="32405"/>
    <cellStyle name="Vérification 2 3 9 5 3 2 4" xfId="22642"/>
    <cellStyle name="Vérification 2 3 9 5 3 2 4 2" xfId="34649"/>
    <cellStyle name="Vérification 2 3 9 5 3 2 5" xfId="12503"/>
    <cellStyle name="Vérification 2 3 9 5 3 2 6" xfId="28724"/>
    <cellStyle name="Vérification 2 3 9 5 3 3" xfId="7466"/>
    <cellStyle name="Vérification 2 3 9 5 3 3 2" xfId="9510"/>
    <cellStyle name="Vérification 2 3 9 5 3 3 2 2" xfId="25734"/>
    <cellStyle name="Vérification 2 3 9 5 3 3 2 2 2" xfId="37741"/>
    <cellStyle name="Vérification 2 3 9 5 3 3 2 3" xfId="15517"/>
    <cellStyle name="Vérification 2 3 9 5 3 3 2 4" xfId="31738"/>
    <cellStyle name="Vérification 2 3 9 5 3 3 3" xfId="23690"/>
    <cellStyle name="Vérification 2 3 9 5 3 3 3 2" xfId="35697"/>
    <cellStyle name="Vérification 2 3 9 5 3 3 4" xfId="13214"/>
    <cellStyle name="Vérification 2 3 9 5 3 3 5" xfId="29435"/>
    <cellStyle name="Vérification 2 3 9 5 3 4" xfId="7843"/>
    <cellStyle name="Vérification 2 3 9 5 3 4 2" xfId="24067"/>
    <cellStyle name="Vérification 2 3 9 5 3 4 2 2" xfId="36074"/>
    <cellStyle name="Vérification 2 3 9 5 3 4 3" xfId="13850"/>
    <cellStyle name="Vérification 2 3 9 5 3 4 4" xfId="30071"/>
    <cellStyle name="Vérification 2 3 9 5 3 5" xfId="18958"/>
    <cellStyle name="Vérification 2 3 9 5 3 5 2" xfId="33072"/>
    <cellStyle name="Vérification 2 3 9 5 3 6" xfId="11199"/>
    <cellStyle name="Vérification 2 3 9 5 3 7" xfId="27420"/>
    <cellStyle name="Vérification 2 3 9 5 4" xfId="4463"/>
    <cellStyle name="Vérification 2 3 9 5 4 2" xfId="6908"/>
    <cellStyle name="Vérification 2 3 9 5 4 2 2" xfId="9177"/>
    <cellStyle name="Vérification 2 3 9 5 4 2 2 2" xfId="25401"/>
    <cellStyle name="Vérification 2 3 9 5 4 2 2 2 2" xfId="37408"/>
    <cellStyle name="Vérification 2 3 9 5 4 2 2 3" xfId="15184"/>
    <cellStyle name="Vérification 2 3 9 5 4 2 2 4" xfId="31405"/>
    <cellStyle name="Vérification 2 3 9 5 4 2 3" xfId="23132"/>
    <cellStyle name="Vérification 2 3 9 5 4 2 3 2" xfId="35139"/>
    <cellStyle name="Vérification 2 3 9 5 4 2 4" xfId="12881"/>
    <cellStyle name="Vérification 2 3 9 5 4 2 5" xfId="29102"/>
    <cellStyle name="Vérification 2 3 9 5 4 3" xfId="6810"/>
    <cellStyle name="Vérification 2 3 9 5 4 3 2" xfId="23034"/>
    <cellStyle name="Vérification 2 3 9 5 4 3 2 2" xfId="35041"/>
    <cellStyle name="Vérification 2 3 9 5 4 3 3" xfId="13453"/>
    <cellStyle name="Vérification 2 3 9 5 4 3 4" xfId="29674"/>
    <cellStyle name="Vérification 2 3 9 5 4 4" xfId="20689"/>
    <cellStyle name="Vérification 2 3 9 5 4 4 2" xfId="34316"/>
    <cellStyle name="Vérification 2 3 9 5 4 5" xfId="10862"/>
    <cellStyle name="Vérification 2 3 9 5 4 6" xfId="27085"/>
    <cellStyle name="Vérification 2 3 9 5 5" xfId="3219"/>
    <cellStyle name="Vérification 2 3 9 5 5 2" xfId="8240"/>
    <cellStyle name="Vérification 2 3 9 5 5 2 2" xfId="24464"/>
    <cellStyle name="Vérification 2 3 9 5 5 2 2 2" xfId="36471"/>
    <cellStyle name="Vérification 2 3 9 5 5 2 3" xfId="14247"/>
    <cellStyle name="Vérification 2 3 9 5 5 2 4" xfId="30468"/>
    <cellStyle name="Vérification 2 3 9 5 5 3" xfId="9844"/>
    <cellStyle name="Vérification 2 3 9 5 5 3 2" xfId="26068"/>
    <cellStyle name="Vérification 2 3 9 5 5 3 2 2" xfId="38075"/>
    <cellStyle name="Vérification 2 3 9 5 5 3 3" xfId="15851"/>
    <cellStyle name="Vérification 2 3 9 5 5 3 4" xfId="32072"/>
    <cellStyle name="Vérification 2 3 9 5 5 4" xfId="19447"/>
    <cellStyle name="Vérification 2 3 9 5 5 4 2" xfId="33561"/>
    <cellStyle name="Vérification 2 3 9 5 5 5" xfId="11795"/>
    <cellStyle name="Vérification 2 3 9 5 5 6" xfId="28016"/>
    <cellStyle name="Vérification 2 3 9 5 6" xfId="3837"/>
    <cellStyle name="Vérification 2 3 9 5 6 2" xfId="8664"/>
    <cellStyle name="Vérification 2 3 9 5 6 2 2" xfId="24888"/>
    <cellStyle name="Vérification 2 3 9 5 6 2 2 2" xfId="36895"/>
    <cellStyle name="Vérification 2 3 9 5 6 2 3" xfId="14671"/>
    <cellStyle name="Vérification 2 3 9 5 6 2 4" xfId="30892"/>
    <cellStyle name="Vérification 2 3 9 5 6 3" xfId="20065"/>
    <cellStyle name="Vérification 2 3 9 5 6 3 2" xfId="34179"/>
    <cellStyle name="Vérification 2 3 9 5 6 4" xfId="12219"/>
    <cellStyle name="Vérification 2 3 9 5 6 5" xfId="28440"/>
    <cellStyle name="Vérification 2 3 9 5 7" xfId="3130"/>
    <cellStyle name="Vérification 2 3 9 5 7 2" xfId="19358"/>
    <cellStyle name="Vérification 2 3 9 5 7 2 2" xfId="33472"/>
    <cellStyle name="Vérification 2 3 9 5 7 3" xfId="11576"/>
    <cellStyle name="Vérification 2 3 9 5 7 4" xfId="27797"/>
    <cellStyle name="Vérification 2 3 9 5 8" xfId="17005"/>
    <cellStyle name="Vérification 2 3 9 5 8 2" xfId="32739"/>
    <cellStyle name="Vérification 2 3 9 5 9" xfId="10511"/>
    <cellStyle name="Vérification 2 3 9 6" xfId="1341"/>
    <cellStyle name="Vérification 2 3 9 6 2" xfId="2819"/>
    <cellStyle name="Vérification 2 3 9 6 2 2" xfId="6507"/>
    <cellStyle name="Vérification 2 3 9 6 2 2 2" xfId="8888"/>
    <cellStyle name="Vérification 2 3 9 6 2 2 2 2" xfId="25112"/>
    <cellStyle name="Vérification 2 3 9 6 2 2 2 2 2" xfId="37119"/>
    <cellStyle name="Vérification 2 3 9 6 2 2 2 3" xfId="14895"/>
    <cellStyle name="Vérification 2 3 9 6 2 2 2 4" xfId="31116"/>
    <cellStyle name="Vérification 2 3 9 6 2 2 3" xfId="10266"/>
    <cellStyle name="Vérification 2 3 9 6 2 2 3 2" xfId="26490"/>
    <cellStyle name="Vérification 2 3 9 6 2 2 3 2 2" xfId="38497"/>
    <cellStyle name="Vérification 2 3 9 6 2 2 3 3" xfId="16273"/>
    <cellStyle name="Vérification 2 3 9 6 2 2 3 4" xfId="32494"/>
    <cellStyle name="Vérification 2 3 9 6 2 2 4" xfId="22731"/>
    <cellStyle name="Vérification 2 3 9 6 2 2 4 2" xfId="34738"/>
    <cellStyle name="Vérification 2 3 9 6 2 2 5" xfId="12592"/>
    <cellStyle name="Vérification 2 3 9 6 2 2 6" xfId="28813"/>
    <cellStyle name="Vérification 2 3 9 6 2 3" xfId="7555"/>
    <cellStyle name="Vérification 2 3 9 6 2 3 2" xfId="9599"/>
    <cellStyle name="Vérification 2 3 9 6 2 3 2 2" xfId="25823"/>
    <cellStyle name="Vérification 2 3 9 6 2 3 2 2 2" xfId="37830"/>
    <cellStyle name="Vérification 2 3 9 6 2 3 2 3" xfId="15606"/>
    <cellStyle name="Vérification 2 3 9 6 2 3 2 4" xfId="31827"/>
    <cellStyle name="Vérification 2 3 9 6 2 3 3" xfId="23779"/>
    <cellStyle name="Vérification 2 3 9 6 2 3 3 2" xfId="35786"/>
    <cellStyle name="Vérification 2 3 9 6 2 3 4" xfId="13303"/>
    <cellStyle name="Vérification 2 3 9 6 2 3 5" xfId="29524"/>
    <cellStyle name="Vérification 2 3 9 6 2 4" xfId="7932"/>
    <cellStyle name="Vérification 2 3 9 6 2 4 2" xfId="24156"/>
    <cellStyle name="Vérification 2 3 9 6 2 4 2 2" xfId="36163"/>
    <cellStyle name="Vérification 2 3 9 6 2 4 3" xfId="13939"/>
    <cellStyle name="Vérification 2 3 9 6 2 4 4" xfId="30160"/>
    <cellStyle name="Vérification 2 3 9 6 2 5" xfId="19047"/>
    <cellStyle name="Vérification 2 3 9 6 2 5 2" xfId="33161"/>
    <cellStyle name="Vérification 2 3 9 6 2 6" xfId="11288"/>
    <cellStyle name="Vérification 2 3 9 6 2 7" xfId="27509"/>
    <cellStyle name="Vérification 2 3 9 6 3" xfId="5038"/>
    <cellStyle name="Vérification 2 3 9 6 3 2" xfId="7065"/>
    <cellStyle name="Vérification 2 3 9 6 3 2 2" xfId="9266"/>
    <cellStyle name="Vérification 2 3 9 6 3 2 2 2" xfId="25490"/>
    <cellStyle name="Vérification 2 3 9 6 3 2 2 2 2" xfId="37497"/>
    <cellStyle name="Vérification 2 3 9 6 3 2 2 3" xfId="15273"/>
    <cellStyle name="Vérification 2 3 9 6 3 2 2 4" xfId="31494"/>
    <cellStyle name="Vérification 2 3 9 6 3 2 3" xfId="23289"/>
    <cellStyle name="Vérification 2 3 9 6 3 2 3 2" xfId="35296"/>
    <cellStyle name="Vérification 2 3 9 6 3 2 4" xfId="12970"/>
    <cellStyle name="Vérification 2 3 9 6 3 2 5" xfId="29191"/>
    <cellStyle name="Vérification 2 3 9 6 3 3" xfId="3152"/>
    <cellStyle name="Vérification 2 3 9 6 3 3 2" xfId="19380"/>
    <cellStyle name="Vérification 2 3 9 6 3 3 2 2" xfId="33494"/>
    <cellStyle name="Vérification 2 3 9 6 3 3 3" xfId="13448"/>
    <cellStyle name="Vérification 2 3 9 6 3 3 4" xfId="29669"/>
    <cellStyle name="Vérification 2 3 9 6 3 4" xfId="21264"/>
    <cellStyle name="Vérification 2 3 9 6 3 4 2" xfId="34405"/>
    <cellStyle name="Vérification 2 3 9 6 3 5" xfId="10952"/>
    <cellStyle name="Vérification 2 3 9 6 3 6" xfId="27175"/>
    <cellStyle name="Vérification 2 3 9 6 4" xfId="3429"/>
    <cellStyle name="Vérification 2 3 9 6 4 2" xfId="8396"/>
    <cellStyle name="Vérification 2 3 9 6 4 2 2" xfId="24620"/>
    <cellStyle name="Vérification 2 3 9 6 4 2 2 2" xfId="36627"/>
    <cellStyle name="Vérification 2 3 9 6 4 2 3" xfId="14403"/>
    <cellStyle name="Vérification 2 3 9 6 4 2 4" xfId="30624"/>
    <cellStyle name="Vérification 2 3 9 6 4 3" xfId="9933"/>
    <cellStyle name="Vérification 2 3 9 6 4 3 2" xfId="26157"/>
    <cellStyle name="Vérification 2 3 9 6 4 3 2 2" xfId="38164"/>
    <cellStyle name="Vérification 2 3 9 6 4 3 3" xfId="15940"/>
    <cellStyle name="Vérification 2 3 9 6 4 3 4" xfId="32161"/>
    <cellStyle name="Vérification 2 3 9 6 4 4" xfId="19657"/>
    <cellStyle name="Vérification 2 3 9 6 4 4 2" xfId="33771"/>
    <cellStyle name="Vérification 2 3 9 6 4 5" xfId="11951"/>
    <cellStyle name="Vérification 2 3 9 6 4 6" xfId="28172"/>
    <cellStyle name="Vérification 2 3 9 6 5" xfId="3061"/>
    <cellStyle name="Vérification 2 3 9 6 5 2" xfId="8128"/>
    <cellStyle name="Vérification 2 3 9 6 5 2 2" xfId="24352"/>
    <cellStyle name="Vérification 2 3 9 6 5 2 2 2" xfId="36359"/>
    <cellStyle name="Vérification 2 3 9 6 5 2 3" xfId="14135"/>
    <cellStyle name="Vérification 2 3 9 6 5 2 4" xfId="30356"/>
    <cellStyle name="Vérification 2 3 9 6 5 3" xfId="19289"/>
    <cellStyle name="Vérification 2 3 9 6 5 3 2" xfId="33403"/>
    <cellStyle name="Vérification 2 3 9 6 5 4" xfId="11683"/>
    <cellStyle name="Vérification 2 3 9 6 5 5" xfId="27904"/>
    <cellStyle name="Vérification 2 3 9 6 6" xfId="6863"/>
    <cellStyle name="Vérification 2 3 9 6 6 2" xfId="23087"/>
    <cellStyle name="Vérification 2 3 9 6 6 2 2" xfId="35094"/>
    <cellStyle name="Vérification 2 3 9 6 6 3" xfId="12341"/>
    <cellStyle name="Vérification 2 3 9 6 6 4" xfId="28562"/>
    <cellStyle name="Vérification 2 3 9 6 7" xfId="17580"/>
    <cellStyle name="Vérification 2 3 9 6 7 2" xfId="32828"/>
    <cellStyle name="Vérification 2 3 9 6 8" xfId="10600"/>
    <cellStyle name="Vérification 2 3 9 6 9" xfId="26825"/>
    <cellStyle name="Vérification 2 3 9 7" xfId="2572"/>
    <cellStyle name="Vérification 2 3 9 7 2" xfId="2931"/>
    <cellStyle name="Vérification 2 3 9 7 2 2" xfId="6619"/>
    <cellStyle name="Vérification 2 3 9 7 2 2 2" xfId="9000"/>
    <cellStyle name="Vérification 2 3 9 7 2 2 2 2" xfId="25224"/>
    <cellStyle name="Vérification 2 3 9 7 2 2 2 2 2" xfId="37231"/>
    <cellStyle name="Vérification 2 3 9 7 2 2 2 3" xfId="15007"/>
    <cellStyle name="Vérification 2 3 9 7 2 2 2 4" xfId="31228"/>
    <cellStyle name="Vérification 2 3 9 7 2 2 3" xfId="10378"/>
    <cellStyle name="Vérification 2 3 9 7 2 2 3 2" xfId="26602"/>
    <cellStyle name="Vérification 2 3 9 7 2 2 3 2 2" xfId="38609"/>
    <cellStyle name="Vérification 2 3 9 7 2 2 3 3" xfId="16385"/>
    <cellStyle name="Vérification 2 3 9 7 2 2 3 4" xfId="32606"/>
    <cellStyle name="Vérification 2 3 9 7 2 2 4" xfId="22843"/>
    <cellStyle name="Vérification 2 3 9 7 2 2 4 2" xfId="34850"/>
    <cellStyle name="Vérification 2 3 9 7 2 2 5" xfId="12704"/>
    <cellStyle name="Vérification 2 3 9 7 2 2 6" xfId="28925"/>
    <cellStyle name="Vérification 2 3 9 7 2 3" xfId="7667"/>
    <cellStyle name="Vérification 2 3 9 7 2 3 2" xfId="9711"/>
    <cellStyle name="Vérification 2 3 9 7 2 3 2 2" xfId="25935"/>
    <cellStyle name="Vérification 2 3 9 7 2 3 2 2 2" xfId="37942"/>
    <cellStyle name="Vérification 2 3 9 7 2 3 2 3" xfId="15718"/>
    <cellStyle name="Vérification 2 3 9 7 2 3 2 4" xfId="31939"/>
    <cellStyle name="Vérification 2 3 9 7 2 3 3" xfId="23891"/>
    <cellStyle name="Vérification 2 3 9 7 2 3 3 2" xfId="35898"/>
    <cellStyle name="Vérification 2 3 9 7 2 3 4" xfId="13415"/>
    <cellStyle name="Vérification 2 3 9 7 2 3 5" xfId="29636"/>
    <cellStyle name="Vérification 2 3 9 7 2 4" xfId="8044"/>
    <cellStyle name="Vérification 2 3 9 7 2 4 2" xfId="24268"/>
    <cellStyle name="Vérification 2 3 9 7 2 4 2 2" xfId="36275"/>
    <cellStyle name="Vérification 2 3 9 7 2 4 3" xfId="14051"/>
    <cellStyle name="Vérification 2 3 9 7 2 4 4" xfId="30272"/>
    <cellStyle name="Vérification 2 3 9 7 2 5" xfId="19159"/>
    <cellStyle name="Vérification 2 3 9 7 2 5 2" xfId="33273"/>
    <cellStyle name="Vérification 2 3 9 7 2 6" xfId="11400"/>
    <cellStyle name="Vérification 2 3 9 7 2 7" xfId="27621"/>
    <cellStyle name="Vérification 2 3 9 7 3" xfId="6262"/>
    <cellStyle name="Vérification 2 3 9 7 3 2" xfId="7332"/>
    <cellStyle name="Vérification 2 3 9 7 3 2 2" xfId="9378"/>
    <cellStyle name="Vérification 2 3 9 7 3 2 2 2" xfId="25602"/>
    <cellStyle name="Vérification 2 3 9 7 3 2 2 2 2" xfId="37609"/>
    <cellStyle name="Vérification 2 3 9 7 3 2 2 3" xfId="15385"/>
    <cellStyle name="Vérification 2 3 9 7 3 2 2 4" xfId="31606"/>
    <cellStyle name="Vérification 2 3 9 7 3 2 3" xfId="23556"/>
    <cellStyle name="Vérification 2 3 9 7 3 2 3 2" xfId="35563"/>
    <cellStyle name="Vérification 2 3 9 7 3 2 4" xfId="13082"/>
    <cellStyle name="Vérification 2 3 9 7 3 2 5" xfId="29303"/>
    <cellStyle name="Vérification 2 3 9 7 3 3" xfId="7711"/>
    <cellStyle name="Vérification 2 3 9 7 3 3 2" xfId="23935"/>
    <cellStyle name="Vérification 2 3 9 7 3 3 2 2" xfId="35942"/>
    <cellStyle name="Vérification 2 3 9 7 3 3 3" xfId="13718"/>
    <cellStyle name="Vérification 2 3 9 7 3 3 4" xfId="29939"/>
    <cellStyle name="Vérification 2 3 9 7 3 4" xfId="22486"/>
    <cellStyle name="Vérification 2 3 9 7 3 4 2" xfId="34517"/>
    <cellStyle name="Vérification 2 3 9 7 3 5" xfId="11066"/>
    <cellStyle name="Vérification 2 3 9 7 3 6" xfId="27287"/>
    <cellStyle name="Vérification 2 3 9 7 4" xfId="3835"/>
    <cellStyle name="Vérification 2 3 9 7 4 2" xfId="8663"/>
    <cellStyle name="Vérification 2 3 9 7 4 2 2" xfId="24887"/>
    <cellStyle name="Vérification 2 3 9 7 4 2 2 2" xfId="36894"/>
    <cellStyle name="Vérification 2 3 9 7 4 2 3" xfId="14670"/>
    <cellStyle name="Vérification 2 3 9 7 4 2 4" xfId="30891"/>
    <cellStyle name="Vérification 2 3 9 7 4 3" xfId="10045"/>
    <cellStyle name="Vérification 2 3 9 7 4 3 2" xfId="26269"/>
    <cellStyle name="Vérification 2 3 9 7 4 3 2 2" xfId="38276"/>
    <cellStyle name="Vérification 2 3 9 7 4 3 3" xfId="16052"/>
    <cellStyle name="Vérification 2 3 9 7 4 3 4" xfId="32273"/>
    <cellStyle name="Vérification 2 3 9 7 4 4" xfId="20063"/>
    <cellStyle name="Vérification 2 3 9 7 4 4 2" xfId="34177"/>
    <cellStyle name="Vérification 2 3 9 7 4 5" xfId="12218"/>
    <cellStyle name="Vérification 2 3 9 7 4 6" xfId="28439"/>
    <cellStyle name="Vérification 2 3 9 7 5" xfId="6694"/>
    <cellStyle name="Vérification 2 3 9 7 5 2" xfId="9044"/>
    <cellStyle name="Vérification 2 3 9 7 5 2 2" xfId="25268"/>
    <cellStyle name="Vérification 2 3 9 7 5 2 2 2" xfId="37275"/>
    <cellStyle name="Vérification 2 3 9 7 5 2 3" xfId="15051"/>
    <cellStyle name="Vérification 2 3 9 7 5 2 4" xfId="31272"/>
    <cellStyle name="Vérification 2 3 9 7 5 3" xfId="22918"/>
    <cellStyle name="Vérification 2 3 9 7 5 3 2" xfId="34925"/>
    <cellStyle name="Vérification 2 3 9 7 5 4" xfId="12748"/>
    <cellStyle name="Vérification 2 3 9 7 5 5" xfId="28969"/>
    <cellStyle name="Vérification 2 3 9 7 6" xfId="7189"/>
    <cellStyle name="Vérification 2 3 9 7 6 2" xfId="23413"/>
    <cellStyle name="Vérification 2 3 9 7 6 2 2" xfId="35420"/>
    <cellStyle name="Vérification 2 3 9 7 6 3" xfId="13573"/>
    <cellStyle name="Vérification 2 3 9 7 6 4" xfId="29794"/>
    <cellStyle name="Vérification 2 3 9 7 7" xfId="18802"/>
    <cellStyle name="Vérification 2 3 9 7 7 2" xfId="32940"/>
    <cellStyle name="Vérification 2 3 9 7 8" xfId="10714"/>
    <cellStyle name="Vérification 2 3 9 7 9" xfId="26937"/>
    <cellStyle name="Vérification 2 3 9 8" xfId="2619"/>
    <cellStyle name="Vérification 2 3 9 8 2" xfId="2952"/>
    <cellStyle name="Vérification 2 3 9 8 2 2" xfId="6640"/>
    <cellStyle name="Vérification 2 3 9 8 2 2 2" xfId="9021"/>
    <cellStyle name="Vérification 2 3 9 8 2 2 2 2" xfId="25245"/>
    <cellStyle name="Vérification 2 3 9 8 2 2 2 2 2" xfId="37252"/>
    <cellStyle name="Vérification 2 3 9 8 2 2 2 3" xfId="15028"/>
    <cellStyle name="Vérification 2 3 9 8 2 2 2 4" xfId="31249"/>
    <cellStyle name="Vérification 2 3 9 8 2 2 3" xfId="10399"/>
    <cellStyle name="Vérification 2 3 9 8 2 2 3 2" xfId="26623"/>
    <cellStyle name="Vérification 2 3 9 8 2 2 3 2 2" xfId="38630"/>
    <cellStyle name="Vérification 2 3 9 8 2 2 3 3" xfId="16406"/>
    <cellStyle name="Vérification 2 3 9 8 2 2 3 4" xfId="32627"/>
    <cellStyle name="Vérification 2 3 9 8 2 2 4" xfId="22864"/>
    <cellStyle name="Vérification 2 3 9 8 2 2 4 2" xfId="34871"/>
    <cellStyle name="Vérification 2 3 9 8 2 2 5" xfId="12725"/>
    <cellStyle name="Vérification 2 3 9 8 2 2 6" xfId="28946"/>
    <cellStyle name="Vérification 2 3 9 8 2 3" xfId="7688"/>
    <cellStyle name="Vérification 2 3 9 8 2 3 2" xfId="9732"/>
    <cellStyle name="Vérification 2 3 9 8 2 3 2 2" xfId="25956"/>
    <cellStyle name="Vérification 2 3 9 8 2 3 2 2 2" xfId="37963"/>
    <cellStyle name="Vérification 2 3 9 8 2 3 2 3" xfId="15739"/>
    <cellStyle name="Vérification 2 3 9 8 2 3 2 4" xfId="31960"/>
    <cellStyle name="Vérification 2 3 9 8 2 3 3" xfId="23912"/>
    <cellStyle name="Vérification 2 3 9 8 2 3 3 2" xfId="35919"/>
    <cellStyle name="Vérification 2 3 9 8 2 3 4" xfId="13436"/>
    <cellStyle name="Vérification 2 3 9 8 2 3 5" xfId="29657"/>
    <cellStyle name="Vérification 2 3 9 8 2 4" xfId="8065"/>
    <cellStyle name="Vérification 2 3 9 8 2 4 2" xfId="24289"/>
    <cellStyle name="Vérification 2 3 9 8 2 4 2 2" xfId="36296"/>
    <cellStyle name="Vérification 2 3 9 8 2 4 3" xfId="14072"/>
    <cellStyle name="Vérification 2 3 9 8 2 4 4" xfId="30293"/>
    <cellStyle name="Vérification 2 3 9 8 2 5" xfId="19180"/>
    <cellStyle name="Vérification 2 3 9 8 2 5 2" xfId="33294"/>
    <cellStyle name="Vérification 2 3 9 8 2 6" xfId="11421"/>
    <cellStyle name="Vérification 2 3 9 8 2 7" xfId="27642"/>
    <cellStyle name="Vérification 2 3 9 8 3" xfId="6307"/>
    <cellStyle name="Vérification 2 3 9 8 3 2" xfId="7355"/>
    <cellStyle name="Vérification 2 3 9 8 3 2 2" xfId="9399"/>
    <cellStyle name="Vérification 2 3 9 8 3 2 2 2" xfId="25623"/>
    <cellStyle name="Vérification 2 3 9 8 3 2 2 2 2" xfId="37630"/>
    <cellStyle name="Vérification 2 3 9 8 3 2 2 3" xfId="15406"/>
    <cellStyle name="Vérification 2 3 9 8 3 2 2 4" xfId="31627"/>
    <cellStyle name="Vérification 2 3 9 8 3 2 3" xfId="23579"/>
    <cellStyle name="Vérification 2 3 9 8 3 2 3 2" xfId="35586"/>
    <cellStyle name="Vérification 2 3 9 8 3 2 4" xfId="13103"/>
    <cellStyle name="Vérification 2 3 9 8 3 2 5" xfId="29324"/>
    <cellStyle name="Vérification 2 3 9 8 3 3" xfId="7732"/>
    <cellStyle name="Vérification 2 3 9 8 3 3 2" xfId="23956"/>
    <cellStyle name="Vérification 2 3 9 8 3 3 2 2" xfId="35963"/>
    <cellStyle name="Vérification 2 3 9 8 3 3 3" xfId="13739"/>
    <cellStyle name="Vérification 2 3 9 8 3 3 4" xfId="29960"/>
    <cellStyle name="Vérification 2 3 9 8 3 4" xfId="22531"/>
    <cellStyle name="Vérification 2 3 9 8 3 4 2" xfId="34538"/>
    <cellStyle name="Vérification 2 3 9 8 3 5" xfId="11088"/>
    <cellStyle name="Vérification 2 3 9 8 3 6" xfId="27309"/>
    <cellStyle name="Vérification 2 3 9 8 4" xfId="3862"/>
    <cellStyle name="Vérification 2 3 9 8 4 2" xfId="8688"/>
    <cellStyle name="Vérification 2 3 9 8 4 2 2" xfId="24912"/>
    <cellStyle name="Vérification 2 3 9 8 4 2 2 2" xfId="36919"/>
    <cellStyle name="Vérification 2 3 9 8 4 2 3" xfId="14695"/>
    <cellStyle name="Vérification 2 3 9 8 4 2 4" xfId="30916"/>
    <cellStyle name="Vérification 2 3 9 8 4 3" xfId="10066"/>
    <cellStyle name="Vérification 2 3 9 8 4 3 2" xfId="26290"/>
    <cellStyle name="Vérification 2 3 9 8 4 3 2 2" xfId="38297"/>
    <cellStyle name="Vérification 2 3 9 8 4 3 3" xfId="16073"/>
    <cellStyle name="Vérification 2 3 9 8 4 3 4" xfId="32294"/>
    <cellStyle name="Vérification 2 3 9 8 4 4" xfId="20090"/>
    <cellStyle name="Vérification 2 3 9 8 4 4 2" xfId="34204"/>
    <cellStyle name="Vérification 2 3 9 8 4 5" xfId="12243"/>
    <cellStyle name="Vérification 2 3 9 8 4 6" xfId="28464"/>
    <cellStyle name="Vérification 2 3 9 8 5" xfId="6719"/>
    <cellStyle name="Vérification 2 3 9 8 5 2" xfId="9065"/>
    <cellStyle name="Vérification 2 3 9 8 5 2 2" xfId="25289"/>
    <cellStyle name="Vérification 2 3 9 8 5 2 2 2" xfId="37296"/>
    <cellStyle name="Vérification 2 3 9 8 5 2 3" xfId="15072"/>
    <cellStyle name="Vérification 2 3 9 8 5 2 4" xfId="31293"/>
    <cellStyle name="Vérification 2 3 9 8 5 3" xfId="22943"/>
    <cellStyle name="Vérification 2 3 9 8 5 3 2" xfId="34950"/>
    <cellStyle name="Vérification 2 3 9 8 5 4" xfId="12769"/>
    <cellStyle name="Vérification 2 3 9 8 5 5" xfId="28990"/>
    <cellStyle name="Vérification 2 3 9 8 6" xfId="7274"/>
    <cellStyle name="Vérification 2 3 9 8 6 2" xfId="23498"/>
    <cellStyle name="Vérification 2 3 9 8 6 2 2" xfId="35505"/>
    <cellStyle name="Vérification 2 3 9 8 6 3" xfId="13658"/>
    <cellStyle name="Vérification 2 3 9 8 6 4" xfId="29879"/>
    <cellStyle name="Vérification 2 3 9 8 7" xfId="18847"/>
    <cellStyle name="Vérification 2 3 9 8 7 2" xfId="32961"/>
    <cellStyle name="Vérification 2 3 9 8 8" xfId="10735"/>
    <cellStyle name="Vérification 2 3 9 8 9" xfId="26958"/>
    <cellStyle name="Vérification 2 3 9 9" xfId="2641"/>
    <cellStyle name="Vérification 2 3 9 9 2" xfId="6329"/>
    <cellStyle name="Vérification 2 3 9 9 2 2" xfId="8710"/>
    <cellStyle name="Vérification 2 3 9 9 2 2 2" xfId="24934"/>
    <cellStyle name="Vérification 2 3 9 9 2 2 2 2" xfId="36941"/>
    <cellStyle name="Vérification 2 3 9 9 2 2 3" xfId="14717"/>
    <cellStyle name="Vérification 2 3 9 9 2 2 4" xfId="30938"/>
    <cellStyle name="Vérification 2 3 9 9 2 3" xfId="10088"/>
    <cellStyle name="Vérification 2 3 9 9 2 3 2" xfId="26312"/>
    <cellStyle name="Vérification 2 3 9 9 2 3 2 2" xfId="38319"/>
    <cellStyle name="Vérification 2 3 9 9 2 3 3" xfId="16095"/>
    <cellStyle name="Vérification 2 3 9 9 2 3 4" xfId="32316"/>
    <cellStyle name="Vérification 2 3 9 9 2 4" xfId="22553"/>
    <cellStyle name="Vérification 2 3 9 9 2 4 2" xfId="34560"/>
    <cellStyle name="Vérification 2 3 9 9 2 5" xfId="12414"/>
    <cellStyle name="Vérification 2 3 9 9 2 6" xfId="28635"/>
    <cellStyle name="Vérification 2 3 9 9 3" xfId="7377"/>
    <cellStyle name="Vérification 2 3 9 9 3 2" xfId="9421"/>
    <cellStyle name="Vérification 2 3 9 9 3 2 2" xfId="25645"/>
    <cellStyle name="Vérification 2 3 9 9 3 2 2 2" xfId="37652"/>
    <cellStyle name="Vérification 2 3 9 9 3 2 3" xfId="15428"/>
    <cellStyle name="Vérification 2 3 9 9 3 2 4" xfId="31649"/>
    <cellStyle name="Vérification 2 3 9 9 3 3" xfId="23601"/>
    <cellStyle name="Vérification 2 3 9 9 3 3 2" xfId="35608"/>
    <cellStyle name="Vérification 2 3 9 9 3 4" xfId="13125"/>
    <cellStyle name="Vérification 2 3 9 9 3 5" xfId="29346"/>
    <cellStyle name="Vérification 2 3 9 9 4" xfId="7754"/>
    <cellStyle name="Vérification 2 3 9 9 4 2" xfId="23978"/>
    <cellStyle name="Vérification 2 3 9 9 4 2 2" xfId="35985"/>
    <cellStyle name="Vérification 2 3 9 9 4 3" xfId="13761"/>
    <cellStyle name="Vérification 2 3 9 9 4 4" xfId="29982"/>
    <cellStyle name="Vérification 2 3 9 9 5" xfId="18869"/>
    <cellStyle name="Vérification 2 3 9 9 5 2" xfId="32983"/>
    <cellStyle name="Vérification 2 3 9 9 6" xfId="11110"/>
    <cellStyle name="Vérification 2 3 9 9 7" xfId="27331"/>
    <cellStyle name="Vérification 2 4" xfId="132"/>
    <cellStyle name="Vérification 2 4 10" xfId="3891"/>
    <cellStyle name="Vérification 2 4 10 2" xfId="6727"/>
    <cellStyle name="Vérification 2 4 10 2 2" xfId="9068"/>
    <cellStyle name="Vérification 2 4 10 2 2 2" xfId="25292"/>
    <cellStyle name="Vérification 2 4 10 2 2 2 2" xfId="37299"/>
    <cellStyle name="Vérification 2 4 10 2 2 3" xfId="15075"/>
    <cellStyle name="Vérification 2 4 10 2 2 4" xfId="31296"/>
    <cellStyle name="Vérification 2 4 10 2 3" xfId="22951"/>
    <cellStyle name="Vérification 2 4 10 2 3 2" xfId="34958"/>
    <cellStyle name="Vérification 2 4 10 2 4" xfId="12772"/>
    <cellStyle name="Vérification 2 4 10 2 5" xfId="28993"/>
    <cellStyle name="Vérification 2 4 10 3" xfId="6771"/>
    <cellStyle name="Vérification 2 4 10 3 2" xfId="22995"/>
    <cellStyle name="Vérification 2 4 10 3 2 2" xfId="35002"/>
    <cellStyle name="Vérification 2 4 10 3 3" xfId="13488"/>
    <cellStyle name="Vérification 2 4 10 3 4" xfId="29709"/>
    <cellStyle name="Vérification 2 4 10 4" xfId="20118"/>
    <cellStyle name="Vérification 2 4 10 4 2" xfId="34207"/>
    <cellStyle name="Vérification 2 4 10 5" xfId="10745"/>
    <cellStyle name="Vérification 2 4 10 6" xfId="26968"/>
    <cellStyle name="Vérification 2 4 11" xfId="2983"/>
    <cellStyle name="Vérification 2 4 11 2" xfId="8075"/>
    <cellStyle name="Vérification 2 4 11 2 2" xfId="24299"/>
    <cellStyle name="Vérification 2 4 11 2 2 2" xfId="36306"/>
    <cellStyle name="Vérification 2 4 11 2 3" xfId="14082"/>
    <cellStyle name="Vérification 2 4 11 2 4" xfId="30303"/>
    <cellStyle name="Vérification 2 4 11 3" xfId="9735"/>
    <cellStyle name="Vérification 2 4 11 3 2" xfId="25959"/>
    <cellStyle name="Vérification 2 4 11 3 2 2" xfId="37966"/>
    <cellStyle name="Vérification 2 4 11 3 3" xfId="15742"/>
    <cellStyle name="Vérification 2 4 11 3 4" xfId="31963"/>
    <cellStyle name="Vérification 2 4 11 4" xfId="19211"/>
    <cellStyle name="Vérification 2 4 11 4 2" xfId="33325"/>
    <cellStyle name="Vérification 2 4 11 5" xfId="11630"/>
    <cellStyle name="Vérification 2 4 11 6" xfId="27851"/>
    <cellStyle name="Vérification 2 4 12" xfId="3591"/>
    <cellStyle name="Vérification 2 4 12 2" xfId="8527"/>
    <cellStyle name="Vérification 2 4 12 2 2" xfId="24751"/>
    <cellStyle name="Vérification 2 4 12 2 2 2" xfId="36758"/>
    <cellStyle name="Vérification 2 4 12 2 3" xfId="14534"/>
    <cellStyle name="Vérification 2 4 12 2 4" xfId="30755"/>
    <cellStyle name="Vérification 2 4 12 3" xfId="19819"/>
    <cellStyle name="Vérification 2 4 12 3 2" xfId="33933"/>
    <cellStyle name="Vérification 2 4 12 4" xfId="12082"/>
    <cellStyle name="Vérification 2 4 12 5" xfId="28303"/>
    <cellStyle name="Vérification 2 4 13" xfId="3733"/>
    <cellStyle name="Vérification 2 4 13 2" xfId="19961"/>
    <cellStyle name="Vérification 2 4 13 2 2" xfId="34075"/>
    <cellStyle name="Vérification 2 4 13 3" xfId="11512"/>
    <cellStyle name="Vérification 2 4 13 4" xfId="27733"/>
    <cellStyle name="Vérification 2 4 14" xfId="16434"/>
    <cellStyle name="Vérification 2 4 14 2" xfId="32630"/>
    <cellStyle name="Vérification 2 4 15" xfId="10402"/>
    <cellStyle name="Vérification 2 4 16" xfId="26627"/>
    <cellStyle name="Vérification 2 4 2" xfId="339"/>
    <cellStyle name="Vérification 2 4 2 10" xfId="10425"/>
    <cellStyle name="Vérification 2 4 2 11" xfId="26650"/>
    <cellStyle name="Vérification 2 4 2 2" xfId="1344"/>
    <cellStyle name="Vérification 2 4 2 2 2" xfId="2822"/>
    <cellStyle name="Vérification 2 4 2 2 2 2" xfId="6510"/>
    <cellStyle name="Vérification 2 4 2 2 2 2 2" xfId="8891"/>
    <cellStyle name="Vérification 2 4 2 2 2 2 2 2" xfId="25115"/>
    <cellStyle name="Vérification 2 4 2 2 2 2 2 2 2" xfId="37122"/>
    <cellStyle name="Vérification 2 4 2 2 2 2 2 3" xfId="14898"/>
    <cellStyle name="Vérification 2 4 2 2 2 2 2 4" xfId="31119"/>
    <cellStyle name="Vérification 2 4 2 2 2 2 3" xfId="10269"/>
    <cellStyle name="Vérification 2 4 2 2 2 2 3 2" xfId="26493"/>
    <cellStyle name="Vérification 2 4 2 2 2 2 3 2 2" xfId="38500"/>
    <cellStyle name="Vérification 2 4 2 2 2 2 3 3" xfId="16276"/>
    <cellStyle name="Vérification 2 4 2 2 2 2 3 4" xfId="32497"/>
    <cellStyle name="Vérification 2 4 2 2 2 2 4" xfId="22734"/>
    <cellStyle name="Vérification 2 4 2 2 2 2 4 2" xfId="34741"/>
    <cellStyle name="Vérification 2 4 2 2 2 2 5" xfId="12595"/>
    <cellStyle name="Vérification 2 4 2 2 2 2 6" xfId="28816"/>
    <cellStyle name="Vérification 2 4 2 2 2 3" xfId="7558"/>
    <cellStyle name="Vérification 2 4 2 2 2 3 2" xfId="9602"/>
    <cellStyle name="Vérification 2 4 2 2 2 3 2 2" xfId="25826"/>
    <cellStyle name="Vérification 2 4 2 2 2 3 2 2 2" xfId="37833"/>
    <cellStyle name="Vérification 2 4 2 2 2 3 2 3" xfId="15609"/>
    <cellStyle name="Vérification 2 4 2 2 2 3 2 4" xfId="31830"/>
    <cellStyle name="Vérification 2 4 2 2 2 3 3" xfId="23782"/>
    <cellStyle name="Vérification 2 4 2 2 2 3 3 2" xfId="35789"/>
    <cellStyle name="Vérification 2 4 2 2 2 3 4" xfId="13306"/>
    <cellStyle name="Vérification 2 4 2 2 2 3 5" xfId="29527"/>
    <cellStyle name="Vérification 2 4 2 2 2 4" xfId="7935"/>
    <cellStyle name="Vérification 2 4 2 2 2 4 2" xfId="24159"/>
    <cellStyle name="Vérification 2 4 2 2 2 4 2 2" xfId="36166"/>
    <cellStyle name="Vérification 2 4 2 2 2 4 3" xfId="13942"/>
    <cellStyle name="Vérification 2 4 2 2 2 4 4" xfId="30163"/>
    <cellStyle name="Vérification 2 4 2 2 2 5" xfId="19050"/>
    <cellStyle name="Vérification 2 4 2 2 2 5 2" xfId="33164"/>
    <cellStyle name="Vérification 2 4 2 2 2 6" xfId="11291"/>
    <cellStyle name="Vérification 2 4 2 2 2 7" xfId="27512"/>
    <cellStyle name="Vérification 2 4 2 2 3" xfId="5041"/>
    <cellStyle name="Vérification 2 4 2 2 3 2" xfId="7068"/>
    <cellStyle name="Vérification 2 4 2 2 3 2 2" xfId="9269"/>
    <cellStyle name="Vérification 2 4 2 2 3 2 2 2" xfId="25493"/>
    <cellStyle name="Vérification 2 4 2 2 3 2 2 2 2" xfId="37500"/>
    <cellStyle name="Vérification 2 4 2 2 3 2 2 3" xfId="15276"/>
    <cellStyle name="Vérification 2 4 2 2 3 2 2 4" xfId="31497"/>
    <cellStyle name="Vérification 2 4 2 2 3 2 3" xfId="23292"/>
    <cellStyle name="Vérification 2 4 2 2 3 2 3 2" xfId="35299"/>
    <cellStyle name="Vérification 2 4 2 2 3 2 4" xfId="12973"/>
    <cellStyle name="Vérification 2 4 2 2 3 2 5" xfId="29194"/>
    <cellStyle name="Vérification 2 4 2 2 3 3" xfId="7198"/>
    <cellStyle name="Vérification 2 4 2 2 3 3 2" xfId="23422"/>
    <cellStyle name="Vérification 2 4 2 2 3 3 2 2" xfId="35429"/>
    <cellStyle name="Vérification 2 4 2 2 3 3 3" xfId="13582"/>
    <cellStyle name="Vérification 2 4 2 2 3 3 4" xfId="29803"/>
    <cellStyle name="Vérification 2 4 2 2 3 4" xfId="21267"/>
    <cellStyle name="Vérification 2 4 2 2 3 4 2" xfId="34408"/>
    <cellStyle name="Vérification 2 4 2 2 3 5" xfId="10955"/>
    <cellStyle name="Vérification 2 4 2 2 3 6" xfId="27178"/>
    <cellStyle name="Vérification 2 4 2 2 4" xfId="3432"/>
    <cellStyle name="Vérification 2 4 2 2 4 2" xfId="8399"/>
    <cellStyle name="Vérification 2 4 2 2 4 2 2" xfId="24623"/>
    <cellStyle name="Vérification 2 4 2 2 4 2 2 2" xfId="36630"/>
    <cellStyle name="Vérification 2 4 2 2 4 2 3" xfId="14406"/>
    <cellStyle name="Vérification 2 4 2 2 4 2 4" xfId="30627"/>
    <cellStyle name="Vérification 2 4 2 2 4 3" xfId="9936"/>
    <cellStyle name="Vérification 2 4 2 2 4 3 2" xfId="26160"/>
    <cellStyle name="Vérification 2 4 2 2 4 3 2 2" xfId="38167"/>
    <cellStyle name="Vérification 2 4 2 2 4 3 3" xfId="15943"/>
    <cellStyle name="Vérification 2 4 2 2 4 3 4" xfId="32164"/>
    <cellStyle name="Vérification 2 4 2 2 4 4" xfId="19660"/>
    <cellStyle name="Vérification 2 4 2 2 4 4 2" xfId="33774"/>
    <cellStyle name="Vérification 2 4 2 2 4 5" xfId="11954"/>
    <cellStyle name="Vérification 2 4 2 2 4 6" xfId="28175"/>
    <cellStyle name="Vérification 2 4 2 2 5" xfId="3525"/>
    <cellStyle name="Vérification 2 4 2 2 5 2" xfId="8490"/>
    <cellStyle name="Vérification 2 4 2 2 5 2 2" xfId="24714"/>
    <cellStyle name="Vérification 2 4 2 2 5 2 2 2" xfId="36721"/>
    <cellStyle name="Vérification 2 4 2 2 5 2 3" xfId="14497"/>
    <cellStyle name="Vérification 2 4 2 2 5 2 4" xfId="30718"/>
    <cellStyle name="Vérification 2 4 2 2 5 3" xfId="19753"/>
    <cellStyle name="Vérification 2 4 2 2 5 3 2" xfId="33867"/>
    <cellStyle name="Vérification 2 4 2 2 5 4" xfId="12045"/>
    <cellStyle name="Vérification 2 4 2 2 5 5" xfId="28266"/>
    <cellStyle name="Vérification 2 4 2 2 6" xfId="7023"/>
    <cellStyle name="Vérification 2 4 2 2 6 2" xfId="23247"/>
    <cellStyle name="Vérification 2 4 2 2 6 2 2" xfId="35254"/>
    <cellStyle name="Vérification 2 4 2 2 6 3" xfId="13530"/>
    <cellStyle name="Vérification 2 4 2 2 6 4" xfId="29751"/>
    <cellStyle name="Vérification 2 4 2 2 7" xfId="17583"/>
    <cellStyle name="Vérification 2 4 2 2 7 2" xfId="32831"/>
    <cellStyle name="Vérification 2 4 2 2 8" xfId="10603"/>
    <cellStyle name="Vérification 2 4 2 2 9" xfId="26828"/>
    <cellStyle name="Vérification 2 4 2 3" xfId="955"/>
    <cellStyle name="Vérification 2 4 2 3 2" xfId="2733"/>
    <cellStyle name="Vérification 2 4 2 3 2 2" xfId="6421"/>
    <cellStyle name="Vérification 2 4 2 3 2 2 2" xfId="8802"/>
    <cellStyle name="Vérification 2 4 2 3 2 2 2 2" xfId="25026"/>
    <cellStyle name="Vérification 2 4 2 3 2 2 2 2 2" xfId="37033"/>
    <cellStyle name="Vérification 2 4 2 3 2 2 2 3" xfId="14809"/>
    <cellStyle name="Vérification 2 4 2 3 2 2 2 4" xfId="31030"/>
    <cellStyle name="Vérification 2 4 2 3 2 2 3" xfId="10180"/>
    <cellStyle name="Vérification 2 4 2 3 2 2 3 2" xfId="26404"/>
    <cellStyle name="Vérification 2 4 2 3 2 2 3 2 2" xfId="38411"/>
    <cellStyle name="Vérification 2 4 2 3 2 2 3 3" xfId="16187"/>
    <cellStyle name="Vérification 2 4 2 3 2 2 3 4" xfId="32408"/>
    <cellStyle name="Vérification 2 4 2 3 2 2 4" xfId="22645"/>
    <cellStyle name="Vérification 2 4 2 3 2 2 4 2" xfId="34652"/>
    <cellStyle name="Vérification 2 4 2 3 2 2 5" xfId="12506"/>
    <cellStyle name="Vérification 2 4 2 3 2 2 6" xfId="28727"/>
    <cellStyle name="Vérification 2 4 2 3 2 3" xfId="7469"/>
    <cellStyle name="Vérification 2 4 2 3 2 3 2" xfId="9513"/>
    <cellStyle name="Vérification 2 4 2 3 2 3 2 2" xfId="25737"/>
    <cellStyle name="Vérification 2 4 2 3 2 3 2 2 2" xfId="37744"/>
    <cellStyle name="Vérification 2 4 2 3 2 3 2 3" xfId="15520"/>
    <cellStyle name="Vérification 2 4 2 3 2 3 2 4" xfId="31741"/>
    <cellStyle name="Vérification 2 4 2 3 2 3 3" xfId="23693"/>
    <cellStyle name="Vérification 2 4 2 3 2 3 3 2" xfId="35700"/>
    <cellStyle name="Vérification 2 4 2 3 2 3 4" xfId="13217"/>
    <cellStyle name="Vérification 2 4 2 3 2 3 5" xfId="29438"/>
    <cellStyle name="Vérification 2 4 2 3 2 4" xfId="7846"/>
    <cellStyle name="Vérification 2 4 2 3 2 4 2" xfId="24070"/>
    <cellStyle name="Vérification 2 4 2 3 2 4 2 2" xfId="36077"/>
    <cellStyle name="Vérification 2 4 2 3 2 4 3" xfId="13853"/>
    <cellStyle name="Vérification 2 4 2 3 2 4 4" xfId="30074"/>
    <cellStyle name="Vérification 2 4 2 3 2 5" xfId="18961"/>
    <cellStyle name="Vérification 2 4 2 3 2 5 2" xfId="33075"/>
    <cellStyle name="Vérification 2 4 2 3 2 6" xfId="11202"/>
    <cellStyle name="Vérification 2 4 2 3 2 7" xfId="27423"/>
    <cellStyle name="Vérification 2 4 2 3 3" xfId="4652"/>
    <cellStyle name="Vérification 2 4 2 3 3 2" xfId="6938"/>
    <cellStyle name="Vérification 2 4 2 3 3 2 2" xfId="9180"/>
    <cellStyle name="Vérification 2 4 2 3 3 2 2 2" xfId="25404"/>
    <cellStyle name="Vérification 2 4 2 3 3 2 2 2 2" xfId="37411"/>
    <cellStyle name="Vérification 2 4 2 3 3 2 2 3" xfId="15187"/>
    <cellStyle name="Vérification 2 4 2 3 3 2 2 4" xfId="31408"/>
    <cellStyle name="Vérification 2 4 2 3 3 2 3" xfId="23162"/>
    <cellStyle name="Vérification 2 4 2 3 3 2 3 2" xfId="35169"/>
    <cellStyle name="Vérification 2 4 2 3 3 2 4" xfId="12884"/>
    <cellStyle name="Vérification 2 4 2 3 3 2 5" xfId="29105"/>
    <cellStyle name="Vérification 2 4 2 3 3 3" xfId="3616"/>
    <cellStyle name="Vérification 2 4 2 3 3 3 2" xfId="19844"/>
    <cellStyle name="Vérification 2 4 2 3 3 3 2 2" xfId="33958"/>
    <cellStyle name="Vérification 2 4 2 3 3 3 3" xfId="11604"/>
    <cellStyle name="Vérification 2 4 2 3 3 3 4" xfId="27825"/>
    <cellStyle name="Vérification 2 4 2 3 3 4" xfId="20878"/>
    <cellStyle name="Vérification 2 4 2 3 3 4 2" xfId="34319"/>
    <cellStyle name="Vérification 2 4 2 3 3 5" xfId="10866"/>
    <cellStyle name="Vérification 2 4 2 3 3 6" xfId="27089"/>
    <cellStyle name="Vérification 2 4 2 3 4" xfId="3270"/>
    <cellStyle name="Vérification 2 4 2 3 4 2" xfId="8267"/>
    <cellStyle name="Vérification 2 4 2 3 4 2 2" xfId="24491"/>
    <cellStyle name="Vérification 2 4 2 3 4 2 2 2" xfId="36498"/>
    <cellStyle name="Vérification 2 4 2 3 4 2 3" xfId="14274"/>
    <cellStyle name="Vérification 2 4 2 3 4 2 4" xfId="30495"/>
    <cellStyle name="Vérification 2 4 2 3 4 3" xfId="9847"/>
    <cellStyle name="Vérification 2 4 2 3 4 3 2" xfId="26071"/>
    <cellStyle name="Vérification 2 4 2 3 4 3 2 2" xfId="38078"/>
    <cellStyle name="Vérification 2 4 2 3 4 3 3" xfId="15854"/>
    <cellStyle name="Vérification 2 4 2 3 4 3 4" xfId="32075"/>
    <cellStyle name="Vérification 2 4 2 3 4 4" xfId="19498"/>
    <cellStyle name="Vérification 2 4 2 3 4 4 2" xfId="33612"/>
    <cellStyle name="Vérification 2 4 2 3 4 5" xfId="11822"/>
    <cellStyle name="Vérification 2 4 2 3 4 6" xfId="28043"/>
    <cellStyle name="Vérification 2 4 2 3 5" xfId="3665"/>
    <cellStyle name="Vérification 2 4 2 3 5 2" xfId="8564"/>
    <cellStyle name="Vérification 2 4 2 3 5 2 2" xfId="24788"/>
    <cellStyle name="Vérification 2 4 2 3 5 2 2 2" xfId="36795"/>
    <cellStyle name="Vérification 2 4 2 3 5 2 3" xfId="14571"/>
    <cellStyle name="Vérification 2 4 2 3 5 2 4" xfId="30792"/>
    <cellStyle name="Vérification 2 4 2 3 5 3" xfId="19893"/>
    <cellStyle name="Vérification 2 4 2 3 5 3 2" xfId="34007"/>
    <cellStyle name="Vérification 2 4 2 3 5 4" xfId="12119"/>
    <cellStyle name="Vérification 2 4 2 3 5 5" xfId="28340"/>
    <cellStyle name="Vérification 2 4 2 3 6" xfId="6882"/>
    <cellStyle name="Vérification 2 4 2 3 6 2" xfId="23106"/>
    <cellStyle name="Vérification 2 4 2 3 6 2 2" xfId="35113"/>
    <cellStyle name="Vérification 2 4 2 3 6 3" xfId="11490"/>
    <cellStyle name="Vérification 2 4 2 3 6 4" xfId="27711"/>
    <cellStyle name="Vérification 2 4 2 3 7" xfId="17194"/>
    <cellStyle name="Vérification 2 4 2 3 7 2" xfId="32742"/>
    <cellStyle name="Vérification 2 4 2 3 8" xfId="10514"/>
    <cellStyle name="Vérification 2 4 2 3 9" xfId="26739"/>
    <cellStyle name="Vérification 2 4 2 4" xfId="2644"/>
    <cellStyle name="Vérification 2 4 2 4 2" xfId="6332"/>
    <cellStyle name="Vérification 2 4 2 4 2 2" xfId="8713"/>
    <cellStyle name="Vérification 2 4 2 4 2 2 2" xfId="24937"/>
    <cellStyle name="Vérification 2 4 2 4 2 2 2 2" xfId="36944"/>
    <cellStyle name="Vérification 2 4 2 4 2 2 3" xfId="14720"/>
    <cellStyle name="Vérification 2 4 2 4 2 2 4" xfId="30941"/>
    <cellStyle name="Vérification 2 4 2 4 2 3" xfId="10091"/>
    <cellStyle name="Vérification 2 4 2 4 2 3 2" xfId="26315"/>
    <cellStyle name="Vérification 2 4 2 4 2 3 2 2" xfId="38322"/>
    <cellStyle name="Vérification 2 4 2 4 2 3 3" xfId="16098"/>
    <cellStyle name="Vérification 2 4 2 4 2 3 4" xfId="32319"/>
    <cellStyle name="Vérification 2 4 2 4 2 4" xfId="22556"/>
    <cellStyle name="Vérification 2 4 2 4 2 4 2" xfId="34563"/>
    <cellStyle name="Vérification 2 4 2 4 2 5" xfId="12417"/>
    <cellStyle name="Vérification 2 4 2 4 2 6" xfId="28638"/>
    <cellStyle name="Vérification 2 4 2 4 3" xfId="7380"/>
    <cellStyle name="Vérification 2 4 2 4 3 2" xfId="9424"/>
    <cellStyle name="Vérification 2 4 2 4 3 2 2" xfId="25648"/>
    <cellStyle name="Vérification 2 4 2 4 3 2 2 2" xfId="37655"/>
    <cellStyle name="Vérification 2 4 2 4 3 2 3" xfId="15431"/>
    <cellStyle name="Vérification 2 4 2 4 3 2 4" xfId="31652"/>
    <cellStyle name="Vérification 2 4 2 4 3 3" xfId="23604"/>
    <cellStyle name="Vérification 2 4 2 4 3 3 2" xfId="35611"/>
    <cellStyle name="Vérification 2 4 2 4 3 4" xfId="13128"/>
    <cellStyle name="Vérification 2 4 2 4 3 5" xfId="29349"/>
    <cellStyle name="Vérification 2 4 2 4 4" xfId="7757"/>
    <cellStyle name="Vérification 2 4 2 4 4 2" xfId="23981"/>
    <cellStyle name="Vérification 2 4 2 4 4 2 2" xfId="35988"/>
    <cellStyle name="Vérification 2 4 2 4 4 3" xfId="13764"/>
    <cellStyle name="Vérification 2 4 2 4 4 4" xfId="29985"/>
    <cellStyle name="Vérification 2 4 2 4 5" xfId="18872"/>
    <cellStyle name="Vérification 2 4 2 4 5 2" xfId="32986"/>
    <cellStyle name="Vérification 2 4 2 4 6" xfId="11113"/>
    <cellStyle name="Vérification 2 4 2 4 7" xfId="27334"/>
    <cellStyle name="Vérification 2 4 2 5" xfId="4076"/>
    <cellStyle name="Vérification 2 4 2 5 2" xfId="6776"/>
    <cellStyle name="Vérification 2 4 2 5 2 2" xfId="9091"/>
    <cellStyle name="Vérification 2 4 2 5 2 2 2" xfId="25315"/>
    <cellStyle name="Vérification 2 4 2 5 2 2 2 2" xfId="37322"/>
    <cellStyle name="Vérification 2 4 2 5 2 2 3" xfId="15098"/>
    <cellStyle name="Vérification 2 4 2 5 2 2 4" xfId="31319"/>
    <cellStyle name="Vérification 2 4 2 5 2 3" xfId="23000"/>
    <cellStyle name="Vérification 2 4 2 5 2 3 2" xfId="35007"/>
    <cellStyle name="Vérification 2 4 2 5 2 4" xfId="12795"/>
    <cellStyle name="Vérification 2 4 2 5 2 5" xfId="29016"/>
    <cellStyle name="Vérification 2 4 2 5 3" xfId="3656"/>
    <cellStyle name="Vérification 2 4 2 5 3 2" xfId="19884"/>
    <cellStyle name="Vérification 2 4 2 5 3 2 2" xfId="33998"/>
    <cellStyle name="Vérification 2 4 2 5 3 3" xfId="12304"/>
    <cellStyle name="Vérification 2 4 2 5 3 4" xfId="28525"/>
    <cellStyle name="Vérification 2 4 2 5 4" xfId="20303"/>
    <cellStyle name="Vérification 2 4 2 5 4 2" xfId="34230"/>
    <cellStyle name="Vérification 2 4 2 5 5" xfId="10770"/>
    <cellStyle name="Vérification 2 4 2 5 6" xfId="26993"/>
    <cellStyle name="Vérification 2 4 2 6" xfId="3045"/>
    <cellStyle name="Vérification 2 4 2 6 2" xfId="8118"/>
    <cellStyle name="Vérification 2 4 2 6 2 2" xfId="24342"/>
    <cellStyle name="Vérification 2 4 2 6 2 2 2" xfId="36349"/>
    <cellStyle name="Vérification 2 4 2 6 2 3" xfId="14125"/>
    <cellStyle name="Vérification 2 4 2 6 2 4" xfId="30346"/>
    <cellStyle name="Vérification 2 4 2 6 3" xfId="9758"/>
    <cellStyle name="Vérification 2 4 2 6 3 2" xfId="25982"/>
    <cellStyle name="Vérification 2 4 2 6 3 2 2" xfId="37989"/>
    <cellStyle name="Vérification 2 4 2 6 3 3" xfId="15765"/>
    <cellStyle name="Vérification 2 4 2 6 3 4" xfId="31986"/>
    <cellStyle name="Vérification 2 4 2 6 4" xfId="19273"/>
    <cellStyle name="Vérification 2 4 2 6 4 2" xfId="33387"/>
    <cellStyle name="Vérification 2 4 2 6 5" xfId="11673"/>
    <cellStyle name="Vérification 2 4 2 6 6" xfId="27894"/>
    <cellStyle name="Vérification 2 4 2 7" xfId="3700"/>
    <cellStyle name="Vérification 2 4 2 7 2" xfId="8587"/>
    <cellStyle name="Vérification 2 4 2 7 2 2" xfId="24811"/>
    <cellStyle name="Vérification 2 4 2 7 2 2 2" xfId="36818"/>
    <cellStyle name="Vérification 2 4 2 7 2 3" xfId="14594"/>
    <cellStyle name="Vérification 2 4 2 7 2 4" xfId="30815"/>
    <cellStyle name="Vérification 2 4 2 7 3" xfId="19928"/>
    <cellStyle name="Vérification 2 4 2 7 3 2" xfId="34042"/>
    <cellStyle name="Vérification 2 4 2 7 4" xfId="12142"/>
    <cellStyle name="Vérification 2 4 2 7 5" xfId="28363"/>
    <cellStyle name="Vérification 2 4 2 8" xfId="3252"/>
    <cellStyle name="Vérification 2 4 2 8 2" xfId="19480"/>
    <cellStyle name="Vérification 2 4 2 8 2 2" xfId="33594"/>
    <cellStyle name="Vérification 2 4 2 8 3" xfId="10834"/>
    <cellStyle name="Vérification 2 4 2 8 4" xfId="27057"/>
    <cellStyle name="Vérification 2 4 2 9" xfId="16619"/>
    <cellStyle name="Vérification 2 4 2 9 2" xfId="32653"/>
    <cellStyle name="Vérification 2 4 3" xfId="499"/>
    <cellStyle name="Vérification 2 4 3 10" xfId="10446"/>
    <cellStyle name="Vérification 2 4 3 11" xfId="26671"/>
    <cellStyle name="Vérification 2 4 3 2" xfId="1365"/>
    <cellStyle name="Vérification 2 4 3 2 2" xfId="2843"/>
    <cellStyle name="Vérification 2 4 3 2 2 2" xfId="6531"/>
    <cellStyle name="Vérification 2 4 3 2 2 2 2" xfId="8912"/>
    <cellStyle name="Vérification 2 4 3 2 2 2 2 2" xfId="25136"/>
    <cellStyle name="Vérification 2 4 3 2 2 2 2 2 2" xfId="37143"/>
    <cellStyle name="Vérification 2 4 3 2 2 2 2 3" xfId="14919"/>
    <cellStyle name="Vérification 2 4 3 2 2 2 2 4" xfId="31140"/>
    <cellStyle name="Vérification 2 4 3 2 2 2 3" xfId="10290"/>
    <cellStyle name="Vérification 2 4 3 2 2 2 3 2" xfId="26514"/>
    <cellStyle name="Vérification 2 4 3 2 2 2 3 2 2" xfId="38521"/>
    <cellStyle name="Vérification 2 4 3 2 2 2 3 3" xfId="16297"/>
    <cellStyle name="Vérification 2 4 3 2 2 2 3 4" xfId="32518"/>
    <cellStyle name="Vérification 2 4 3 2 2 2 4" xfId="22755"/>
    <cellStyle name="Vérification 2 4 3 2 2 2 4 2" xfId="34762"/>
    <cellStyle name="Vérification 2 4 3 2 2 2 5" xfId="12616"/>
    <cellStyle name="Vérification 2 4 3 2 2 2 6" xfId="28837"/>
    <cellStyle name="Vérification 2 4 3 2 2 3" xfId="7579"/>
    <cellStyle name="Vérification 2 4 3 2 2 3 2" xfId="9623"/>
    <cellStyle name="Vérification 2 4 3 2 2 3 2 2" xfId="25847"/>
    <cellStyle name="Vérification 2 4 3 2 2 3 2 2 2" xfId="37854"/>
    <cellStyle name="Vérification 2 4 3 2 2 3 2 3" xfId="15630"/>
    <cellStyle name="Vérification 2 4 3 2 2 3 2 4" xfId="31851"/>
    <cellStyle name="Vérification 2 4 3 2 2 3 3" xfId="23803"/>
    <cellStyle name="Vérification 2 4 3 2 2 3 3 2" xfId="35810"/>
    <cellStyle name="Vérification 2 4 3 2 2 3 4" xfId="13327"/>
    <cellStyle name="Vérification 2 4 3 2 2 3 5" xfId="29548"/>
    <cellStyle name="Vérification 2 4 3 2 2 4" xfId="7956"/>
    <cellStyle name="Vérification 2 4 3 2 2 4 2" xfId="24180"/>
    <cellStyle name="Vérification 2 4 3 2 2 4 2 2" xfId="36187"/>
    <cellStyle name="Vérification 2 4 3 2 2 4 3" xfId="13963"/>
    <cellStyle name="Vérification 2 4 3 2 2 4 4" xfId="30184"/>
    <cellStyle name="Vérification 2 4 3 2 2 5" xfId="19071"/>
    <cellStyle name="Vérification 2 4 3 2 2 5 2" xfId="33185"/>
    <cellStyle name="Vérification 2 4 3 2 2 6" xfId="11312"/>
    <cellStyle name="Vérification 2 4 3 2 2 7" xfId="27533"/>
    <cellStyle name="Vérification 2 4 3 2 3" xfId="5062"/>
    <cellStyle name="Vérification 2 4 3 2 3 2" xfId="7089"/>
    <cellStyle name="Vérification 2 4 3 2 3 2 2" xfId="9290"/>
    <cellStyle name="Vérification 2 4 3 2 3 2 2 2" xfId="25514"/>
    <cellStyle name="Vérification 2 4 3 2 3 2 2 2 2" xfId="37521"/>
    <cellStyle name="Vérification 2 4 3 2 3 2 2 3" xfId="15297"/>
    <cellStyle name="Vérification 2 4 3 2 3 2 2 4" xfId="31518"/>
    <cellStyle name="Vérification 2 4 3 2 3 2 3" xfId="23313"/>
    <cellStyle name="Vérification 2 4 3 2 3 2 3 2" xfId="35320"/>
    <cellStyle name="Vérification 2 4 3 2 3 2 4" xfId="12994"/>
    <cellStyle name="Vérification 2 4 3 2 3 2 5" xfId="29215"/>
    <cellStyle name="Vérification 2 4 3 2 3 3" xfId="7283"/>
    <cellStyle name="Vérification 2 4 3 2 3 3 2" xfId="23507"/>
    <cellStyle name="Vérification 2 4 3 2 3 3 2 2" xfId="35514"/>
    <cellStyle name="Vérification 2 4 3 2 3 3 3" xfId="13667"/>
    <cellStyle name="Vérification 2 4 3 2 3 3 4" xfId="29888"/>
    <cellStyle name="Vérification 2 4 3 2 3 4" xfId="21288"/>
    <cellStyle name="Vérification 2 4 3 2 3 4 2" xfId="34429"/>
    <cellStyle name="Vérification 2 4 3 2 3 5" xfId="10976"/>
    <cellStyle name="Vérification 2 4 3 2 3 6" xfId="27199"/>
    <cellStyle name="Vérification 2 4 3 2 4" xfId="3453"/>
    <cellStyle name="Vérification 2 4 3 2 4 2" xfId="8420"/>
    <cellStyle name="Vérification 2 4 3 2 4 2 2" xfId="24644"/>
    <cellStyle name="Vérification 2 4 3 2 4 2 2 2" xfId="36651"/>
    <cellStyle name="Vérification 2 4 3 2 4 2 3" xfId="14427"/>
    <cellStyle name="Vérification 2 4 3 2 4 2 4" xfId="30648"/>
    <cellStyle name="Vérification 2 4 3 2 4 3" xfId="9957"/>
    <cellStyle name="Vérification 2 4 3 2 4 3 2" xfId="26181"/>
    <cellStyle name="Vérification 2 4 3 2 4 3 2 2" xfId="38188"/>
    <cellStyle name="Vérification 2 4 3 2 4 3 3" xfId="15964"/>
    <cellStyle name="Vérification 2 4 3 2 4 3 4" xfId="32185"/>
    <cellStyle name="Vérification 2 4 3 2 4 4" xfId="19681"/>
    <cellStyle name="Vérification 2 4 3 2 4 4 2" xfId="33795"/>
    <cellStyle name="Vérification 2 4 3 2 4 5" xfId="11975"/>
    <cellStyle name="Vérification 2 4 3 2 4 6" xfId="28196"/>
    <cellStyle name="Vérification 2 4 3 2 5" xfId="3550"/>
    <cellStyle name="Vérification 2 4 3 2 5 2" xfId="8507"/>
    <cellStyle name="Vérification 2 4 3 2 5 2 2" xfId="24731"/>
    <cellStyle name="Vérification 2 4 3 2 5 2 2 2" xfId="36738"/>
    <cellStyle name="Vérification 2 4 3 2 5 2 3" xfId="14514"/>
    <cellStyle name="Vérification 2 4 3 2 5 2 4" xfId="30735"/>
    <cellStyle name="Vérification 2 4 3 2 5 3" xfId="19778"/>
    <cellStyle name="Vérification 2 4 3 2 5 3 2" xfId="33892"/>
    <cellStyle name="Vérification 2 4 3 2 5 4" xfId="12062"/>
    <cellStyle name="Vérification 2 4 3 2 5 5" xfId="28283"/>
    <cellStyle name="Vérification 2 4 3 2 6" xfId="3352"/>
    <cellStyle name="Vérification 2 4 3 2 6 2" xfId="19580"/>
    <cellStyle name="Vérification 2 4 3 2 6 2 2" xfId="33694"/>
    <cellStyle name="Vérification 2 4 3 2 6 3" xfId="12333"/>
    <cellStyle name="Vérification 2 4 3 2 6 4" xfId="28554"/>
    <cellStyle name="Vérification 2 4 3 2 7" xfId="17604"/>
    <cellStyle name="Vérification 2 4 3 2 7 2" xfId="32852"/>
    <cellStyle name="Vérification 2 4 3 2 8" xfId="10624"/>
    <cellStyle name="Vérification 2 4 3 2 9" xfId="26849"/>
    <cellStyle name="Vérification 2 4 3 3" xfId="1114"/>
    <cellStyle name="Vérification 2 4 3 3 2" xfId="2754"/>
    <cellStyle name="Vérification 2 4 3 3 2 2" xfId="6442"/>
    <cellStyle name="Vérification 2 4 3 3 2 2 2" xfId="8823"/>
    <cellStyle name="Vérification 2 4 3 3 2 2 2 2" xfId="25047"/>
    <cellStyle name="Vérification 2 4 3 3 2 2 2 2 2" xfId="37054"/>
    <cellStyle name="Vérification 2 4 3 3 2 2 2 3" xfId="14830"/>
    <cellStyle name="Vérification 2 4 3 3 2 2 2 4" xfId="31051"/>
    <cellStyle name="Vérification 2 4 3 3 2 2 3" xfId="10201"/>
    <cellStyle name="Vérification 2 4 3 3 2 2 3 2" xfId="26425"/>
    <cellStyle name="Vérification 2 4 3 3 2 2 3 2 2" xfId="38432"/>
    <cellStyle name="Vérification 2 4 3 3 2 2 3 3" xfId="16208"/>
    <cellStyle name="Vérification 2 4 3 3 2 2 3 4" xfId="32429"/>
    <cellStyle name="Vérification 2 4 3 3 2 2 4" xfId="22666"/>
    <cellStyle name="Vérification 2 4 3 3 2 2 4 2" xfId="34673"/>
    <cellStyle name="Vérification 2 4 3 3 2 2 5" xfId="12527"/>
    <cellStyle name="Vérification 2 4 3 3 2 2 6" xfId="28748"/>
    <cellStyle name="Vérification 2 4 3 3 2 3" xfId="7490"/>
    <cellStyle name="Vérification 2 4 3 3 2 3 2" xfId="9534"/>
    <cellStyle name="Vérification 2 4 3 3 2 3 2 2" xfId="25758"/>
    <cellStyle name="Vérification 2 4 3 3 2 3 2 2 2" xfId="37765"/>
    <cellStyle name="Vérification 2 4 3 3 2 3 2 3" xfId="15541"/>
    <cellStyle name="Vérification 2 4 3 3 2 3 2 4" xfId="31762"/>
    <cellStyle name="Vérification 2 4 3 3 2 3 3" xfId="23714"/>
    <cellStyle name="Vérification 2 4 3 3 2 3 3 2" xfId="35721"/>
    <cellStyle name="Vérification 2 4 3 3 2 3 4" xfId="13238"/>
    <cellStyle name="Vérification 2 4 3 3 2 3 5" xfId="29459"/>
    <cellStyle name="Vérification 2 4 3 3 2 4" xfId="7867"/>
    <cellStyle name="Vérification 2 4 3 3 2 4 2" xfId="24091"/>
    <cellStyle name="Vérification 2 4 3 3 2 4 2 2" xfId="36098"/>
    <cellStyle name="Vérification 2 4 3 3 2 4 3" xfId="13874"/>
    <cellStyle name="Vérification 2 4 3 3 2 4 4" xfId="30095"/>
    <cellStyle name="Vérification 2 4 3 3 2 5" xfId="18982"/>
    <cellStyle name="Vérification 2 4 3 3 2 5 2" xfId="33096"/>
    <cellStyle name="Vérification 2 4 3 3 2 6" xfId="11223"/>
    <cellStyle name="Vérification 2 4 3 3 2 7" xfId="27444"/>
    <cellStyle name="Vérification 2 4 3 3 3" xfId="4811"/>
    <cellStyle name="Vérification 2 4 3 3 3 2" xfId="6981"/>
    <cellStyle name="Vérification 2 4 3 3 3 2 2" xfId="9201"/>
    <cellStyle name="Vérification 2 4 3 3 3 2 2 2" xfId="25425"/>
    <cellStyle name="Vérification 2 4 3 3 3 2 2 2 2" xfId="37432"/>
    <cellStyle name="Vérification 2 4 3 3 3 2 2 3" xfId="15208"/>
    <cellStyle name="Vérification 2 4 3 3 3 2 2 4" xfId="31429"/>
    <cellStyle name="Vérification 2 4 3 3 3 2 3" xfId="23205"/>
    <cellStyle name="Vérification 2 4 3 3 3 2 3 2" xfId="35212"/>
    <cellStyle name="Vérification 2 4 3 3 3 2 4" xfId="12905"/>
    <cellStyle name="Vérification 2 4 3 3 3 2 5" xfId="29126"/>
    <cellStyle name="Vérification 2 4 3 3 3 3" xfId="7201"/>
    <cellStyle name="Vérification 2 4 3 3 3 3 2" xfId="23425"/>
    <cellStyle name="Vérification 2 4 3 3 3 3 2 2" xfId="35432"/>
    <cellStyle name="Vérification 2 4 3 3 3 3 3" xfId="13585"/>
    <cellStyle name="Vérification 2 4 3 3 3 3 4" xfId="29806"/>
    <cellStyle name="Vérification 2 4 3 3 3 4" xfId="21037"/>
    <cellStyle name="Vérification 2 4 3 3 3 4 2" xfId="34340"/>
    <cellStyle name="Vérification 2 4 3 3 3 5" xfId="10887"/>
    <cellStyle name="Vérification 2 4 3 3 3 6" xfId="27110"/>
    <cellStyle name="Vérification 2 4 3 3 4" xfId="3325"/>
    <cellStyle name="Vérification 2 4 3 3 4 2" xfId="8308"/>
    <cellStyle name="Vérification 2 4 3 3 4 2 2" xfId="24532"/>
    <cellStyle name="Vérification 2 4 3 3 4 2 2 2" xfId="36539"/>
    <cellStyle name="Vérification 2 4 3 3 4 2 3" xfId="14315"/>
    <cellStyle name="Vérification 2 4 3 3 4 2 4" xfId="30536"/>
    <cellStyle name="Vérification 2 4 3 3 4 3" xfId="9868"/>
    <cellStyle name="Vérification 2 4 3 3 4 3 2" xfId="26092"/>
    <cellStyle name="Vérification 2 4 3 3 4 3 2 2" xfId="38099"/>
    <cellStyle name="Vérification 2 4 3 3 4 3 3" xfId="15875"/>
    <cellStyle name="Vérification 2 4 3 3 4 3 4" xfId="32096"/>
    <cellStyle name="Vérification 2 4 3 3 4 4" xfId="19553"/>
    <cellStyle name="Vérification 2 4 3 3 4 4 2" xfId="33667"/>
    <cellStyle name="Vérification 2 4 3 3 4 5" xfId="11863"/>
    <cellStyle name="Vérification 2 4 3 3 4 6" xfId="28084"/>
    <cellStyle name="Vérification 2 4 3 3 5" xfId="3543"/>
    <cellStyle name="Vérification 2 4 3 3 5 2" xfId="8503"/>
    <cellStyle name="Vérification 2 4 3 3 5 2 2" xfId="24727"/>
    <cellStyle name="Vérification 2 4 3 3 5 2 2 2" xfId="36734"/>
    <cellStyle name="Vérification 2 4 3 3 5 2 3" xfId="14510"/>
    <cellStyle name="Vérification 2 4 3 3 5 2 4" xfId="30731"/>
    <cellStyle name="Vérification 2 4 3 3 5 3" xfId="19771"/>
    <cellStyle name="Vérification 2 4 3 3 5 3 2" xfId="33885"/>
    <cellStyle name="Vérification 2 4 3 3 5 4" xfId="12058"/>
    <cellStyle name="Vérification 2 4 3 3 5 5" xfId="28279"/>
    <cellStyle name="Vérification 2 4 3 3 6" xfId="3757"/>
    <cellStyle name="Vérification 2 4 3 3 6 2" xfId="19985"/>
    <cellStyle name="Vérification 2 4 3 3 6 2 2" xfId="34099"/>
    <cellStyle name="Vérification 2 4 3 3 6 3" xfId="13482"/>
    <cellStyle name="Vérification 2 4 3 3 6 4" xfId="29703"/>
    <cellStyle name="Vérification 2 4 3 3 7" xfId="17353"/>
    <cellStyle name="Vérification 2 4 3 3 7 2" xfId="32763"/>
    <cellStyle name="Vérification 2 4 3 3 8" xfId="10535"/>
    <cellStyle name="Vérification 2 4 3 3 9" xfId="26760"/>
    <cellStyle name="Vérification 2 4 3 4" xfId="2665"/>
    <cellStyle name="Vérification 2 4 3 4 2" xfId="6353"/>
    <cellStyle name="Vérification 2 4 3 4 2 2" xfId="8734"/>
    <cellStyle name="Vérification 2 4 3 4 2 2 2" xfId="24958"/>
    <cellStyle name="Vérification 2 4 3 4 2 2 2 2" xfId="36965"/>
    <cellStyle name="Vérification 2 4 3 4 2 2 3" xfId="14741"/>
    <cellStyle name="Vérification 2 4 3 4 2 2 4" xfId="30962"/>
    <cellStyle name="Vérification 2 4 3 4 2 3" xfId="10112"/>
    <cellStyle name="Vérification 2 4 3 4 2 3 2" xfId="26336"/>
    <cellStyle name="Vérification 2 4 3 4 2 3 2 2" xfId="38343"/>
    <cellStyle name="Vérification 2 4 3 4 2 3 3" xfId="16119"/>
    <cellStyle name="Vérification 2 4 3 4 2 3 4" xfId="32340"/>
    <cellStyle name="Vérification 2 4 3 4 2 4" xfId="22577"/>
    <cellStyle name="Vérification 2 4 3 4 2 4 2" xfId="34584"/>
    <cellStyle name="Vérification 2 4 3 4 2 5" xfId="12438"/>
    <cellStyle name="Vérification 2 4 3 4 2 6" xfId="28659"/>
    <cellStyle name="Vérification 2 4 3 4 3" xfId="7401"/>
    <cellStyle name="Vérification 2 4 3 4 3 2" xfId="9445"/>
    <cellStyle name="Vérification 2 4 3 4 3 2 2" xfId="25669"/>
    <cellStyle name="Vérification 2 4 3 4 3 2 2 2" xfId="37676"/>
    <cellStyle name="Vérification 2 4 3 4 3 2 3" xfId="15452"/>
    <cellStyle name="Vérification 2 4 3 4 3 2 4" xfId="31673"/>
    <cellStyle name="Vérification 2 4 3 4 3 3" xfId="23625"/>
    <cellStyle name="Vérification 2 4 3 4 3 3 2" xfId="35632"/>
    <cellStyle name="Vérification 2 4 3 4 3 4" xfId="13149"/>
    <cellStyle name="Vérification 2 4 3 4 3 5" xfId="29370"/>
    <cellStyle name="Vérification 2 4 3 4 4" xfId="7778"/>
    <cellStyle name="Vérification 2 4 3 4 4 2" xfId="24002"/>
    <cellStyle name="Vérification 2 4 3 4 4 2 2" xfId="36009"/>
    <cellStyle name="Vérification 2 4 3 4 4 3" xfId="13785"/>
    <cellStyle name="Vérification 2 4 3 4 4 4" xfId="30006"/>
    <cellStyle name="Vérification 2 4 3 4 5" xfId="18893"/>
    <cellStyle name="Vérification 2 4 3 4 5 2" xfId="33007"/>
    <cellStyle name="Vérification 2 4 3 4 6" xfId="11134"/>
    <cellStyle name="Vérification 2 4 3 4 7" xfId="27355"/>
    <cellStyle name="Vérification 2 4 3 5" xfId="4236"/>
    <cellStyle name="Vérification 2 4 3 5 2" xfId="6816"/>
    <cellStyle name="Vérification 2 4 3 5 2 2" xfId="9112"/>
    <cellStyle name="Vérification 2 4 3 5 2 2 2" xfId="25336"/>
    <cellStyle name="Vérification 2 4 3 5 2 2 2 2" xfId="37343"/>
    <cellStyle name="Vérification 2 4 3 5 2 2 3" xfId="15119"/>
    <cellStyle name="Vérification 2 4 3 5 2 2 4" xfId="31340"/>
    <cellStyle name="Vérification 2 4 3 5 2 3" xfId="23040"/>
    <cellStyle name="Vérification 2 4 3 5 2 3 2" xfId="35047"/>
    <cellStyle name="Vérification 2 4 3 5 2 4" xfId="12816"/>
    <cellStyle name="Vérification 2 4 3 5 2 5" xfId="29037"/>
    <cellStyle name="Vérification 2 4 3 5 3" xfId="2958"/>
    <cellStyle name="Vérification 2 4 3 5 3 2" xfId="19186"/>
    <cellStyle name="Vérification 2 4 3 5 3 2 2" xfId="33300"/>
    <cellStyle name="Vérification 2 4 3 5 3 3" xfId="12330"/>
    <cellStyle name="Vérification 2 4 3 5 3 4" xfId="28551"/>
    <cellStyle name="Vérification 2 4 3 5 4" xfId="20462"/>
    <cellStyle name="Vérification 2 4 3 5 4 2" xfId="34251"/>
    <cellStyle name="Vérification 2 4 3 5 5" xfId="10791"/>
    <cellStyle name="Vérification 2 4 3 5 6" xfId="27014"/>
    <cellStyle name="Vérification 2 4 3 6" xfId="3104"/>
    <cellStyle name="Vérification 2 4 3 6 2" xfId="8156"/>
    <cellStyle name="Vérification 2 4 3 6 2 2" xfId="24380"/>
    <cellStyle name="Vérification 2 4 3 6 2 2 2" xfId="36387"/>
    <cellStyle name="Vérification 2 4 3 6 2 3" xfId="14163"/>
    <cellStyle name="Vérification 2 4 3 6 2 4" xfId="30384"/>
    <cellStyle name="Vérification 2 4 3 6 3" xfId="9779"/>
    <cellStyle name="Vérification 2 4 3 6 3 2" xfId="26003"/>
    <cellStyle name="Vérification 2 4 3 6 3 2 2" xfId="38010"/>
    <cellStyle name="Vérification 2 4 3 6 3 3" xfId="15786"/>
    <cellStyle name="Vérification 2 4 3 6 3 4" xfId="32007"/>
    <cellStyle name="Vérification 2 4 3 6 4" xfId="19332"/>
    <cellStyle name="Vérification 2 4 3 6 4 2" xfId="33446"/>
    <cellStyle name="Vérification 2 4 3 6 5" xfId="11711"/>
    <cellStyle name="Vérification 2 4 3 6 6" xfId="27932"/>
    <cellStyle name="Vérification 2 4 3 7" xfId="3053"/>
    <cellStyle name="Vérification 2 4 3 7 2" xfId="8123"/>
    <cellStyle name="Vérification 2 4 3 7 2 2" xfId="24347"/>
    <cellStyle name="Vérification 2 4 3 7 2 2 2" xfId="36354"/>
    <cellStyle name="Vérification 2 4 3 7 2 3" xfId="14130"/>
    <cellStyle name="Vérification 2 4 3 7 2 4" xfId="30351"/>
    <cellStyle name="Vérification 2 4 3 7 3" xfId="19281"/>
    <cellStyle name="Vérification 2 4 3 7 3 2" xfId="33395"/>
    <cellStyle name="Vérification 2 4 3 7 4" xfId="11678"/>
    <cellStyle name="Vérification 2 4 3 7 5" xfId="27899"/>
    <cellStyle name="Vérification 2 4 3 8" xfId="6661"/>
    <cellStyle name="Vérification 2 4 3 8 2" xfId="22885"/>
    <cellStyle name="Vérification 2 4 3 8 2 2" xfId="34892"/>
    <cellStyle name="Vérification 2 4 3 8 3" xfId="12286"/>
    <cellStyle name="Vérification 2 4 3 8 4" xfId="28507"/>
    <cellStyle name="Vérification 2 4 3 9" xfId="16778"/>
    <cellStyle name="Vérification 2 4 3 9 2" xfId="32674"/>
    <cellStyle name="Vérification 2 4 4" xfId="564"/>
    <cellStyle name="Vérification 2 4 4 10" xfId="10469"/>
    <cellStyle name="Vérification 2 4 4 11" xfId="26694"/>
    <cellStyle name="Vérification 2 4 4 2" xfId="1388"/>
    <cellStyle name="Vérification 2 4 4 2 2" xfId="2866"/>
    <cellStyle name="Vérification 2 4 4 2 2 2" xfId="6554"/>
    <cellStyle name="Vérification 2 4 4 2 2 2 2" xfId="8935"/>
    <cellStyle name="Vérification 2 4 4 2 2 2 2 2" xfId="25159"/>
    <cellStyle name="Vérification 2 4 4 2 2 2 2 2 2" xfId="37166"/>
    <cellStyle name="Vérification 2 4 4 2 2 2 2 3" xfId="14942"/>
    <cellStyle name="Vérification 2 4 4 2 2 2 2 4" xfId="31163"/>
    <cellStyle name="Vérification 2 4 4 2 2 2 3" xfId="10313"/>
    <cellStyle name="Vérification 2 4 4 2 2 2 3 2" xfId="26537"/>
    <cellStyle name="Vérification 2 4 4 2 2 2 3 2 2" xfId="38544"/>
    <cellStyle name="Vérification 2 4 4 2 2 2 3 3" xfId="16320"/>
    <cellStyle name="Vérification 2 4 4 2 2 2 3 4" xfId="32541"/>
    <cellStyle name="Vérification 2 4 4 2 2 2 4" xfId="22778"/>
    <cellStyle name="Vérification 2 4 4 2 2 2 4 2" xfId="34785"/>
    <cellStyle name="Vérification 2 4 4 2 2 2 5" xfId="12639"/>
    <cellStyle name="Vérification 2 4 4 2 2 2 6" xfId="28860"/>
    <cellStyle name="Vérification 2 4 4 2 2 3" xfId="7602"/>
    <cellStyle name="Vérification 2 4 4 2 2 3 2" xfId="9646"/>
    <cellStyle name="Vérification 2 4 4 2 2 3 2 2" xfId="25870"/>
    <cellStyle name="Vérification 2 4 4 2 2 3 2 2 2" xfId="37877"/>
    <cellStyle name="Vérification 2 4 4 2 2 3 2 3" xfId="15653"/>
    <cellStyle name="Vérification 2 4 4 2 2 3 2 4" xfId="31874"/>
    <cellStyle name="Vérification 2 4 4 2 2 3 3" xfId="23826"/>
    <cellStyle name="Vérification 2 4 4 2 2 3 3 2" xfId="35833"/>
    <cellStyle name="Vérification 2 4 4 2 2 3 4" xfId="13350"/>
    <cellStyle name="Vérification 2 4 4 2 2 3 5" xfId="29571"/>
    <cellStyle name="Vérification 2 4 4 2 2 4" xfId="7979"/>
    <cellStyle name="Vérification 2 4 4 2 2 4 2" xfId="24203"/>
    <cellStyle name="Vérification 2 4 4 2 2 4 2 2" xfId="36210"/>
    <cellStyle name="Vérification 2 4 4 2 2 4 3" xfId="13986"/>
    <cellStyle name="Vérification 2 4 4 2 2 4 4" xfId="30207"/>
    <cellStyle name="Vérification 2 4 4 2 2 5" xfId="19094"/>
    <cellStyle name="Vérification 2 4 4 2 2 5 2" xfId="33208"/>
    <cellStyle name="Vérification 2 4 4 2 2 6" xfId="11335"/>
    <cellStyle name="Vérification 2 4 4 2 2 7" xfId="27556"/>
    <cellStyle name="Vérification 2 4 4 2 3" xfId="5085"/>
    <cellStyle name="Vérification 2 4 4 2 3 2" xfId="7112"/>
    <cellStyle name="Vérification 2 4 4 2 3 2 2" xfId="9313"/>
    <cellStyle name="Vérification 2 4 4 2 3 2 2 2" xfId="25537"/>
    <cellStyle name="Vérification 2 4 4 2 3 2 2 2 2" xfId="37544"/>
    <cellStyle name="Vérification 2 4 4 2 3 2 2 3" xfId="15320"/>
    <cellStyle name="Vérification 2 4 4 2 3 2 2 4" xfId="31541"/>
    <cellStyle name="Vérification 2 4 4 2 3 2 3" xfId="23336"/>
    <cellStyle name="Vérification 2 4 4 2 3 2 3 2" xfId="35343"/>
    <cellStyle name="Vérification 2 4 4 2 3 2 4" xfId="13017"/>
    <cellStyle name="Vérification 2 4 4 2 3 2 5" xfId="29238"/>
    <cellStyle name="Vérification 2 4 4 2 3 3" xfId="7212"/>
    <cellStyle name="Vérification 2 4 4 2 3 3 2" xfId="23436"/>
    <cellStyle name="Vérification 2 4 4 2 3 3 2 2" xfId="35443"/>
    <cellStyle name="Vérification 2 4 4 2 3 3 3" xfId="13596"/>
    <cellStyle name="Vérification 2 4 4 2 3 3 4" xfId="29817"/>
    <cellStyle name="Vérification 2 4 4 2 3 4" xfId="21311"/>
    <cellStyle name="Vérification 2 4 4 2 3 4 2" xfId="34452"/>
    <cellStyle name="Vérification 2 4 4 2 3 5" xfId="10999"/>
    <cellStyle name="Vérification 2 4 4 2 3 6" xfId="27222"/>
    <cellStyle name="Vérification 2 4 4 2 4" xfId="3476"/>
    <cellStyle name="Vérification 2 4 4 2 4 2" xfId="8443"/>
    <cellStyle name="Vérification 2 4 4 2 4 2 2" xfId="24667"/>
    <cellStyle name="Vérification 2 4 4 2 4 2 2 2" xfId="36674"/>
    <cellStyle name="Vérification 2 4 4 2 4 2 3" xfId="14450"/>
    <cellStyle name="Vérification 2 4 4 2 4 2 4" xfId="30671"/>
    <cellStyle name="Vérification 2 4 4 2 4 3" xfId="9980"/>
    <cellStyle name="Vérification 2 4 4 2 4 3 2" xfId="26204"/>
    <cellStyle name="Vérification 2 4 4 2 4 3 2 2" xfId="38211"/>
    <cellStyle name="Vérification 2 4 4 2 4 3 3" xfId="15987"/>
    <cellStyle name="Vérification 2 4 4 2 4 3 4" xfId="32208"/>
    <cellStyle name="Vérification 2 4 4 2 4 4" xfId="19704"/>
    <cellStyle name="Vérification 2 4 4 2 4 4 2" xfId="33818"/>
    <cellStyle name="Vérification 2 4 4 2 4 5" xfId="11998"/>
    <cellStyle name="Vérification 2 4 4 2 4 6" xfId="28219"/>
    <cellStyle name="Vérification 2 4 4 2 5" xfId="3395"/>
    <cellStyle name="Vérification 2 4 4 2 5 2" xfId="8365"/>
    <cellStyle name="Vérification 2 4 4 2 5 2 2" xfId="24589"/>
    <cellStyle name="Vérification 2 4 4 2 5 2 2 2" xfId="36596"/>
    <cellStyle name="Vérification 2 4 4 2 5 2 3" xfId="14372"/>
    <cellStyle name="Vérification 2 4 4 2 5 2 4" xfId="30593"/>
    <cellStyle name="Vérification 2 4 4 2 5 3" xfId="19623"/>
    <cellStyle name="Vérification 2 4 4 2 5 3 2" xfId="33737"/>
    <cellStyle name="Vérification 2 4 4 2 5 4" xfId="11920"/>
    <cellStyle name="Vérification 2 4 4 2 5 5" xfId="28141"/>
    <cellStyle name="Vérification 2 4 4 2 6" xfId="3836"/>
    <cellStyle name="Vérification 2 4 4 2 6 2" xfId="20064"/>
    <cellStyle name="Vérification 2 4 4 2 6 2 2" xfId="34178"/>
    <cellStyle name="Vérification 2 4 4 2 6 3" xfId="11460"/>
    <cellStyle name="Vérification 2 4 4 2 6 4" xfId="27681"/>
    <cellStyle name="Vérification 2 4 4 2 7" xfId="17627"/>
    <cellStyle name="Vérification 2 4 4 2 7 2" xfId="32875"/>
    <cellStyle name="Vérification 2 4 4 2 8" xfId="10647"/>
    <cellStyle name="Vérification 2 4 4 2 9" xfId="26872"/>
    <cellStyle name="Vérification 2 4 4 3" xfId="1161"/>
    <cellStyle name="Vérification 2 4 4 3 2" xfId="2777"/>
    <cellStyle name="Vérification 2 4 4 3 2 2" xfId="6465"/>
    <cellStyle name="Vérification 2 4 4 3 2 2 2" xfId="8846"/>
    <cellStyle name="Vérification 2 4 4 3 2 2 2 2" xfId="25070"/>
    <cellStyle name="Vérification 2 4 4 3 2 2 2 2 2" xfId="37077"/>
    <cellStyle name="Vérification 2 4 4 3 2 2 2 3" xfId="14853"/>
    <cellStyle name="Vérification 2 4 4 3 2 2 2 4" xfId="31074"/>
    <cellStyle name="Vérification 2 4 4 3 2 2 3" xfId="10224"/>
    <cellStyle name="Vérification 2 4 4 3 2 2 3 2" xfId="26448"/>
    <cellStyle name="Vérification 2 4 4 3 2 2 3 2 2" xfId="38455"/>
    <cellStyle name="Vérification 2 4 4 3 2 2 3 3" xfId="16231"/>
    <cellStyle name="Vérification 2 4 4 3 2 2 3 4" xfId="32452"/>
    <cellStyle name="Vérification 2 4 4 3 2 2 4" xfId="22689"/>
    <cellStyle name="Vérification 2 4 4 3 2 2 4 2" xfId="34696"/>
    <cellStyle name="Vérification 2 4 4 3 2 2 5" xfId="12550"/>
    <cellStyle name="Vérification 2 4 4 3 2 2 6" xfId="28771"/>
    <cellStyle name="Vérification 2 4 4 3 2 3" xfId="7513"/>
    <cellStyle name="Vérification 2 4 4 3 2 3 2" xfId="9557"/>
    <cellStyle name="Vérification 2 4 4 3 2 3 2 2" xfId="25781"/>
    <cellStyle name="Vérification 2 4 4 3 2 3 2 2 2" xfId="37788"/>
    <cellStyle name="Vérification 2 4 4 3 2 3 2 3" xfId="15564"/>
    <cellStyle name="Vérification 2 4 4 3 2 3 2 4" xfId="31785"/>
    <cellStyle name="Vérification 2 4 4 3 2 3 3" xfId="23737"/>
    <cellStyle name="Vérification 2 4 4 3 2 3 3 2" xfId="35744"/>
    <cellStyle name="Vérification 2 4 4 3 2 3 4" xfId="13261"/>
    <cellStyle name="Vérification 2 4 4 3 2 3 5" xfId="29482"/>
    <cellStyle name="Vérification 2 4 4 3 2 4" xfId="7890"/>
    <cellStyle name="Vérification 2 4 4 3 2 4 2" xfId="24114"/>
    <cellStyle name="Vérification 2 4 4 3 2 4 2 2" xfId="36121"/>
    <cellStyle name="Vérification 2 4 4 3 2 4 3" xfId="13897"/>
    <cellStyle name="Vérification 2 4 4 3 2 4 4" xfId="30118"/>
    <cellStyle name="Vérification 2 4 4 3 2 5" xfId="19005"/>
    <cellStyle name="Vérification 2 4 4 3 2 5 2" xfId="33119"/>
    <cellStyle name="Vérification 2 4 4 3 2 6" xfId="11246"/>
    <cellStyle name="Vérification 2 4 4 3 2 7" xfId="27467"/>
    <cellStyle name="Vérification 2 4 4 3 3" xfId="4858"/>
    <cellStyle name="Vérification 2 4 4 3 3 2" xfId="7007"/>
    <cellStyle name="Vérification 2 4 4 3 3 2 2" xfId="9224"/>
    <cellStyle name="Vérification 2 4 4 3 3 2 2 2" xfId="25448"/>
    <cellStyle name="Vérification 2 4 4 3 3 2 2 2 2" xfId="37455"/>
    <cellStyle name="Vérification 2 4 4 3 3 2 2 3" xfId="15231"/>
    <cellStyle name="Vérification 2 4 4 3 3 2 2 4" xfId="31452"/>
    <cellStyle name="Vérification 2 4 4 3 3 2 3" xfId="23231"/>
    <cellStyle name="Vérification 2 4 4 3 3 2 3 2" xfId="35238"/>
    <cellStyle name="Vérification 2 4 4 3 3 2 4" xfId="12928"/>
    <cellStyle name="Vérification 2 4 4 3 3 2 5" xfId="29149"/>
    <cellStyle name="Vérification 2 4 4 3 3 3" xfId="3382"/>
    <cellStyle name="Vérification 2 4 4 3 3 3 2" xfId="19610"/>
    <cellStyle name="Vérification 2 4 4 3 3 3 2 2" xfId="33724"/>
    <cellStyle name="Vérification 2 4 4 3 3 3 3" xfId="12323"/>
    <cellStyle name="Vérification 2 4 4 3 3 3 4" xfId="28544"/>
    <cellStyle name="Vérification 2 4 4 3 3 4" xfId="21084"/>
    <cellStyle name="Vérification 2 4 4 3 3 4 2" xfId="34363"/>
    <cellStyle name="Vérification 2 4 4 3 3 5" xfId="10910"/>
    <cellStyle name="Vérification 2 4 4 3 3 6" xfId="27133"/>
    <cellStyle name="Vérification 2 4 4 3 4" xfId="3354"/>
    <cellStyle name="Vérification 2 4 4 3 4 2" xfId="8334"/>
    <cellStyle name="Vérification 2 4 4 3 4 2 2" xfId="24558"/>
    <cellStyle name="Vérification 2 4 4 3 4 2 2 2" xfId="36565"/>
    <cellStyle name="Vérification 2 4 4 3 4 2 3" xfId="14341"/>
    <cellStyle name="Vérification 2 4 4 3 4 2 4" xfId="30562"/>
    <cellStyle name="Vérification 2 4 4 3 4 3" xfId="9891"/>
    <cellStyle name="Vérification 2 4 4 3 4 3 2" xfId="26115"/>
    <cellStyle name="Vérification 2 4 4 3 4 3 2 2" xfId="38122"/>
    <cellStyle name="Vérification 2 4 4 3 4 3 3" xfId="15898"/>
    <cellStyle name="Vérification 2 4 4 3 4 3 4" xfId="32119"/>
    <cellStyle name="Vérification 2 4 4 3 4 4" xfId="19582"/>
    <cellStyle name="Vérification 2 4 4 3 4 4 2" xfId="33696"/>
    <cellStyle name="Vérification 2 4 4 3 4 5" xfId="11889"/>
    <cellStyle name="Vérification 2 4 4 3 4 6" xfId="28110"/>
    <cellStyle name="Vérification 2 4 4 3 5" xfId="3569"/>
    <cellStyle name="Vérification 2 4 4 3 5 2" xfId="8514"/>
    <cellStyle name="Vérification 2 4 4 3 5 2 2" xfId="24738"/>
    <cellStyle name="Vérification 2 4 4 3 5 2 2 2" xfId="36745"/>
    <cellStyle name="Vérification 2 4 4 3 5 2 3" xfId="14521"/>
    <cellStyle name="Vérification 2 4 4 3 5 2 4" xfId="30742"/>
    <cellStyle name="Vérification 2 4 4 3 5 3" xfId="19797"/>
    <cellStyle name="Vérification 2 4 4 3 5 3 2" xfId="33911"/>
    <cellStyle name="Vérification 2 4 4 3 5 4" xfId="12069"/>
    <cellStyle name="Vérification 2 4 4 3 5 5" xfId="28290"/>
    <cellStyle name="Vérification 2 4 4 3 6" xfId="3089"/>
    <cellStyle name="Vérification 2 4 4 3 6 2" xfId="19317"/>
    <cellStyle name="Vérification 2 4 4 3 6 2 2" xfId="33431"/>
    <cellStyle name="Vérification 2 4 4 3 6 3" xfId="11544"/>
    <cellStyle name="Vérification 2 4 4 3 6 4" xfId="27765"/>
    <cellStyle name="Vérification 2 4 4 3 7" xfId="17400"/>
    <cellStyle name="Vérification 2 4 4 3 7 2" xfId="32786"/>
    <cellStyle name="Vérification 2 4 4 3 8" xfId="10558"/>
    <cellStyle name="Vérification 2 4 4 3 9" xfId="26783"/>
    <cellStyle name="Vérification 2 4 4 4" xfId="2688"/>
    <cellStyle name="Vérification 2 4 4 4 2" xfId="6376"/>
    <cellStyle name="Vérification 2 4 4 4 2 2" xfId="8757"/>
    <cellStyle name="Vérification 2 4 4 4 2 2 2" xfId="24981"/>
    <cellStyle name="Vérification 2 4 4 4 2 2 2 2" xfId="36988"/>
    <cellStyle name="Vérification 2 4 4 4 2 2 3" xfId="14764"/>
    <cellStyle name="Vérification 2 4 4 4 2 2 4" xfId="30985"/>
    <cellStyle name="Vérification 2 4 4 4 2 3" xfId="10135"/>
    <cellStyle name="Vérification 2 4 4 4 2 3 2" xfId="26359"/>
    <cellStyle name="Vérification 2 4 4 4 2 3 2 2" xfId="38366"/>
    <cellStyle name="Vérification 2 4 4 4 2 3 3" xfId="16142"/>
    <cellStyle name="Vérification 2 4 4 4 2 3 4" xfId="32363"/>
    <cellStyle name="Vérification 2 4 4 4 2 4" xfId="22600"/>
    <cellStyle name="Vérification 2 4 4 4 2 4 2" xfId="34607"/>
    <cellStyle name="Vérification 2 4 4 4 2 5" xfId="12461"/>
    <cellStyle name="Vérification 2 4 4 4 2 6" xfId="28682"/>
    <cellStyle name="Vérification 2 4 4 4 3" xfId="7424"/>
    <cellStyle name="Vérification 2 4 4 4 3 2" xfId="9468"/>
    <cellStyle name="Vérification 2 4 4 4 3 2 2" xfId="25692"/>
    <cellStyle name="Vérification 2 4 4 4 3 2 2 2" xfId="37699"/>
    <cellStyle name="Vérification 2 4 4 4 3 2 3" xfId="15475"/>
    <cellStyle name="Vérification 2 4 4 4 3 2 4" xfId="31696"/>
    <cellStyle name="Vérification 2 4 4 4 3 3" xfId="23648"/>
    <cellStyle name="Vérification 2 4 4 4 3 3 2" xfId="35655"/>
    <cellStyle name="Vérification 2 4 4 4 3 4" xfId="13172"/>
    <cellStyle name="Vérification 2 4 4 4 3 5" xfId="29393"/>
    <cellStyle name="Vérification 2 4 4 4 4" xfId="7801"/>
    <cellStyle name="Vérification 2 4 4 4 4 2" xfId="24025"/>
    <cellStyle name="Vérification 2 4 4 4 4 2 2" xfId="36032"/>
    <cellStyle name="Vérification 2 4 4 4 4 3" xfId="13808"/>
    <cellStyle name="Vérification 2 4 4 4 4 4" xfId="30029"/>
    <cellStyle name="Vérification 2 4 4 4 5" xfId="18916"/>
    <cellStyle name="Vérification 2 4 4 4 5 2" xfId="33030"/>
    <cellStyle name="Vérification 2 4 4 4 6" xfId="11157"/>
    <cellStyle name="Vérification 2 4 4 4 7" xfId="27378"/>
    <cellStyle name="Vérification 2 4 4 5" xfId="4283"/>
    <cellStyle name="Vérification 2 4 4 5 2" xfId="6845"/>
    <cellStyle name="Vérification 2 4 4 5 2 2" xfId="9135"/>
    <cellStyle name="Vérification 2 4 4 5 2 2 2" xfId="25359"/>
    <cellStyle name="Vérification 2 4 4 5 2 2 2 2" xfId="37366"/>
    <cellStyle name="Vérification 2 4 4 5 2 2 3" xfId="15142"/>
    <cellStyle name="Vérification 2 4 4 5 2 2 4" xfId="31363"/>
    <cellStyle name="Vérification 2 4 4 5 2 3" xfId="23069"/>
    <cellStyle name="Vérification 2 4 4 5 2 3 2" xfId="35076"/>
    <cellStyle name="Vérification 2 4 4 5 2 4" xfId="12839"/>
    <cellStyle name="Vérification 2 4 4 5 2 5" xfId="29060"/>
    <cellStyle name="Vérification 2 4 4 5 3" xfId="3016"/>
    <cellStyle name="Vérification 2 4 4 5 3 2" xfId="19244"/>
    <cellStyle name="Vérification 2 4 4 5 3 2 2" xfId="33358"/>
    <cellStyle name="Vérification 2 4 4 5 3 3" xfId="11581"/>
    <cellStyle name="Vérification 2 4 4 5 3 4" xfId="27802"/>
    <cellStyle name="Vérification 2 4 4 5 4" xfId="20509"/>
    <cellStyle name="Vérification 2 4 4 5 4 2" xfId="34274"/>
    <cellStyle name="Vérification 2 4 4 5 5" xfId="10816"/>
    <cellStyle name="Vérification 2 4 4 5 6" xfId="27039"/>
    <cellStyle name="Vérification 2 4 4 6" xfId="3139"/>
    <cellStyle name="Vérification 2 4 4 6 2" xfId="8183"/>
    <cellStyle name="Vérification 2 4 4 6 2 2" xfId="24407"/>
    <cellStyle name="Vérification 2 4 4 6 2 2 2" xfId="36414"/>
    <cellStyle name="Vérification 2 4 4 6 2 3" xfId="14190"/>
    <cellStyle name="Vérification 2 4 4 6 2 4" xfId="30411"/>
    <cellStyle name="Vérification 2 4 4 6 3" xfId="9802"/>
    <cellStyle name="Vérification 2 4 4 6 3 2" xfId="26026"/>
    <cellStyle name="Vérification 2 4 4 6 3 2 2" xfId="38033"/>
    <cellStyle name="Vérification 2 4 4 6 3 3" xfId="15809"/>
    <cellStyle name="Vérification 2 4 4 6 3 4" xfId="32030"/>
    <cellStyle name="Vérification 2 4 4 6 4" xfId="19367"/>
    <cellStyle name="Vérification 2 4 4 6 4 2" xfId="33481"/>
    <cellStyle name="Vérification 2 4 4 6 5" xfId="11738"/>
    <cellStyle name="Vérification 2 4 4 6 6" xfId="27959"/>
    <cellStyle name="Vérification 2 4 4 7" xfId="2997"/>
    <cellStyle name="Vérification 2 4 4 7 2" xfId="8087"/>
    <cellStyle name="Vérification 2 4 4 7 2 2" xfId="24311"/>
    <cellStyle name="Vérification 2 4 4 7 2 2 2" xfId="36318"/>
    <cellStyle name="Vérification 2 4 4 7 2 3" xfId="14094"/>
    <cellStyle name="Vérification 2 4 4 7 2 4" xfId="30315"/>
    <cellStyle name="Vérification 2 4 4 7 3" xfId="19225"/>
    <cellStyle name="Vérification 2 4 4 7 3 2" xfId="33339"/>
    <cellStyle name="Vérification 2 4 4 7 4" xfId="11642"/>
    <cellStyle name="Vérification 2 4 4 7 5" xfId="27863"/>
    <cellStyle name="Vérification 2 4 4 8" xfId="3553"/>
    <cellStyle name="Vérification 2 4 4 8 2" xfId="19781"/>
    <cellStyle name="Vérification 2 4 4 8 2 2" xfId="33895"/>
    <cellStyle name="Vérification 2 4 4 8 3" xfId="11491"/>
    <cellStyle name="Vérification 2 4 4 8 4" xfId="27712"/>
    <cellStyle name="Vérification 2 4 4 9" xfId="16825"/>
    <cellStyle name="Vérification 2 4 4 9 2" xfId="32697"/>
    <cellStyle name="Vérification 2 4 5" xfId="742"/>
    <cellStyle name="Vérification 2 4 5 10" xfId="26716"/>
    <cellStyle name="Vérification 2 4 5 2" xfId="1410"/>
    <cellStyle name="Vérification 2 4 5 2 2" xfId="2888"/>
    <cellStyle name="Vérification 2 4 5 2 2 2" xfId="6576"/>
    <cellStyle name="Vérification 2 4 5 2 2 2 2" xfId="8957"/>
    <cellStyle name="Vérification 2 4 5 2 2 2 2 2" xfId="25181"/>
    <cellStyle name="Vérification 2 4 5 2 2 2 2 2 2" xfId="37188"/>
    <cellStyle name="Vérification 2 4 5 2 2 2 2 3" xfId="14964"/>
    <cellStyle name="Vérification 2 4 5 2 2 2 2 4" xfId="31185"/>
    <cellStyle name="Vérification 2 4 5 2 2 2 3" xfId="10335"/>
    <cellStyle name="Vérification 2 4 5 2 2 2 3 2" xfId="26559"/>
    <cellStyle name="Vérification 2 4 5 2 2 2 3 2 2" xfId="38566"/>
    <cellStyle name="Vérification 2 4 5 2 2 2 3 3" xfId="16342"/>
    <cellStyle name="Vérification 2 4 5 2 2 2 3 4" xfId="32563"/>
    <cellStyle name="Vérification 2 4 5 2 2 2 4" xfId="22800"/>
    <cellStyle name="Vérification 2 4 5 2 2 2 4 2" xfId="34807"/>
    <cellStyle name="Vérification 2 4 5 2 2 2 5" xfId="12661"/>
    <cellStyle name="Vérification 2 4 5 2 2 2 6" xfId="28882"/>
    <cellStyle name="Vérification 2 4 5 2 2 3" xfId="7624"/>
    <cellStyle name="Vérification 2 4 5 2 2 3 2" xfId="9668"/>
    <cellStyle name="Vérification 2 4 5 2 2 3 2 2" xfId="25892"/>
    <cellStyle name="Vérification 2 4 5 2 2 3 2 2 2" xfId="37899"/>
    <cellStyle name="Vérification 2 4 5 2 2 3 2 3" xfId="15675"/>
    <cellStyle name="Vérification 2 4 5 2 2 3 2 4" xfId="31896"/>
    <cellStyle name="Vérification 2 4 5 2 2 3 3" xfId="23848"/>
    <cellStyle name="Vérification 2 4 5 2 2 3 3 2" xfId="35855"/>
    <cellStyle name="Vérification 2 4 5 2 2 3 4" xfId="13372"/>
    <cellStyle name="Vérification 2 4 5 2 2 3 5" xfId="29593"/>
    <cellStyle name="Vérification 2 4 5 2 2 4" xfId="8001"/>
    <cellStyle name="Vérification 2 4 5 2 2 4 2" xfId="24225"/>
    <cellStyle name="Vérification 2 4 5 2 2 4 2 2" xfId="36232"/>
    <cellStyle name="Vérification 2 4 5 2 2 4 3" xfId="14008"/>
    <cellStyle name="Vérification 2 4 5 2 2 4 4" xfId="30229"/>
    <cellStyle name="Vérification 2 4 5 2 2 5" xfId="19116"/>
    <cellStyle name="Vérification 2 4 5 2 2 5 2" xfId="33230"/>
    <cellStyle name="Vérification 2 4 5 2 2 6" xfId="11357"/>
    <cellStyle name="Vérification 2 4 5 2 2 7" xfId="27578"/>
    <cellStyle name="Vérification 2 4 5 2 3" xfId="5107"/>
    <cellStyle name="Vérification 2 4 5 2 3 2" xfId="7134"/>
    <cellStyle name="Vérification 2 4 5 2 3 2 2" xfId="9335"/>
    <cellStyle name="Vérification 2 4 5 2 3 2 2 2" xfId="25559"/>
    <cellStyle name="Vérification 2 4 5 2 3 2 2 2 2" xfId="37566"/>
    <cellStyle name="Vérification 2 4 5 2 3 2 2 3" xfId="15342"/>
    <cellStyle name="Vérification 2 4 5 2 3 2 2 4" xfId="31563"/>
    <cellStyle name="Vérification 2 4 5 2 3 2 3" xfId="23358"/>
    <cellStyle name="Vérification 2 4 5 2 3 2 3 2" xfId="35365"/>
    <cellStyle name="Vérification 2 4 5 2 3 2 4" xfId="13039"/>
    <cellStyle name="Vérification 2 4 5 2 3 2 5" xfId="29260"/>
    <cellStyle name="Vérification 2 4 5 2 3 3" xfId="6842"/>
    <cellStyle name="Vérification 2 4 5 2 3 3 2" xfId="23066"/>
    <cellStyle name="Vérification 2 4 5 2 3 3 2 2" xfId="35073"/>
    <cellStyle name="Vérification 2 4 5 2 3 3 3" xfId="11518"/>
    <cellStyle name="Vérification 2 4 5 2 3 3 4" xfId="27739"/>
    <cellStyle name="Vérification 2 4 5 2 3 4" xfId="21333"/>
    <cellStyle name="Vérification 2 4 5 2 3 4 2" xfId="34474"/>
    <cellStyle name="Vérification 2 4 5 2 3 5" xfId="11021"/>
    <cellStyle name="Vérification 2 4 5 2 3 6" xfId="27244"/>
    <cellStyle name="Vérification 2 4 5 2 4" xfId="3498"/>
    <cellStyle name="Vérification 2 4 5 2 4 2" xfId="8465"/>
    <cellStyle name="Vérification 2 4 5 2 4 2 2" xfId="24689"/>
    <cellStyle name="Vérification 2 4 5 2 4 2 2 2" xfId="36696"/>
    <cellStyle name="Vérification 2 4 5 2 4 2 3" xfId="14472"/>
    <cellStyle name="Vérification 2 4 5 2 4 2 4" xfId="30693"/>
    <cellStyle name="Vérification 2 4 5 2 4 3" xfId="10002"/>
    <cellStyle name="Vérification 2 4 5 2 4 3 2" xfId="26226"/>
    <cellStyle name="Vérification 2 4 5 2 4 3 2 2" xfId="38233"/>
    <cellStyle name="Vérification 2 4 5 2 4 3 3" xfId="16009"/>
    <cellStyle name="Vérification 2 4 5 2 4 3 4" xfId="32230"/>
    <cellStyle name="Vérification 2 4 5 2 4 4" xfId="19726"/>
    <cellStyle name="Vérification 2 4 5 2 4 4 2" xfId="33840"/>
    <cellStyle name="Vérification 2 4 5 2 4 5" xfId="12020"/>
    <cellStyle name="Vérification 2 4 5 2 4 6" xfId="28241"/>
    <cellStyle name="Vérification 2 4 5 2 5" xfId="3657"/>
    <cellStyle name="Vérification 2 4 5 2 5 2" xfId="8561"/>
    <cellStyle name="Vérification 2 4 5 2 5 2 2" xfId="24785"/>
    <cellStyle name="Vérification 2 4 5 2 5 2 2 2" xfId="36792"/>
    <cellStyle name="Vérification 2 4 5 2 5 2 3" xfId="14568"/>
    <cellStyle name="Vérification 2 4 5 2 5 2 4" xfId="30789"/>
    <cellStyle name="Vérification 2 4 5 2 5 3" xfId="19885"/>
    <cellStyle name="Vérification 2 4 5 2 5 3 2" xfId="33999"/>
    <cellStyle name="Vérification 2 4 5 2 5 4" xfId="12116"/>
    <cellStyle name="Vérification 2 4 5 2 5 5" xfId="28337"/>
    <cellStyle name="Vérification 2 4 5 2 6" xfId="6725"/>
    <cellStyle name="Vérification 2 4 5 2 6 2" xfId="22949"/>
    <cellStyle name="Vérification 2 4 5 2 6 2 2" xfId="34956"/>
    <cellStyle name="Vérification 2 4 5 2 6 3" xfId="13467"/>
    <cellStyle name="Vérification 2 4 5 2 6 4" xfId="29688"/>
    <cellStyle name="Vérification 2 4 5 2 7" xfId="17649"/>
    <cellStyle name="Vérification 2 4 5 2 7 2" xfId="32897"/>
    <cellStyle name="Vérification 2 4 5 2 8" xfId="10669"/>
    <cellStyle name="Vérification 2 4 5 2 9" xfId="26894"/>
    <cellStyle name="Vérification 2 4 5 3" xfId="2710"/>
    <cellStyle name="Vérification 2 4 5 3 2" xfId="6398"/>
    <cellStyle name="Vérification 2 4 5 3 2 2" xfId="8779"/>
    <cellStyle name="Vérification 2 4 5 3 2 2 2" xfId="25003"/>
    <cellStyle name="Vérification 2 4 5 3 2 2 2 2" xfId="37010"/>
    <cellStyle name="Vérification 2 4 5 3 2 2 3" xfId="14786"/>
    <cellStyle name="Vérification 2 4 5 3 2 2 4" xfId="31007"/>
    <cellStyle name="Vérification 2 4 5 3 2 3" xfId="10157"/>
    <cellStyle name="Vérification 2 4 5 3 2 3 2" xfId="26381"/>
    <cellStyle name="Vérification 2 4 5 3 2 3 2 2" xfId="38388"/>
    <cellStyle name="Vérification 2 4 5 3 2 3 3" xfId="16164"/>
    <cellStyle name="Vérification 2 4 5 3 2 3 4" xfId="32385"/>
    <cellStyle name="Vérification 2 4 5 3 2 4" xfId="22622"/>
    <cellStyle name="Vérification 2 4 5 3 2 4 2" xfId="34629"/>
    <cellStyle name="Vérification 2 4 5 3 2 5" xfId="12483"/>
    <cellStyle name="Vérification 2 4 5 3 2 6" xfId="28704"/>
    <cellStyle name="Vérification 2 4 5 3 3" xfId="7446"/>
    <cellStyle name="Vérification 2 4 5 3 3 2" xfId="9490"/>
    <cellStyle name="Vérification 2 4 5 3 3 2 2" xfId="25714"/>
    <cellStyle name="Vérification 2 4 5 3 3 2 2 2" xfId="37721"/>
    <cellStyle name="Vérification 2 4 5 3 3 2 3" xfId="15497"/>
    <cellStyle name="Vérification 2 4 5 3 3 2 4" xfId="31718"/>
    <cellStyle name="Vérification 2 4 5 3 3 3" xfId="23670"/>
    <cellStyle name="Vérification 2 4 5 3 3 3 2" xfId="35677"/>
    <cellStyle name="Vérification 2 4 5 3 3 4" xfId="13194"/>
    <cellStyle name="Vérification 2 4 5 3 3 5" xfId="29415"/>
    <cellStyle name="Vérification 2 4 5 3 4" xfId="7823"/>
    <cellStyle name="Vérification 2 4 5 3 4 2" xfId="24047"/>
    <cellStyle name="Vérification 2 4 5 3 4 2 2" xfId="36054"/>
    <cellStyle name="Vérification 2 4 5 3 4 3" xfId="13830"/>
    <cellStyle name="Vérification 2 4 5 3 4 4" xfId="30051"/>
    <cellStyle name="Vérification 2 4 5 3 5" xfId="18938"/>
    <cellStyle name="Vérification 2 4 5 3 5 2" xfId="33052"/>
    <cellStyle name="Vérification 2 4 5 3 6" xfId="11179"/>
    <cellStyle name="Vérification 2 4 5 3 7" xfId="27400"/>
    <cellStyle name="Vérification 2 4 5 4" xfId="4443"/>
    <cellStyle name="Vérification 2 4 5 4 2" xfId="6888"/>
    <cellStyle name="Vérification 2 4 5 4 2 2" xfId="9157"/>
    <cellStyle name="Vérification 2 4 5 4 2 2 2" xfId="25381"/>
    <cellStyle name="Vérification 2 4 5 4 2 2 2 2" xfId="37388"/>
    <cellStyle name="Vérification 2 4 5 4 2 2 3" xfId="15164"/>
    <cellStyle name="Vérification 2 4 5 4 2 2 4" xfId="31385"/>
    <cellStyle name="Vérification 2 4 5 4 2 3" xfId="23112"/>
    <cellStyle name="Vérification 2 4 5 4 2 3 2" xfId="35119"/>
    <cellStyle name="Vérification 2 4 5 4 2 4" xfId="12861"/>
    <cellStyle name="Vérification 2 4 5 4 2 5" xfId="29082"/>
    <cellStyle name="Vérification 2 4 5 4 3" xfId="3221"/>
    <cellStyle name="Vérification 2 4 5 4 3 2" xfId="19449"/>
    <cellStyle name="Vérification 2 4 5 4 3 2 2" xfId="33563"/>
    <cellStyle name="Vérification 2 4 5 4 3 3" xfId="13474"/>
    <cellStyle name="Vérification 2 4 5 4 3 4" xfId="29695"/>
    <cellStyle name="Vérification 2 4 5 4 4" xfId="20669"/>
    <cellStyle name="Vérification 2 4 5 4 4 2" xfId="34296"/>
    <cellStyle name="Vérification 2 4 5 4 5" xfId="10842"/>
    <cellStyle name="Vérification 2 4 5 4 6" xfId="27065"/>
    <cellStyle name="Vérification 2 4 5 5" xfId="3199"/>
    <cellStyle name="Vérification 2 4 5 5 2" xfId="8220"/>
    <cellStyle name="Vérification 2 4 5 5 2 2" xfId="24444"/>
    <cellStyle name="Vérification 2 4 5 5 2 2 2" xfId="36451"/>
    <cellStyle name="Vérification 2 4 5 5 2 3" xfId="14227"/>
    <cellStyle name="Vérification 2 4 5 5 2 4" xfId="30448"/>
    <cellStyle name="Vérification 2 4 5 5 3" xfId="9824"/>
    <cellStyle name="Vérification 2 4 5 5 3 2" xfId="26048"/>
    <cellStyle name="Vérification 2 4 5 5 3 2 2" xfId="38055"/>
    <cellStyle name="Vérification 2 4 5 5 3 3" xfId="15831"/>
    <cellStyle name="Vérification 2 4 5 5 3 4" xfId="32052"/>
    <cellStyle name="Vérification 2 4 5 5 4" xfId="19427"/>
    <cellStyle name="Vérification 2 4 5 5 4 2" xfId="33541"/>
    <cellStyle name="Vérification 2 4 5 5 5" xfId="11775"/>
    <cellStyle name="Vérification 2 4 5 5 6" xfId="27996"/>
    <cellStyle name="Vérification 2 4 5 6" xfId="3271"/>
    <cellStyle name="Vérification 2 4 5 6 2" xfId="8268"/>
    <cellStyle name="Vérification 2 4 5 6 2 2" xfId="24492"/>
    <cellStyle name="Vérification 2 4 5 6 2 2 2" xfId="36499"/>
    <cellStyle name="Vérification 2 4 5 6 2 3" xfId="14275"/>
    <cellStyle name="Vérification 2 4 5 6 2 4" xfId="30496"/>
    <cellStyle name="Vérification 2 4 5 6 3" xfId="19499"/>
    <cellStyle name="Vérification 2 4 5 6 3 2" xfId="33613"/>
    <cellStyle name="Vérification 2 4 5 6 4" xfId="11823"/>
    <cellStyle name="Vérification 2 4 5 6 5" xfId="28044"/>
    <cellStyle name="Vérification 2 4 5 7" xfId="3179"/>
    <cellStyle name="Vérification 2 4 5 7 2" xfId="19407"/>
    <cellStyle name="Vérification 2 4 5 7 2 2" xfId="33521"/>
    <cellStyle name="Vérification 2 4 5 7 3" xfId="13517"/>
    <cellStyle name="Vérification 2 4 5 7 4" xfId="29738"/>
    <cellStyle name="Vérification 2 4 5 8" xfId="16985"/>
    <cellStyle name="Vérification 2 4 5 8 2" xfId="32719"/>
    <cellStyle name="Vérification 2 4 5 9" xfId="10491"/>
    <cellStyle name="Vérification 2 4 6" xfId="1321"/>
    <cellStyle name="Vérification 2 4 6 2" xfId="2799"/>
    <cellStyle name="Vérification 2 4 6 2 2" xfId="6487"/>
    <cellStyle name="Vérification 2 4 6 2 2 2" xfId="8868"/>
    <cellStyle name="Vérification 2 4 6 2 2 2 2" xfId="25092"/>
    <cellStyle name="Vérification 2 4 6 2 2 2 2 2" xfId="37099"/>
    <cellStyle name="Vérification 2 4 6 2 2 2 3" xfId="14875"/>
    <cellStyle name="Vérification 2 4 6 2 2 2 4" xfId="31096"/>
    <cellStyle name="Vérification 2 4 6 2 2 3" xfId="10246"/>
    <cellStyle name="Vérification 2 4 6 2 2 3 2" xfId="26470"/>
    <cellStyle name="Vérification 2 4 6 2 2 3 2 2" xfId="38477"/>
    <cellStyle name="Vérification 2 4 6 2 2 3 3" xfId="16253"/>
    <cellStyle name="Vérification 2 4 6 2 2 3 4" xfId="32474"/>
    <cellStyle name="Vérification 2 4 6 2 2 4" xfId="22711"/>
    <cellStyle name="Vérification 2 4 6 2 2 4 2" xfId="34718"/>
    <cellStyle name="Vérification 2 4 6 2 2 5" xfId="12572"/>
    <cellStyle name="Vérification 2 4 6 2 2 6" xfId="28793"/>
    <cellStyle name="Vérification 2 4 6 2 3" xfId="7535"/>
    <cellStyle name="Vérification 2 4 6 2 3 2" xfId="9579"/>
    <cellStyle name="Vérification 2 4 6 2 3 2 2" xfId="25803"/>
    <cellStyle name="Vérification 2 4 6 2 3 2 2 2" xfId="37810"/>
    <cellStyle name="Vérification 2 4 6 2 3 2 3" xfId="15586"/>
    <cellStyle name="Vérification 2 4 6 2 3 2 4" xfId="31807"/>
    <cellStyle name="Vérification 2 4 6 2 3 3" xfId="23759"/>
    <cellStyle name="Vérification 2 4 6 2 3 3 2" xfId="35766"/>
    <cellStyle name="Vérification 2 4 6 2 3 4" xfId="13283"/>
    <cellStyle name="Vérification 2 4 6 2 3 5" xfId="29504"/>
    <cellStyle name="Vérification 2 4 6 2 4" xfId="7912"/>
    <cellStyle name="Vérification 2 4 6 2 4 2" xfId="24136"/>
    <cellStyle name="Vérification 2 4 6 2 4 2 2" xfId="36143"/>
    <cellStyle name="Vérification 2 4 6 2 4 3" xfId="13919"/>
    <cellStyle name="Vérification 2 4 6 2 4 4" xfId="30140"/>
    <cellStyle name="Vérification 2 4 6 2 5" xfId="19027"/>
    <cellStyle name="Vérification 2 4 6 2 5 2" xfId="33141"/>
    <cellStyle name="Vérification 2 4 6 2 6" xfId="11268"/>
    <cellStyle name="Vérification 2 4 6 2 7" xfId="27489"/>
    <cellStyle name="Vérification 2 4 6 3" xfId="5018"/>
    <cellStyle name="Vérification 2 4 6 3 2" xfId="7045"/>
    <cellStyle name="Vérification 2 4 6 3 2 2" xfId="9246"/>
    <cellStyle name="Vérification 2 4 6 3 2 2 2" xfId="25470"/>
    <cellStyle name="Vérification 2 4 6 3 2 2 2 2" xfId="37477"/>
    <cellStyle name="Vérification 2 4 6 3 2 2 3" xfId="15253"/>
    <cellStyle name="Vérification 2 4 6 3 2 2 4" xfId="31474"/>
    <cellStyle name="Vérification 2 4 6 3 2 3" xfId="23269"/>
    <cellStyle name="Vérification 2 4 6 3 2 3 2" xfId="35276"/>
    <cellStyle name="Vérification 2 4 6 3 2 4" xfId="12950"/>
    <cellStyle name="Vérification 2 4 6 3 2 5" xfId="29171"/>
    <cellStyle name="Vérification 2 4 6 3 3" xfId="7264"/>
    <cellStyle name="Vérification 2 4 6 3 3 2" xfId="23488"/>
    <cellStyle name="Vérification 2 4 6 3 3 2 2" xfId="35495"/>
    <cellStyle name="Vérification 2 4 6 3 3 3" xfId="13648"/>
    <cellStyle name="Vérification 2 4 6 3 3 4" xfId="29869"/>
    <cellStyle name="Vérification 2 4 6 3 4" xfId="21244"/>
    <cellStyle name="Vérification 2 4 6 3 4 2" xfId="34385"/>
    <cellStyle name="Vérification 2 4 6 3 5" xfId="10932"/>
    <cellStyle name="Vérification 2 4 6 3 6" xfId="27155"/>
    <cellStyle name="Vérification 2 4 6 4" xfId="3409"/>
    <cellStyle name="Vérification 2 4 6 4 2" xfId="8376"/>
    <cellStyle name="Vérification 2 4 6 4 2 2" xfId="24600"/>
    <cellStyle name="Vérification 2 4 6 4 2 2 2" xfId="36607"/>
    <cellStyle name="Vérification 2 4 6 4 2 3" xfId="14383"/>
    <cellStyle name="Vérification 2 4 6 4 2 4" xfId="30604"/>
    <cellStyle name="Vérification 2 4 6 4 3" xfId="9913"/>
    <cellStyle name="Vérification 2 4 6 4 3 2" xfId="26137"/>
    <cellStyle name="Vérification 2 4 6 4 3 2 2" xfId="38144"/>
    <cellStyle name="Vérification 2 4 6 4 3 3" xfId="15920"/>
    <cellStyle name="Vérification 2 4 6 4 3 4" xfId="32141"/>
    <cellStyle name="Vérification 2 4 6 4 4" xfId="19637"/>
    <cellStyle name="Vérification 2 4 6 4 4 2" xfId="33751"/>
    <cellStyle name="Vérification 2 4 6 4 5" xfId="11931"/>
    <cellStyle name="Vérification 2 4 6 4 6" xfId="28152"/>
    <cellStyle name="Vérification 2 4 6 5" xfId="3619"/>
    <cellStyle name="Vérification 2 4 6 5 2" xfId="8542"/>
    <cellStyle name="Vérification 2 4 6 5 2 2" xfId="24766"/>
    <cellStyle name="Vérification 2 4 6 5 2 2 2" xfId="36773"/>
    <cellStyle name="Vérification 2 4 6 5 2 3" xfId="14549"/>
    <cellStyle name="Vérification 2 4 6 5 2 4" xfId="30770"/>
    <cellStyle name="Vérification 2 4 6 5 3" xfId="19847"/>
    <cellStyle name="Vérification 2 4 6 5 3 2" xfId="33961"/>
    <cellStyle name="Vérification 2 4 6 5 4" xfId="12097"/>
    <cellStyle name="Vérification 2 4 6 5 5" xfId="28318"/>
    <cellStyle name="Vérification 2 4 6 6" xfId="3009"/>
    <cellStyle name="Vérification 2 4 6 6 2" xfId="19237"/>
    <cellStyle name="Vérification 2 4 6 6 2 2" xfId="33351"/>
    <cellStyle name="Vérification 2 4 6 6 3" xfId="11485"/>
    <cellStyle name="Vérification 2 4 6 6 4" xfId="27706"/>
    <cellStyle name="Vérification 2 4 6 7" xfId="17560"/>
    <cellStyle name="Vérification 2 4 6 7 2" xfId="32808"/>
    <cellStyle name="Vérification 2 4 6 8" xfId="10580"/>
    <cellStyle name="Vérification 2 4 6 9" xfId="26805"/>
    <cellStyle name="Vérification 2 4 7" xfId="2436"/>
    <cellStyle name="Vérification 2 4 7 2" xfId="2911"/>
    <cellStyle name="Vérification 2 4 7 2 2" xfId="6599"/>
    <cellStyle name="Vérification 2 4 7 2 2 2" xfId="8980"/>
    <cellStyle name="Vérification 2 4 7 2 2 2 2" xfId="25204"/>
    <cellStyle name="Vérification 2 4 7 2 2 2 2 2" xfId="37211"/>
    <cellStyle name="Vérification 2 4 7 2 2 2 3" xfId="14987"/>
    <cellStyle name="Vérification 2 4 7 2 2 2 4" xfId="31208"/>
    <cellStyle name="Vérification 2 4 7 2 2 3" xfId="10358"/>
    <cellStyle name="Vérification 2 4 7 2 2 3 2" xfId="26582"/>
    <cellStyle name="Vérification 2 4 7 2 2 3 2 2" xfId="38589"/>
    <cellStyle name="Vérification 2 4 7 2 2 3 3" xfId="16365"/>
    <cellStyle name="Vérification 2 4 7 2 2 3 4" xfId="32586"/>
    <cellStyle name="Vérification 2 4 7 2 2 4" xfId="22823"/>
    <cellStyle name="Vérification 2 4 7 2 2 4 2" xfId="34830"/>
    <cellStyle name="Vérification 2 4 7 2 2 5" xfId="12684"/>
    <cellStyle name="Vérification 2 4 7 2 2 6" xfId="28905"/>
    <cellStyle name="Vérification 2 4 7 2 3" xfId="7647"/>
    <cellStyle name="Vérification 2 4 7 2 3 2" xfId="9691"/>
    <cellStyle name="Vérification 2 4 7 2 3 2 2" xfId="25915"/>
    <cellStyle name="Vérification 2 4 7 2 3 2 2 2" xfId="37922"/>
    <cellStyle name="Vérification 2 4 7 2 3 2 3" xfId="15698"/>
    <cellStyle name="Vérification 2 4 7 2 3 2 4" xfId="31919"/>
    <cellStyle name="Vérification 2 4 7 2 3 3" xfId="23871"/>
    <cellStyle name="Vérification 2 4 7 2 3 3 2" xfId="35878"/>
    <cellStyle name="Vérification 2 4 7 2 3 4" xfId="13395"/>
    <cellStyle name="Vérification 2 4 7 2 3 5" xfId="29616"/>
    <cellStyle name="Vérification 2 4 7 2 4" xfId="8024"/>
    <cellStyle name="Vérification 2 4 7 2 4 2" xfId="24248"/>
    <cellStyle name="Vérification 2 4 7 2 4 2 2" xfId="36255"/>
    <cellStyle name="Vérification 2 4 7 2 4 3" xfId="14031"/>
    <cellStyle name="Vérification 2 4 7 2 4 4" xfId="30252"/>
    <cellStyle name="Vérification 2 4 7 2 5" xfId="19139"/>
    <cellStyle name="Vérification 2 4 7 2 5 2" xfId="33253"/>
    <cellStyle name="Vérification 2 4 7 2 6" xfId="11380"/>
    <cellStyle name="Vérification 2 4 7 2 7" xfId="27601"/>
    <cellStyle name="Vérification 2 4 7 3" xfId="6128"/>
    <cellStyle name="Vérification 2 4 7 3 2" xfId="7298"/>
    <cellStyle name="Vérification 2 4 7 3 2 2" xfId="9358"/>
    <cellStyle name="Vérification 2 4 7 3 2 2 2" xfId="25582"/>
    <cellStyle name="Vérification 2 4 7 3 2 2 2 2" xfId="37589"/>
    <cellStyle name="Vérification 2 4 7 3 2 2 3" xfId="15365"/>
    <cellStyle name="Vérification 2 4 7 3 2 2 4" xfId="31586"/>
    <cellStyle name="Vérification 2 4 7 3 2 3" xfId="23522"/>
    <cellStyle name="Vérification 2 4 7 3 2 3 2" xfId="35529"/>
    <cellStyle name="Vérification 2 4 7 3 2 4" xfId="13062"/>
    <cellStyle name="Vérification 2 4 7 3 2 5" xfId="29283"/>
    <cellStyle name="Vérification 2 4 7 3 3" xfId="7691"/>
    <cellStyle name="Vérification 2 4 7 3 3 2" xfId="23915"/>
    <cellStyle name="Vérification 2 4 7 3 3 2 2" xfId="35922"/>
    <cellStyle name="Vérification 2 4 7 3 3 3" xfId="13698"/>
    <cellStyle name="Vérification 2 4 7 3 3 4" xfId="29919"/>
    <cellStyle name="Vérification 2 4 7 3 4" xfId="22352"/>
    <cellStyle name="Vérification 2 4 7 3 4 2" xfId="34497"/>
    <cellStyle name="Vérification 2 4 7 3 5" xfId="11046"/>
    <cellStyle name="Vérification 2 4 7 3 6" xfId="27267"/>
    <cellStyle name="Vérification 2 4 7 4" xfId="3786"/>
    <cellStyle name="Vérification 2 4 7 4 2" xfId="8630"/>
    <cellStyle name="Vérification 2 4 7 4 2 2" xfId="24854"/>
    <cellStyle name="Vérification 2 4 7 4 2 2 2" xfId="36861"/>
    <cellStyle name="Vérification 2 4 7 4 2 3" xfId="14637"/>
    <cellStyle name="Vérification 2 4 7 4 2 4" xfId="30858"/>
    <cellStyle name="Vérification 2 4 7 4 3" xfId="10025"/>
    <cellStyle name="Vérification 2 4 7 4 3 2" xfId="26249"/>
    <cellStyle name="Vérification 2 4 7 4 3 2 2" xfId="38256"/>
    <cellStyle name="Vérification 2 4 7 4 3 3" xfId="16032"/>
    <cellStyle name="Vérification 2 4 7 4 3 4" xfId="32253"/>
    <cellStyle name="Vérification 2 4 7 4 4" xfId="20014"/>
    <cellStyle name="Vérification 2 4 7 4 4 2" xfId="34128"/>
    <cellStyle name="Vérification 2 4 7 4 5" xfId="12185"/>
    <cellStyle name="Vérification 2 4 7 4 6" xfId="28406"/>
    <cellStyle name="Vérification 2 4 7 5" xfId="6662"/>
    <cellStyle name="Vérification 2 4 7 5 2" xfId="9024"/>
    <cellStyle name="Vérification 2 4 7 5 2 2" xfId="25248"/>
    <cellStyle name="Vérification 2 4 7 5 2 2 2" xfId="37255"/>
    <cellStyle name="Vérification 2 4 7 5 2 3" xfId="15031"/>
    <cellStyle name="Vérification 2 4 7 5 2 4" xfId="31252"/>
    <cellStyle name="Vérification 2 4 7 5 3" xfId="22886"/>
    <cellStyle name="Vérification 2 4 7 5 3 2" xfId="34893"/>
    <cellStyle name="Vérification 2 4 7 5 4" xfId="12728"/>
    <cellStyle name="Vérification 2 4 7 5 5" xfId="28949"/>
    <cellStyle name="Vérification 2 4 7 6" xfId="3644"/>
    <cellStyle name="Vérification 2 4 7 6 2" xfId="19872"/>
    <cellStyle name="Vérification 2 4 7 6 2 2" xfId="33986"/>
    <cellStyle name="Vérification 2 4 7 6 3" xfId="13504"/>
    <cellStyle name="Vérification 2 4 7 6 4" xfId="29725"/>
    <cellStyle name="Vérification 2 4 7 7" xfId="18668"/>
    <cellStyle name="Vérification 2 4 7 7 2" xfId="32920"/>
    <cellStyle name="Vérification 2 4 7 8" xfId="10694"/>
    <cellStyle name="Vérification 2 4 7 9" xfId="26917"/>
    <cellStyle name="Vérification 2 4 8" xfId="2599"/>
    <cellStyle name="Vérification 2 4 8 2" xfId="2932"/>
    <cellStyle name="Vérification 2 4 8 2 2" xfId="6620"/>
    <cellStyle name="Vérification 2 4 8 2 2 2" xfId="9001"/>
    <cellStyle name="Vérification 2 4 8 2 2 2 2" xfId="25225"/>
    <cellStyle name="Vérification 2 4 8 2 2 2 2 2" xfId="37232"/>
    <cellStyle name="Vérification 2 4 8 2 2 2 3" xfId="15008"/>
    <cellStyle name="Vérification 2 4 8 2 2 2 4" xfId="31229"/>
    <cellStyle name="Vérification 2 4 8 2 2 3" xfId="10379"/>
    <cellStyle name="Vérification 2 4 8 2 2 3 2" xfId="26603"/>
    <cellStyle name="Vérification 2 4 8 2 2 3 2 2" xfId="38610"/>
    <cellStyle name="Vérification 2 4 8 2 2 3 3" xfId="16386"/>
    <cellStyle name="Vérification 2 4 8 2 2 3 4" xfId="32607"/>
    <cellStyle name="Vérification 2 4 8 2 2 4" xfId="22844"/>
    <cellStyle name="Vérification 2 4 8 2 2 4 2" xfId="34851"/>
    <cellStyle name="Vérification 2 4 8 2 2 5" xfId="12705"/>
    <cellStyle name="Vérification 2 4 8 2 2 6" xfId="28926"/>
    <cellStyle name="Vérification 2 4 8 2 3" xfId="7668"/>
    <cellStyle name="Vérification 2 4 8 2 3 2" xfId="9712"/>
    <cellStyle name="Vérification 2 4 8 2 3 2 2" xfId="25936"/>
    <cellStyle name="Vérification 2 4 8 2 3 2 2 2" xfId="37943"/>
    <cellStyle name="Vérification 2 4 8 2 3 2 3" xfId="15719"/>
    <cellStyle name="Vérification 2 4 8 2 3 2 4" xfId="31940"/>
    <cellStyle name="Vérification 2 4 8 2 3 3" xfId="23892"/>
    <cellStyle name="Vérification 2 4 8 2 3 3 2" xfId="35899"/>
    <cellStyle name="Vérification 2 4 8 2 3 4" xfId="13416"/>
    <cellStyle name="Vérification 2 4 8 2 3 5" xfId="29637"/>
    <cellStyle name="Vérification 2 4 8 2 4" xfId="8045"/>
    <cellStyle name="Vérification 2 4 8 2 4 2" xfId="24269"/>
    <cellStyle name="Vérification 2 4 8 2 4 2 2" xfId="36276"/>
    <cellStyle name="Vérification 2 4 8 2 4 3" xfId="14052"/>
    <cellStyle name="Vérification 2 4 8 2 4 4" xfId="30273"/>
    <cellStyle name="Vérification 2 4 8 2 5" xfId="19160"/>
    <cellStyle name="Vérification 2 4 8 2 5 2" xfId="33274"/>
    <cellStyle name="Vérification 2 4 8 2 6" xfId="11401"/>
    <cellStyle name="Vérification 2 4 8 2 7" xfId="27622"/>
    <cellStyle name="Vérification 2 4 8 3" xfId="6287"/>
    <cellStyle name="Vérification 2 4 8 3 2" xfId="7335"/>
    <cellStyle name="Vérification 2 4 8 3 2 2" xfId="9379"/>
    <cellStyle name="Vérification 2 4 8 3 2 2 2" xfId="25603"/>
    <cellStyle name="Vérification 2 4 8 3 2 2 2 2" xfId="37610"/>
    <cellStyle name="Vérification 2 4 8 3 2 2 3" xfId="15386"/>
    <cellStyle name="Vérification 2 4 8 3 2 2 4" xfId="31607"/>
    <cellStyle name="Vérification 2 4 8 3 2 3" xfId="23559"/>
    <cellStyle name="Vérification 2 4 8 3 2 3 2" xfId="35566"/>
    <cellStyle name="Vérification 2 4 8 3 2 4" xfId="13083"/>
    <cellStyle name="Vérification 2 4 8 3 2 5" xfId="29304"/>
    <cellStyle name="Vérification 2 4 8 3 3" xfId="7712"/>
    <cellStyle name="Vérification 2 4 8 3 3 2" xfId="23936"/>
    <cellStyle name="Vérification 2 4 8 3 3 2 2" xfId="35943"/>
    <cellStyle name="Vérification 2 4 8 3 3 3" xfId="13719"/>
    <cellStyle name="Vérification 2 4 8 3 3 4" xfId="29940"/>
    <cellStyle name="Vérification 2 4 8 3 4" xfId="22511"/>
    <cellStyle name="Vérification 2 4 8 3 4 2" xfId="34518"/>
    <cellStyle name="Vérification 2 4 8 3 5" xfId="11068"/>
    <cellStyle name="Vérification 2 4 8 3 6" xfId="27289"/>
    <cellStyle name="Vérification 2 4 8 4" xfId="3842"/>
    <cellStyle name="Vérification 2 4 8 4 2" xfId="8668"/>
    <cellStyle name="Vérification 2 4 8 4 2 2" xfId="24892"/>
    <cellStyle name="Vérification 2 4 8 4 2 2 2" xfId="36899"/>
    <cellStyle name="Vérification 2 4 8 4 2 3" xfId="14675"/>
    <cellStyle name="Vérification 2 4 8 4 2 4" xfId="30896"/>
    <cellStyle name="Vérification 2 4 8 4 3" xfId="10046"/>
    <cellStyle name="Vérification 2 4 8 4 3 2" xfId="26270"/>
    <cellStyle name="Vérification 2 4 8 4 3 2 2" xfId="38277"/>
    <cellStyle name="Vérification 2 4 8 4 3 3" xfId="16053"/>
    <cellStyle name="Vérification 2 4 8 4 3 4" xfId="32274"/>
    <cellStyle name="Vérification 2 4 8 4 4" xfId="20070"/>
    <cellStyle name="Vérification 2 4 8 4 4 2" xfId="34184"/>
    <cellStyle name="Vérification 2 4 8 4 5" xfId="12223"/>
    <cellStyle name="Vérification 2 4 8 4 6" xfId="28444"/>
    <cellStyle name="Vérification 2 4 8 5" xfId="6699"/>
    <cellStyle name="Vérification 2 4 8 5 2" xfId="9045"/>
    <cellStyle name="Vérification 2 4 8 5 2 2" xfId="25269"/>
    <cellStyle name="Vérification 2 4 8 5 2 2 2" xfId="37276"/>
    <cellStyle name="Vérification 2 4 8 5 2 3" xfId="15052"/>
    <cellStyle name="Vérification 2 4 8 5 2 4" xfId="31273"/>
    <cellStyle name="Vérification 2 4 8 5 3" xfId="22923"/>
    <cellStyle name="Vérification 2 4 8 5 3 2" xfId="34930"/>
    <cellStyle name="Vérification 2 4 8 5 4" xfId="12749"/>
    <cellStyle name="Vérification 2 4 8 5 5" xfId="28970"/>
    <cellStyle name="Vérification 2 4 8 6" xfId="3093"/>
    <cellStyle name="Vérification 2 4 8 6 2" xfId="19321"/>
    <cellStyle name="Vérification 2 4 8 6 2 2" xfId="33435"/>
    <cellStyle name="Vérification 2 4 8 6 3" xfId="11464"/>
    <cellStyle name="Vérification 2 4 8 6 4" xfId="27685"/>
    <cellStyle name="Vérification 2 4 8 7" xfId="18827"/>
    <cellStyle name="Vérification 2 4 8 7 2" xfId="32941"/>
    <cellStyle name="Vérification 2 4 8 8" xfId="10715"/>
    <cellStyle name="Vérification 2 4 8 9" xfId="26938"/>
    <cellStyle name="Vérification 2 4 9" xfId="2621"/>
    <cellStyle name="Vérification 2 4 9 2" xfId="6309"/>
    <cellStyle name="Vérification 2 4 9 2 2" xfId="8690"/>
    <cellStyle name="Vérification 2 4 9 2 2 2" xfId="24914"/>
    <cellStyle name="Vérification 2 4 9 2 2 2 2" xfId="36921"/>
    <cellStyle name="Vérification 2 4 9 2 2 3" xfId="14697"/>
    <cellStyle name="Vérification 2 4 9 2 2 4" xfId="30918"/>
    <cellStyle name="Vérification 2 4 9 2 3" xfId="10068"/>
    <cellStyle name="Vérification 2 4 9 2 3 2" xfId="26292"/>
    <cellStyle name="Vérification 2 4 9 2 3 2 2" xfId="38299"/>
    <cellStyle name="Vérification 2 4 9 2 3 3" xfId="16075"/>
    <cellStyle name="Vérification 2 4 9 2 3 4" xfId="32296"/>
    <cellStyle name="Vérification 2 4 9 2 4" xfId="22533"/>
    <cellStyle name="Vérification 2 4 9 2 4 2" xfId="34540"/>
    <cellStyle name="Vérification 2 4 9 2 5" xfId="12394"/>
    <cellStyle name="Vérification 2 4 9 2 6" xfId="28615"/>
    <cellStyle name="Vérification 2 4 9 3" xfId="7357"/>
    <cellStyle name="Vérification 2 4 9 3 2" xfId="9401"/>
    <cellStyle name="Vérification 2 4 9 3 2 2" xfId="25625"/>
    <cellStyle name="Vérification 2 4 9 3 2 2 2" xfId="37632"/>
    <cellStyle name="Vérification 2 4 9 3 2 3" xfId="15408"/>
    <cellStyle name="Vérification 2 4 9 3 2 4" xfId="31629"/>
    <cellStyle name="Vérification 2 4 9 3 3" xfId="23581"/>
    <cellStyle name="Vérification 2 4 9 3 3 2" xfId="35588"/>
    <cellStyle name="Vérification 2 4 9 3 4" xfId="13105"/>
    <cellStyle name="Vérification 2 4 9 3 5" xfId="29326"/>
    <cellStyle name="Vérification 2 4 9 4" xfId="7734"/>
    <cellStyle name="Vérification 2 4 9 4 2" xfId="23958"/>
    <cellStyle name="Vérification 2 4 9 4 2 2" xfId="35965"/>
    <cellStyle name="Vérification 2 4 9 4 3" xfId="13741"/>
    <cellStyle name="Vérification 2 4 9 4 4" xfId="29962"/>
    <cellStyle name="Vérification 2 4 9 5" xfId="18849"/>
    <cellStyle name="Vérification 2 4 9 5 2" xfId="32963"/>
    <cellStyle name="Vérification 2 4 9 6" xfId="11090"/>
    <cellStyle name="Vérification 2 4 9 7" xfId="27311"/>
    <cellStyle name="Vérification 2 5" xfId="219"/>
    <cellStyle name="Vérification 2 5 10" xfId="3976"/>
    <cellStyle name="Vérification 2 5 10 2" xfId="6753"/>
    <cellStyle name="Vérification 2 5 10 2 2" xfId="9081"/>
    <cellStyle name="Vérification 2 5 10 2 2 2" xfId="25305"/>
    <cellStyle name="Vérification 2 5 10 2 2 2 2" xfId="37312"/>
    <cellStyle name="Vérification 2 5 10 2 2 3" xfId="15088"/>
    <cellStyle name="Vérification 2 5 10 2 2 4" xfId="31309"/>
    <cellStyle name="Vérification 2 5 10 2 3" xfId="22977"/>
    <cellStyle name="Vérification 2 5 10 2 3 2" xfId="34984"/>
    <cellStyle name="Vérification 2 5 10 2 4" xfId="12785"/>
    <cellStyle name="Vérification 2 5 10 2 5" xfId="29006"/>
    <cellStyle name="Vérification 2 5 10 3" xfId="3092"/>
    <cellStyle name="Vérification 2 5 10 3 2" xfId="19320"/>
    <cellStyle name="Vérification 2 5 10 3 2 2" xfId="33434"/>
    <cellStyle name="Vérification 2 5 10 3 3" xfId="11474"/>
    <cellStyle name="Vérification 2 5 10 3 4" xfId="27695"/>
    <cellStyle name="Vérification 2 5 10 4" xfId="20203"/>
    <cellStyle name="Vérification 2 5 10 4 2" xfId="34220"/>
    <cellStyle name="Vérification 2 5 10 5" xfId="10758"/>
    <cellStyle name="Vérification 2 5 10 6" xfId="26981"/>
    <cellStyle name="Vérification 2 5 11" xfId="3013"/>
    <cellStyle name="Vérification 2 5 11 2" xfId="8098"/>
    <cellStyle name="Vérification 2 5 11 2 2" xfId="24322"/>
    <cellStyle name="Vérification 2 5 11 2 2 2" xfId="36329"/>
    <cellStyle name="Vérification 2 5 11 2 3" xfId="14105"/>
    <cellStyle name="Vérification 2 5 11 2 4" xfId="30326"/>
    <cellStyle name="Vérification 2 5 11 3" xfId="9748"/>
    <cellStyle name="Vérification 2 5 11 3 2" xfId="25972"/>
    <cellStyle name="Vérification 2 5 11 3 2 2" xfId="37979"/>
    <cellStyle name="Vérification 2 5 11 3 3" xfId="15755"/>
    <cellStyle name="Vérification 2 5 11 3 4" xfId="31976"/>
    <cellStyle name="Vérification 2 5 11 4" xfId="19241"/>
    <cellStyle name="Vérification 2 5 11 4 2" xfId="33355"/>
    <cellStyle name="Vérification 2 5 11 5" xfId="11653"/>
    <cellStyle name="Vérification 2 5 11 6" xfId="27874"/>
    <cellStyle name="Vérification 2 5 12" xfId="3397"/>
    <cellStyle name="Vérification 2 5 12 2" xfId="8367"/>
    <cellStyle name="Vérification 2 5 12 2 2" xfId="24591"/>
    <cellStyle name="Vérification 2 5 12 2 2 2" xfId="36598"/>
    <cellStyle name="Vérification 2 5 12 2 3" xfId="14374"/>
    <cellStyle name="Vérification 2 5 12 2 4" xfId="30595"/>
    <cellStyle name="Vérification 2 5 12 3" xfId="19625"/>
    <cellStyle name="Vérification 2 5 12 3 2" xfId="33739"/>
    <cellStyle name="Vérification 2 5 12 4" xfId="11922"/>
    <cellStyle name="Vérification 2 5 12 5" xfId="28143"/>
    <cellStyle name="Vérification 2 5 13" xfId="3831"/>
    <cellStyle name="Vérification 2 5 13 2" xfId="20059"/>
    <cellStyle name="Vérification 2 5 13 2 2" xfId="34173"/>
    <cellStyle name="Vérification 2 5 13 3" xfId="11534"/>
    <cellStyle name="Vérification 2 5 13 4" xfId="27755"/>
    <cellStyle name="Vérification 2 5 14" xfId="16519"/>
    <cellStyle name="Vérification 2 5 14 2" xfId="32643"/>
    <cellStyle name="Vérification 2 5 15" xfId="10415"/>
    <cellStyle name="Vérification 2 5 16" xfId="26640"/>
    <cellStyle name="Vérification 2 5 2" xfId="425"/>
    <cellStyle name="Vérification 2 5 2 10" xfId="10438"/>
    <cellStyle name="Vérification 2 5 2 11" xfId="26663"/>
    <cellStyle name="Vérification 2 5 2 2" xfId="1357"/>
    <cellStyle name="Vérification 2 5 2 2 2" xfId="2835"/>
    <cellStyle name="Vérification 2 5 2 2 2 2" xfId="6523"/>
    <cellStyle name="Vérification 2 5 2 2 2 2 2" xfId="8904"/>
    <cellStyle name="Vérification 2 5 2 2 2 2 2 2" xfId="25128"/>
    <cellStyle name="Vérification 2 5 2 2 2 2 2 2 2" xfId="37135"/>
    <cellStyle name="Vérification 2 5 2 2 2 2 2 3" xfId="14911"/>
    <cellStyle name="Vérification 2 5 2 2 2 2 2 4" xfId="31132"/>
    <cellStyle name="Vérification 2 5 2 2 2 2 3" xfId="10282"/>
    <cellStyle name="Vérification 2 5 2 2 2 2 3 2" xfId="26506"/>
    <cellStyle name="Vérification 2 5 2 2 2 2 3 2 2" xfId="38513"/>
    <cellStyle name="Vérification 2 5 2 2 2 2 3 3" xfId="16289"/>
    <cellStyle name="Vérification 2 5 2 2 2 2 3 4" xfId="32510"/>
    <cellStyle name="Vérification 2 5 2 2 2 2 4" xfId="22747"/>
    <cellStyle name="Vérification 2 5 2 2 2 2 4 2" xfId="34754"/>
    <cellStyle name="Vérification 2 5 2 2 2 2 5" xfId="12608"/>
    <cellStyle name="Vérification 2 5 2 2 2 2 6" xfId="28829"/>
    <cellStyle name="Vérification 2 5 2 2 2 3" xfId="7571"/>
    <cellStyle name="Vérification 2 5 2 2 2 3 2" xfId="9615"/>
    <cellStyle name="Vérification 2 5 2 2 2 3 2 2" xfId="25839"/>
    <cellStyle name="Vérification 2 5 2 2 2 3 2 2 2" xfId="37846"/>
    <cellStyle name="Vérification 2 5 2 2 2 3 2 3" xfId="15622"/>
    <cellStyle name="Vérification 2 5 2 2 2 3 2 4" xfId="31843"/>
    <cellStyle name="Vérification 2 5 2 2 2 3 3" xfId="23795"/>
    <cellStyle name="Vérification 2 5 2 2 2 3 3 2" xfId="35802"/>
    <cellStyle name="Vérification 2 5 2 2 2 3 4" xfId="13319"/>
    <cellStyle name="Vérification 2 5 2 2 2 3 5" xfId="29540"/>
    <cellStyle name="Vérification 2 5 2 2 2 4" xfId="7948"/>
    <cellStyle name="Vérification 2 5 2 2 2 4 2" xfId="24172"/>
    <cellStyle name="Vérification 2 5 2 2 2 4 2 2" xfId="36179"/>
    <cellStyle name="Vérification 2 5 2 2 2 4 3" xfId="13955"/>
    <cellStyle name="Vérification 2 5 2 2 2 4 4" xfId="30176"/>
    <cellStyle name="Vérification 2 5 2 2 2 5" xfId="19063"/>
    <cellStyle name="Vérification 2 5 2 2 2 5 2" xfId="33177"/>
    <cellStyle name="Vérification 2 5 2 2 2 6" xfId="11304"/>
    <cellStyle name="Vérification 2 5 2 2 2 7" xfId="27525"/>
    <cellStyle name="Vérification 2 5 2 2 3" xfId="5054"/>
    <cellStyle name="Vérification 2 5 2 2 3 2" xfId="7081"/>
    <cellStyle name="Vérification 2 5 2 2 3 2 2" xfId="9282"/>
    <cellStyle name="Vérification 2 5 2 2 3 2 2 2" xfId="25506"/>
    <cellStyle name="Vérification 2 5 2 2 3 2 2 2 2" xfId="37513"/>
    <cellStyle name="Vérification 2 5 2 2 3 2 2 3" xfId="15289"/>
    <cellStyle name="Vérification 2 5 2 2 3 2 2 4" xfId="31510"/>
    <cellStyle name="Vérification 2 5 2 2 3 2 3" xfId="23305"/>
    <cellStyle name="Vérification 2 5 2 2 3 2 3 2" xfId="35312"/>
    <cellStyle name="Vérification 2 5 2 2 3 2 4" xfId="12986"/>
    <cellStyle name="Vérification 2 5 2 2 3 2 5" xfId="29207"/>
    <cellStyle name="Vérification 2 5 2 2 3 3" xfId="6923"/>
    <cellStyle name="Vérification 2 5 2 2 3 3 2" xfId="23147"/>
    <cellStyle name="Vérification 2 5 2 2 3 3 2 2" xfId="35154"/>
    <cellStyle name="Vérification 2 5 2 2 3 3 3" xfId="11590"/>
    <cellStyle name="Vérification 2 5 2 2 3 3 4" xfId="27811"/>
    <cellStyle name="Vérification 2 5 2 2 3 4" xfId="21280"/>
    <cellStyle name="Vérification 2 5 2 2 3 4 2" xfId="34421"/>
    <cellStyle name="Vérification 2 5 2 2 3 5" xfId="10968"/>
    <cellStyle name="Vérification 2 5 2 2 3 6" xfId="27191"/>
    <cellStyle name="Vérification 2 5 2 2 4" xfId="3445"/>
    <cellStyle name="Vérification 2 5 2 2 4 2" xfId="8412"/>
    <cellStyle name="Vérification 2 5 2 2 4 2 2" xfId="24636"/>
    <cellStyle name="Vérification 2 5 2 2 4 2 2 2" xfId="36643"/>
    <cellStyle name="Vérification 2 5 2 2 4 2 3" xfId="14419"/>
    <cellStyle name="Vérification 2 5 2 2 4 2 4" xfId="30640"/>
    <cellStyle name="Vérification 2 5 2 2 4 3" xfId="9949"/>
    <cellStyle name="Vérification 2 5 2 2 4 3 2" xfId="26173"/>
    <cellStyle name="Vérification 2 5 2 2 4 3 2 2" xfId="38180"/>
    <cellStyle name="Vérification 2 5 2 2 4 3 3" xfId="15956"/>
    <cellStyle name="Vérification 2 5 2 2 4 3 4" xfId="32177"/>
    <cellStyle name="Vérification 2 5 2 2 4 4" xfId="19673"/>
    <cellStyle name="Vérification 2 5 2 2 4 4 2" xfId="33787"/>
    <cellStyle name="Vérification 2 5 2 2 4 5" xfId="11967"/>
    <cellStyle name="Vérification 2 5 2 2 4 6" xfId="28188"/>
    <cellStyle name="Vérification 2 5 2 2 5" xfId="3524"/>
    <cellStyle name="Vérification 2 5 2 2 5 2" xfId="8489"/>
    <cellStyle name="Vérification 2 5 2 2 5 2 2" xfId="24713"/>
    <cellStyle name="Vérification 2 5 2 2 5 2 2 2" xfId="36720"/>
    <cellStyle name="Vérification 2 5 2 2 5 2 3" xfId="14496"/>
    <cellStyle name="Vérification 2 5 2 2 5 2 4" xfId="30717"/>
    <cellStyle name="Vérification 2 5 2 2 5 3" xfId="19752"/>
    <cellStyle name="Vérification 2 5 2 2 5 3 2" xfId="33866"/>
    <cellStyle name="Vérification 2 5 2 2 5 4" xfId="12044"/>
    <cellStyle name="Vérification 2 5 2 2 5 5" xfId="28265"/>
    <cellStyle name="Vérification 2 5 2 2 6" xfId="3551"/>
    <cellStyle name="Vérification 2 5 2 2 6 2" xfId="19779"/>
    <cellStyle name="Vérification 2 5 2 2 6 2 2" xfId="33893"/>
    <cellStyle name="Vérification 2 5 2 2 6 3" xfId="11479"/>
    <cellStyle name="Vérification 2 5 2 2 6 4" xfId="27700"/>
    <cellStyle name="Vérification 2 5 2 2 7" xfId="17596"/>
    <cellStyle name="Vérification 2 5 2 2 7 2" xfId="32844"/>
    <cellStyle name="Vérification 2 5 2 2 8" xfId="10616"/>
    <cellStyle name="Vérification 2 5 2 2 9" xfId="26841"/>
    <cellStyle name="Vérification 2 5 2 3" xfId="1040"/>
    <cellStyle name="Vérification 2 5 2 3 2" xfId="2746"/>
    <cellStyle name="Vérification 2 5 2 3 2 2" xfId="6434"/>
    <cellStyle name="Vérification 2 5 2 3 2 2 2" xfId="8815"/>
    <cellStyle name="Vérification 2 5 2 3 2 2 2 2" xfId="25039"/>
    <cellStyle name="Vérification 2 5 2 3 2 2 2 2 2" xfId="37046"/>
    <cellStyle name="Vérification 2 5 2 3 2 2 2 3" xfId="14822"/>
    <cellStyle name="Vérification 2 5 2 3 2 2 2 4" xfId="31043"/>
    <cellStyle name="Vérification 2 5 2 3 2 2 3" xfId="10193"/>
    <cellStyle name="Vérification 2 5 2 3 2 2 3 2" xfId="26417"/>
    <cellStyle name="Vérification 2 5 2 3 2 2 3 2 2" xfId="38424"/>
    <cellStyle name="Vérification 2 5 2 3 2 2 3 3" xfId="16200"/>
    <cellStyle name="Vérification 2 5 2 3 2 2 3 4" xfId="32421"/>
    <cellStyle name="Vérification 2 5 2 3 2 2 4" xfId="22658"/>
    <cellStyle name="Vérification 2 5 2 3 2 2 4 2" xfId="34665"/>
    <cellStyle name="Vérification 2 5 2 3 2 2 5" xfId="12519"/>
    <cellStyle name="Vérification 2 5 2 3 2 2 6" xfId="28740"/>
    <cellStyle name="Vérification 2 5 2 3 2 3" xfId="7482"/>
    <cellStyle name="Vérification 2 5 2 3 2 3 2" xfId="9526"/>
    <cellStyle name="Vérification 2 5 2 3 2 3 2 2" xfId="25750"/>
    <cellStyle name="Vérification 2 5 2 3 2 3 2 2 2" xfId="37757"/>
    <cellStyle name="Vérification 2 5 2 3 2 3 2 3" xfId="15533"/>
    <cellStyle name="Vérification 2 5 2 3 2 3 2 4" xfId="31754"/>
    <cellStyle name="Vérification 2 5 2 3 2 3 3" xfId="23706"/>
    <cellStyle name="Vérification 2 5 2 3 2 3 3 2" xfId="35713"/>
    <cellStyle name="Vérification 2 5 2 3 2 3 4" xfId="13230"/>
    <cellStyle name="Vérification 2 5 2 3 2 3 5" xfId="29451"/>
    <cellStyle name="Vérification 2 5 2 3 2 4" xfId="7859"/>
    <cellStyle name="Vérification 2 5 2 3 2 4 2" xfId="24083"/>
    <cellStyle name="Vérification 2 5 2 3 2 4 2 2" xfId="36090"/>
    <cellStyle name="Vérification 2 5 2 3 2 4 3" xfId="13866"/>
    <cellStyle name="Vérification 2 5 2 3 2 4 4" xfId="30087"/>
    <cellStyle name="Vérification 2 5 2 3 2 5" xfId="18974"/>
    <cellStyle name="Vérification 2 5 2 3 2 5 2" xfId="33088"/>
    <cellStyle name="Vérification 2 5 2 3 2 6" xfId="11215"/>
    <cellStyle name="Vérification 2 5 2 3 2 7" xfId="27436"/>
    <cellStyle name="Vérification 2 5 2 3 3" xfId="4737"/>
    <cellStyle name="Vérification 2 5 2 3 3 2" xfId="6965"/>
    <cellStyle name="Vérification 2 5 2 3 3 2 2" xfId="9193"/>
    <cellStyle name="Vérification 2 5 2 3 3 2 2 2" xfId="25417"/>
    <cellStyle name="Vérification 2 5 2 3 3 2 2 2 2" xfId="37424"/>
    <cellStyle name="Vérification 2 5 2 3 3 2 2 3" xfId="15200"/>
    <cellStyle name="Vérification 2 5 2 3 3 2 2 4" xfId="31421"/>
    <cellStyle name="Vérification 2 5 2 3 3 2 3" xfId="23189"/>
    <cellStyle name="Vérification 2 5 2 3 3 2 3 2" xfId="35196"/>
    <cellStyle name="Vérification 2 5 2 3 3 2 4" xfId="12897"/>
    <cellStyle name="Vérification 2 5 2 3 3 2 5" xfId="29118"/>
    <cellStyle name="Vérification 2 5 2 3 3 3" xfId="6913"/>
    <cellStyle name="Vérification 2 5 2 3 3 3 2" xfId="23137"/>
    <cellStyle name="Vérification 2 5 2 3 3 3 2 2" xfId="35144"/>
    <cellStyle name="Vérification 2 5 2 3 3 3 3" xfId="10837"/>
    <cellStyle name="Vérification 2 5 2 3 3 3 4" xfId="27060"/>
    <cellStyle name="Vérification 2 5 2 3 3 4" xfId="20963"/>
    <cellStyle name="Vérification 2 5 2 3 3 4 2" xfId="34332"/>
    <cellStyle name="Vérification 2 5 2 3 3 5" xfId="10879"/>
    <cellStyle name="Vérification 2 5 2 3 3 6" xfId="27102"/>
    <cellStyle name="Vérification 2 5 2 3 4" xfId="3302"/>
    <cellStyle name="Vérification 2 5 2 3 4 2" xfId="8289"/>
    <cellStyle name="Vérification 2 5 2 3 4 2 2" xfId="24513"/>
    <cellStyle name="Vérification 2 5 2 3 4 2 2 2" xfId="36520"/>
    <cellStyle name="Vérification 2 5 2 3 4 2 3" xfId="14296"/>
    <cellStyle name="Vérification 2 5 2 3 4 2 4" xfId="30517"/>
    <cellStyle name="Vérification 2 5 2 3 4 3" xfId="9860"/>
    <cellStyle name="Vérification 2 5 2 3 4 3 2" xfId="26084"/>
    <cellStyle name="Vérification 2 5 2 3 4 3 2 2" xfId="38091"/>
    <cellStyle name="Vérification 2 5 2 3 4 3 3" xfId="15867"/>
    <cellStyle name="Vérification 2 5 2 3 4 3 4" xfId="32088"/>
    <cellStyle name="Vérification 2 5 2 3 4 4" xfId="19530"/>
    <cellStyle name="Vérification 2 5 2 3 4 4 2" xfId="33644"/>
    <cellStyle name="Vérification 2 5 2 3 4 5" xfId="11844"/>
    <cellStyle name="Vérification 2 5 2 3 4 6" xfId="28065"/>
    <cellStyle name="Vérification 2 5 2 3 5" xfId="3714"/>
    <cellStyle name="Vérification 2 5 2 3 5 2" xfId="8597"/>
    <cellStyle name="Vérification 2 5 2 3 5 2 2" xfId="24821"/>
    <cellStyle name="Vérification 2 5 2 3 5 2 2 2" xfId="36828"/>
    <cellStyle name="Vérification 2 5 2 3 5 2 3" xfId="14604"/>
    <cellStyle name="Vérification 2 5 2 3 5 2 4" xfId="30825"/>
    <cellStyle name="Vérification 2 5 2 3 5 3" xfId="19942"/>
    <cellStyle name="Vérification 2 5 2 3 5 3 2" xfId="34056"/>
    <cellStyle name="Vérification 2 5 2 3 5 4" xfId="12152"/>
    <cellStyle name="Vérification 2 5 2 3 5 5" xfId="28373"/>
    <cellStyle name="Vérification 2 5 2 3 6" xfId="3710"/>
    <cellStyle name="Vérification 2 5 2 3 6 2" xfId="19938"/>
    <cellStyle name="Vérification 2 5 2 3 6 2 2" xfId="34052"/>
    <cellStyle name="Vérification 2 5 2 3 6 3" xfId="12357"/>
    <cellStyle name="Vérification 2 5 2 3 6 4" xfId="28578"/>
    <cellStyle name="Vérification 2 5 2 3 7" xfId="17279"/>
    <cellStyle name="Vérification 2 5 2 3 7 2" xfId="32755"/>
    <cellStyle name="Vérification 2 5 2 3 8" xfId="10527"/>
    <cellStyle name="Vérification 2 5 2 3 9" xfId="26752"/>
    <cellStyle name="Vérification 2 5 2 4" xfId="2657"/>
    <cellStyle name="Vérification 2 5 2 4 2" xfId="6345"/>
    <cellStyle name="Vérification 2 5 2 4 2 2" xfId="8726"/>
    <cellStyle name="Vérification 2 5 2 4 2 2 2" xfId="24950"/>
    <cellStyle name="Vérification 2 5 2 4 2 2 2 2" xfId="36957"/>
    <cellStyle name="Vérification 2 5 2 4 2 2 3" xfId="14733"/>
    <cellStyle name="Vérification 2 5 2 4 2 2 4" xfId="30954"/>
    <cellStyle name="Vérification 2 5 2 4 2 3" xfId="10104"/>
    <cellStyle name="Vérification 2 5 2 4 2 3 2" xfId="26328"/>
    <cellStyle name="Vérification 2 5 2 4 2 3 2 2" xfId="38335"/>
    <cellStyle name="Vérification 2 5 2 4 2 3 3" xfId="16111"/>
    <cellStyle name="Vérification 2 5 2 4 2 3 4" xfId="32332"/>
    <cellStyle name="Vérification 2 5 2 4 2 4" xfId="22569"/>
    <cellStyle name="Vérification 2 5 2 4 2 4 2" xfId="34576"/>
    <cellStyle name="Vérification 2 5 2 4 2 5" xfId="12430"/>
    <cellStyle name="Vérification 2 5 2 4 2 6" xfId="28651"/>
    <cellStyle name="Vérification 2 5 2 4 3" xfId="7393"/>
    <cellStyle name="Vérification 2 5 2 4 3 2" xfId="9437"/>
    <cellStyle name="Vérification 2 5 2 4 3 2 2" xfId="25661"/>
    <cellStyle name="Vérification 2 5 2 4 3 2 2 2" xfId="37668"/>
    <cellStyle name="Vérification 2 5 2 4 3 2 3" xfId="15444"/>
    <cellStyle name="Vérification 2 5 2 4 3 2 4" xfId="31665"/>
    <cellStyle name="Vérification 2 5 2 4 3 3" xfId="23617"/>
    <cellStyle name="Vérification 2 5 2 4 3 3 2" xfId="35624"/>
    <cellStyle name="Vérification 2 5 2 4 3 4" xfId="13141"/>
    <cellStyle name="Vérification 2 5 2 4 3 5" xfId="29362"/>
    <cellStyle name="Vérification 2 5 2 4 4" xfId="7770"/>
    <cellStyle name="Vérification 2 5 2 4 4 2" xfId="23994"/>
    <cellStyle name="Vérification 2 5 2 4 4 2 2" xfId="36001"/>
    <cellStyle name="Vérification 2 5 2 4 4 3" xfId="13777"/>
    <cellStyle name="Vérification 2 5 2 4 4 4" xfId="29998"/>
    <cellStyle name="Vérification 2 5 2 4 5" xfId="18885"/>
    <cellStyle name="Vérification 2 5 2 4 5 2" xfId="32999"/>
    <cellStyle name="Vérification 2 5 2 4 6" xfId="11126"/>
    <cellStyle name="Vérification 2 5 2 4 7" xfId="27347"/>
    <cellStyle name="Vérification 2 5 2 5" xfId="4162"/>
    <cellStyle name="Vérification 2 5 2 5 2" xfId="6800"/>
    <cellStyle name="Vérification 2 5 2 5 2 2" xfId="9104"/>
    <cellStyle name="Vérification 2 5 2 5 2 2 2" xfId="25328"/>
    <cellStyle name="Vérification 2 5 2 5 2 2 2 2" xfId="37335"/>
    <cellStyle name="Vérification 2 5 2 5 2 2 3" xfId="15111"/>
    <cellStyle name="Vérification 2 5 2 5 2 2 4" xfId="31332"/>
    <cellStyle name="Vérification 2 5 2 5 2 3" xfId="23024"/>
    <cellStyle name="Vérification 2 5 2 5 2 3 2" xfId="35031"/>
    <cellStyle name="Vérification 2 5 2 5 2 4" xfId="12808"/>
    <cellStyle name="Vérification 2 5 2 5 2 5" xfId="29029"/>
    <cellStyle name="Vérification 2 5 2 5 3" xfId="7194"/>
    <cellStyle name="Vérification 2 5 2 5 3 2" xfId="23418"/>
    <cellStyle name="Vérification 2 5 2 5 3 2 2" xfId="35425"/>
    <cellStyle name="Vérification 2 5 2 5 3 3" xfId="13578"/>
    <cellStyle name="Vérification 2 5 2 5 3 4" xfId="29799"/>
    <cellStyle name="Vérification 2 5 2 5 4" xfId="20388"/>
    <cellStyle name="Vérification 2 5 2 5 4 2" xfId="34243"/>
    <cellStyle name="Vérification 2 5 2 5 5" xfId="10783"/>
    <cellStyle name="Vérification 2 5 2 5 6" xfId="27006"/>
    <cellStyle name="Vérification 2 5 2 6" xfId="3080"/>
    <cellStyle name="Vérification 2 5 2 6 2" xfId="8140"/>
    <cellStyle name="Vérification 2 5 2 6 2 2" xfId="24364"/>
    <cellStyle name="Vérification 2 5 2 6 2 2 2" xfId="36371"/>
    <cellStyle name="Vérification 2 5 2 6 2 3" xfId="14147"/>
    <cellStyle name="Vérification 2 5 2 6 2 4" xfId="30368"/>
    <cellStyle name="Vérification 2 5 2 6 3" xfId="9771"/>
    <cellStyle name="Vérification 2 5 2 6 3 2" xfId="25995"/>
    <cellStyle name="Vérification 2 5 2 6 3 2 2" xfId="38002"/>
    <cellStyle name="Vérification 2 5 2 6 3 3" xfId="15778"/>
    <cellStyle name="Vérification 2 5 2 6 3 4" xfId="31999"/>
    <cellStyle name="Vérification 2 5 2 6 4" xfId="19308"/>
    <cellStyle name="Vérification 2 5 2 6 4 2" xfId="33422"/>
    <cellStyle name="Vérification 2 5 2 6 5" xfId="11695"/>
    <cellStyle name="Vérification 2 5 2 6 6" xfId="27916"/>
    <cellStyle name="Vérification 2 5 2 7" xfId="3827"/>
    <cellStyle name="Vérification 2 5 2 7 2" xfId="8656"/>
    <cellStyle name="Vérification 2 5 2 7 2 2" xfId="24880"/>
    <cellStyle name="Vérification 2 5 2 7 2 2 2" xfId="36887"/>
    <cellStyle name="Vérification 2 5 2 7 2 3" xfId="14663"/>
    <cellStyle name="Vérification 2 5 2 7 2 4" xfId="30884"/>
    <cellStyle name="Vérification 2 5 2 7 3" xfId="20055"/>
    <cellStyle name="Vérification 2 5 2 7 3 2" xfId="34169"/>
    <cellStyle name="Vérification 2 5 2 7 4" xfId="12211"/>
    <cellStyle name="Vérification 2 5 2 7 5" xfId="28432"/>
    <cellStyle name="Vérification 2 5 2 8" xfId="7236"/>
    <cellStyle name="Vérification 2 5 2 8 2" xfId="23460"/>
    <cellStyle name="Vérification 2 5 2 8 2 2" xfId="35467"/>
    <cellStyle name="Vérification 2 5 2 8 3" xfId="13620"/>
    <cellStyle name="Vérification 2 5 2 8 4" xfId="29841"/>
    <cellStyle name="Vérification 2 5 2 9" xfId="16704"/>
    <cellStyle name="Vérification 2 5 2 9 2" xfId="32666"/>
    <cellStyle name="Vérification 2 5 3" xfId="512"/>
    <cellStyle name="Vérification 2 5 3 10" xfId="10459"/>
    <cellStyle name="Vérification 2 5 3 11" xfId="26684"/>
    <cellStyle name="Vérification 2 5 3 2" xfId="1378"/>
    <cellStyle name="Vérification 2 5 3 2 2" xfId="2856"/>
    <cellStyle name="Vérification 2 5 3 2 2 2" xfId="6544"/>
    <cellStyle name="Vérification 2 5 3 2 2 2 2" xfId="8925"/>
    <cellStyle name="Vérification 2 5 3 2 2 2 2 2" xfId="25149"/>
    <cellStyle name="Vérification 2 5 3 2 2 2 2 2 2" xfId="37156"/>
    <cellStyle name="Vérification 2 5 3 2 2 2 2 3" xfId="14932"/>
    <cellStyle name="Vérification 2 5 3 2 2 2 2 4" xfId="31153"/>
    <cellStyle name="Vérification 2 5 3 2 2 2 3" xfId="10303"/>
    <cellStyle name="Vérification 2 5 3 2 2 2 3 2" xfId="26527"/>
    <cellStyle name="Vérification 2 5 3 2 2 2 3 2 2" xfId="38534"/>
    <cellStyle name="Vérification 2 5 3 2 2 2 3 3" xfId="16310"/>
    <cellStyle name="Vérification 2 5 3 2 2 2 3 4" xfId="32531"/>
    <cellStyle name="Vérification 2 5 3 2 2 2 4" xfId="22768"/>
    <cellStyle name="Vérification 2 5 3 2 2 2 4 2" xfId="34775"/>
    <cellStyle name="Vérification 2 5 3 2 2 2 5" xfId="12629"/>
    <cellStyle name="Vérification 2 5 3 2 2 2 6" xfId="28850"/>
    <cellStyle name="Vérification 2 5 3 2 2 3" xfId="7592"/>
    <cellStyle name="Vérification 2 5 3 2 2 3 2" xfId="9636"/>
    <cellStyle name="Vérification 2 5 3 2 2 3 2 2" xfId="25860"/>
    <cellStyle name="Vérification 2 5 3 2 2 3 2 2 2" xfId="37867"/>
    <cellStyle name="Vérification 2 5 3 2 2 3 2 3" xfId="15643"/>
    <cellStyle name="Vérification 2 5 3 2 2 3 2 4" xfId="31864"/>
    <cellStyle name="Vérification 2 5 3 2 2 3 3" xfId="23816"/>
    <cellStyle name="Vérification 2 5 3 2 2 3 3 2" xfId="35823"/>
    <cellStyle name="Vérification 2 5 3 2 2 3 4" xfId="13340"/>
    <cellStyle name="Vérification 2 5 3 2 2 3 5" xfId="29561"/>
    <cellStyle name="Vérification 2 5 3 2 2 4" xfId="7969"/>
    <cellStyle name="Vérification 2 5 3 2 2 4 2" xfId="24193"/>
    <cellStyle name="Vérification 2 5 3 2 2 4 2 2" xfId="36200"/>
    <cellStyle name="Vérification 2 5 3 2 2 4 3" xfId="13976"/>
    <cellStyle name="Vérification 2 5 3 2 2 4 4" xfId="30197"/>
    <cellStyle name="Vérification 2 5 3 2 2 5" xfId="19084"/>
    <cellStyle name="Vérification 2 5 3 2 2 5 2" xfId="33198"/>
    <cellStyle name="Vérification 2 5 3 2 2 6" xfId="11325"/>
    <cellStyle name="Vérification 2 5 3 2 2 7" xfId="27546"/>
    <cellStyle name="Vérification 2 5 3 2 3" xfId="5075"/>
    <cellStyle name="Vérification 2 5 3 2 3 2" xfId="7102"/>
    <cellStyle name="Vérification 2 5 3 2 3 2 2" xfId="9303"/>
    <cellStyle name="Vérification 2 5 3 2 3 2 2 2" xfId="25527"/>
    <cellStyle name="Vérification 2 5 3 2 3 2 2 2 2" xfId="37534"/>
    <cellStyle name="Vérification 2 5 3 2 3 2 2 3" xfId="15310"/>
    <cellStyle name="Vérification 2 5 3 2 3 2 2 4" xfId="31531"/>
    <cellStyle name="Vérification 2 5 3 2 3 2 3" xfId="23326"/>
    <cellStyle name="Vérification 2 5 3 2 3 2 3 2" xfId="35333"/>
    <cellStyle name="Vérification 2 5 3 2 3 2 4" xfId="13007"/>
    <cellStyle name="Vérification 2 5 3 2 3 2 5" xfId="29228"/>
    <cellStyle name="Vérification 2 5 3 2 3 3" xfId="6741"/>
    <cellStyle name="Vérification 2 5 3 2 3 3 2" xfId="22965"/>
    <cellStyle name="Vérification 2 5 3 2 3 3 2 2" xfId="34972"/>
    <cellStyle name="Vérification 2 5 3 2 3 3 3" xfId="12250"/>
    <cellStyle name="Vérification 2 5 3 2 3 3 4" xfId="28471"/>
    <cellStyle name="Vérification 2 5 3 2 3 4" xfId="21301"/>
    <cellStyle name="Vérification 2 5 3 2 3 4 2" xfId="34442"/>
    <cellStyle name="Vérification 2 5 3 2 3 5" xfId="10989"/>
    <cellStyle name="Vérification 2 5 3 2 3 6" xfId="27212"/>
    <cellStyle name="Vérification 2 5 3 2 4" xfId="3466"/>
    <cellStyle name="Vérification 2 5 3 2 4 2" xfId="8433"/>
    <cellStyle name="Vérification 2 5 3 2 4 2 2" xfId="24657"/>
    <cellStyle name="Vérification 2 5 3 2 4 2 2 2" xfId="36664"/>
    <cellStyle name="Vérification 2 5 3 2 4 2 3" xfId="14440"/>
    <cellStyle name="Vérification 2 5 3 2 4 2 4" xfId="30661"/>
    <cellStyle name="Vérification 2 5 3 2 4 3" xfId="9970"/>
    <cellStyle name="Vérification 2 5 3 2 4 3 2" xfId="26194"/>
    <cellStyle name="Vérification 2 5 3 2 4 3 2 2" xfId="38201"/>
    <cellStyle name="Vérification 2 5 3 2 4 3 3" xfId="15977"/>
    <cellStyle name="Vérification 2 5 3 2 4 3 4" xfId="32198"/>
    <cellStyle name="Vérification 2 5 3 2 4 4" xfId="19694"/>
    <cellStyle name="Vérification 2 5 3 2 4 4 2" xfId="33808"/>
    <cellStyle name="Vérification 2 5 3 2 4 5" xfId="11988"/>
    <cellStyle name="Vérification 2 5 3 2 4 6" xfId="28209"/>
    <cellStyle name="Vérification 2 5 3 2 5" xfId="3722"/>
    <cellStyle name="Vérification 2 5 3 2 5 2" xfId="8600"/>
    <cellStyle name="Vérification 2 5 3 2 5 2 2" xfId="24824"/>
    <cellStyle name="Vérification 2 5 3 2 5 2 2 2" xfId="36831"/>
    <cellStyle name="Vérification 2 5 3 2 5 2 3" xfId="14607"/>
    <cellStyle name="Vérification 2 5 3 2 5 2 4" xfId="30828"/>
    <cellStyle name="Vérification 2 5 3 2 5 3" xfId="19950"/>
    <cellStyle name="Vérification 2 5 3 2 5 3 2" xfId="34064"/>
    <cellStyle name="Vérification 2 5 3 2 5 4" xfId="12155"/>
    <cellStyle name="Vérification 2 5 3 2 5 5" xfId="28376"/>
    <cellStyle name="Vérification 2 5 3 2 6" xfId="6947"/>
    <cellStyle name="Vérification 2 5 3 2 6 2" xfId="23171"/>
    <cellStyle name="Vérification 2 5 3 2 6 2 2" xfId="35178"/>
    <cellStyle name="Vérification 2 5 3 2 6 3" xfId="12363"/>
    <cellStyle name="Vérification 2 5 3 2 6 4" xfId="28584"/>
    <cellStyle name="Vérification 2 5 3 2 7" xfId="17617"/>
    <cellStyle name="Vérification 2 5 3 2 7 2" xfId="32865"/>
    <cellStyle name="Vérification 2 5 3 2 8" xfId="10637"/>
    <cellStyle name="Vérification 2 5 3 2 9" xfId="26862"/>
    <cellStyle name="Vérification 2 5 3 3" xfId="1127"/>
    <cellStyle name="Vérification 2 5 3 3 2" xfId="2767"/>
    <cellStyle name="Vérification 2 5 3 3 2 2" xfId="6455"/>
    <cellStyle name="Vérification 2 5 3 3 2 2 2" xfId="8836"/>
    <cellStyle name="Vérification 2 5 3 3 2 2 2 2" xfId="25060"/>
    <cellStyle name="Vérification 2 5 3 3 2 2 2 2 2" xfId="37067"/>
    <cellStyle name="Vérification 2 5 3 3 2 2 2 3" xfId="14843"/>
    <cellStyle name="Vérification 2 5 3 3 2 2 2 4" xfId="31064"/>
    <cellStyle name="Vérification 2 5 3 3 2 2 3" xfId="10214"/>
    <cellStyle name="Vérification 2 5 3 3 2 2 3 2" xfId="26438"/>
    <cellStyle name="Vérification 2 5 3 3 2 2 3 2 2" xfId="38445"/>
    <cellStyle name="Vérification 2 5 3 3 2 2 3 3" xfId="16221"/>
    <cellStyle name="Vérification 2 5 3 3 2 2 3 4" xfId="32442"/>
    <cellStyle name="Vérification 2 5 3 3 2 2 4" xfId="22679"/>
    <cellStyle name="Vérification 2 5 3 3 2 2 4 2" xfId="34686"/>
    <cellStyle name="Vérification 2 5 3 3 2 2 5" xfId="12540"/>
    <cellStyle name="Vérification 2 5 3 3 2 2 6" xfId="28761"/>
    <cellStyle name="Vérification 2 5 3 3 2 3" xfId="7503"/>
    <cellStyle name="Vérification 2 5 3 3 2 3 2" xfId="9547"/>
    <cellStyle name="Vérification 2 5 3 3 2 3 2 2" xfId="25771"/>
    <cellStyle name="Vérification 2 5 3 3 2 3 2 2 2" xfId="37778"/>
    <cellStyle name="Vérification 2 5 3 3 2 3 2 3" xfId="15554"/>
    <cellStyle name="Vérification 2 5 3 3 2 3 2 4" xfId="31775"/>
    <cellStyle name="Vérification 2 5 3 3 2 3 3" xfId="23727"/>
    <cellStyle name="Vérification 2 5 3 3 2 3 3 2" xfId="35734"/>
    <cellStyle name="Vérification 2 5 3 3 2 3 4" xfId="13251"/>
    <cellStyle name="Vérification 2 5 3 3 2 3 5" xfId="29472"/>
    <cellStyle name="Vérification 2 5 3 3 2 4" xfId="7880"/>
    <cellStyle name="Vérification 2 5 3 3 2 4 2" xfId="24104"/>
    <cellStyle name="Vérification 2 5 3 3 2 4 2 2" xfId="36111"/>
    <cellStyle name="Vérification 2 5 3 3 2 4 3" xfId="13887"/>
    <cellStyle name="Vérification 2 5 3 3 2 4 4" xfId="30108"/>
    <cellStyle name="Vérification 2 5 3 3 2 5" xfId="18995"/>
    <cellStyle name="Vérification 2 5 3 3 2 5 2" xfId="33109"/>
    <cellStyle name="Vérification 2 5 3 3 2 6" xfId="11236"/>
    <cellStyle name="Vérification 2 5 3 3 2 7" xfId="27457"/>
    <cellStyle name="Vérification 2 5 3 3 3" xfId="4824"/>
    <cellStyle name="Vérification 2 5 3 3 3 2" xfId="6994"/>
    <cellStyle name="Vérification 2 5 3 3 3 2 2" xfId="9214"/>
    <cellStyle name="Vérification 2 5 3 3 3 2 2 2" xfId="25438"/>
    <cellStyle name="Vérification 2 5 3 3 3 2 2 2 2" xfId="37445"/>
    <cellStyle name="Vérification 2 5 3 3 3 2 2 3" xfId="15221"/>
    <cellStyle name="Vérification 2 5 3 3 3 2 2 4" xfId="31442"/>
    <cellStyle name="Vérification 2 5 3 3 3 2 3" xfId="23218"/>
    <cellStyle name="Vérification 2 5 3 3 3 2 3 2" xfId="35225"/>
    <cellStyle name="Vérification 2 5 3 3 3 2 4" xfId="12918"/>
    <cellStyle name="Vérification 2 5 3 3 3 2 5" xfId="29139"/>
    <cellStyle name="Vérification 2 5 3 3 3 3" xfId="7174"/>
    <cellStyle name="Vérification 2 5 3 3 3 3 2" xfId="23398"/>
    <cellStyle name="Vérification 2 5 3 3 3 3 2 2" xfId="35405"/>
    <cellStyle name="Vérification 2 5 3 3 3 3 3" xfId="13558"/>
    <cellStyle name="Vérification 2 5 3 3 3 3 4" xfId="29779"/>
    <cellStyle name="Vérification 2 5 3 3 3 4" xfId="21050"/>
    <cellStyle name="Vérification 2 5 3 3 3 4 2" xfId="34353"/>
    <cellStyle name="Vérification 2 5 3 3 3 5" xfId="10900"/>
    <cellStyle name="Vérification 2 5 3 3 3 6" xfId="27123"/>
    <cellStyle name="Vérification 2 5 3 3 4" xfId="3338"/>
    <cellStyle name="Vérification 2 5 3 3 4 2" xfId="8321"/>
    <cellStyle name="Vérification 2 5 3 3 4 2 2" xfId="24545"/>
    <cellStyle name="Vérification 2 5 3 3 4 2 2 2" xfId="36552"/>
    <cellStyle name="Vérification 2 5 3 3 4 2 3" xfId="14328"/>
    <cellStyle name="Vérification 2 5 3 3 4 2 4" xfId="30549"/>
    <cellStyle name="Vérification 2 5 3 3 4 3" xfId="9881"/>
    <cellStyle name="Vérification 2 5 3 3 4 3 2" xfId="26105"/>
    <cellStyle name="Vérification 2 5 3 3 4 3 2 2" xfId="38112"/>
    <cellStyle name="Vérification 2 5 3 3 4 3 3" xfId="15888"/>
    <cellStyle name="Vérification 2 5 3 3 4 3 4" xfId="32109"/>
    <cellStyle name="Vérification 2 5 3 3 4 4" xfId="19566"/>
    <cellStyle name="Vérification 2 5 3 3 4 4 2" xfId="33680"/>
    <cellStyle name="Vérification 2 5 3 3 4 5" xfId="11876"/>
    <cellStyle name="Vérification 2 5 3 3 4 6" xfId="28097"/>
    <cellStyle name="Vérification 2 5 3 3 5" xfId="3825"/>
    <cellStyle name="Vérification 2 5 3 3 5 2" xfId="8655"/>
    <cellStyle name="Vérification 2 5 3 3 5 2 2" xfId="24879"/>
    <cellStyle name="Vérification 2 5 3 3 5 2 2 2" xfId="36886"/>
    <cellStyle name="Vérification 2 5 3 3 5 2 3" xfId="14662"/>
    <cellStyle name="Vérification 2 5 3 3 5 2 4" xfId="30883"/>
    <cellStyle name="Vérification 2 5 3 3 5 3" xfId="20053"/>
    <cellStyle name="Vérification 2 5 3 3 5 3 2" xfId="34167"/>
    <cellStyle name="Vérification 2 5 3 3 5 4" xfId="12210"/>
    <cellStyle name="Vérification 2 5 3 3 5 5" xfId="28431"/>
    <cellStyle name="Vérification 2 5 3 3 6" xfId="7171"/>
    <cellStyle name="Vérification 2 5 3 3 6 2" xfId="23395"/>
    <cellStyle name="Vérification 2 5 3 3 6 2 2" xfId="35402"/>
    <cellStyle name="Vérification 2 5 3 3 6 3" xfId="13555"/>
    <cellStyle name="Vérification 2 5 3 3 6 4" xfId="29776"/>
    <cellStyle name="Vérification 2 5 3 3 7" xfId="17366"/>
    <cellStyle name="Vérification 2 5 3 3 7 2" xfId="32776"/>
    <cellStyle name="Vérification 2 5 3 3 8" xfId="10548"/>
    <cellStyle name="Vérification 2 5 3 3 9" xfId="26773"/>
    <cellStyle name="Vérification 2 5 3 4" xfId="2678"/>
    <cellStyle name="Vérification 2 5 3 4 2" xfId="6366"/>
    <cellStyle name="Vérification 2 5 3 4 2 2" xfId="8747"/>
    <cellStyle name="Vérification 2 5 3 4 2 2 2" xfId="24971"/>
    <cellStyle name="Vérification 2 5 3 4 2 2 2 2" xfId="36978"/>
    <cellStyle name="Vérification 2 5 3 4 2 2 3" xfId="14754"/>
    <cellStyle name="Vérification 2 5 3 4 2 2 4" xfId="30975"/>
    <cellStyle name="Vérification 2 5 3 4 2 3" xfId="10125"/>
    <cellStyle name="Vérification 2 5 3 4 2 3 2" xfId="26349"/>
    <cellStyle name="Vérification 2 5 3 4 2 3 2 2" xfId="38356"/>
    <cellStyle name="Vérification 2 5 3 4 2 3 3" xfId="16132"/>
    <cellStyle name="Vérification 2 5 3 4 2 3 4" xfId="32353"/>
    <cellStyle name="Vérification 2 5 3 4 2 4" xfId="22590"/>
    <cellStyle name="Vérification 2 5 3 4 2 4 2" xfId="34597"/>
    <cellStyle name="Vérification 2 5 3 4 2 5" xfId="12451"/>
    <cellStyle name="Vérification 2 5 3 4 2 6" xfId="28672"/>
    <cellStyle name="Vérification 2 5 3 4 3" xfId="7414"/>
    <cellStyle name="Vérification 2 5 3 4 3 2" xfId="9458"/>
    <cellStyle name="Vérification 2 5 3 4 3 2 2" xfId="25682"/>
    <cellStyle name="Vérification 2 5 3 4 3 2 2 2" xfId="37689"/>
    <cellStyle name="Vérification 2 5 3 4 3 2 3" xfId="15465"/>
    <cellStyle name="Vérification 2 5 3 4 3 2 4" xfId="31686"/>
    <cellStyle name="Vérification 2 5 3 4 3 3" xfId="23638"/>
    <cellStyle name="Vérification 2 5 3 4 3 3 2" xfId="35645"/>
    <cellStyle name="Vérification 2 5 3 4 3 4" xfId="13162"/>
    <cellStyle name="Vérification 2 5 3 4 3 5" xfId="29383"/>
    <cellStyle name="Vérification 2 5 3 4 4" xfId="7791"/>
    <cellStyle name="Vérification 2 5 3 4 4 2" xfId="24015"/>
    <cellStyle name="Vérification 2 5 3 4 4 2 2" xfId="36022"/>
    <cellStyle name="Vérification 2 5 3 4 4 3" xfId="13798"/>
    <cellStyle name="Vérification 2 5 3 4 4 4" xfId="30019"/>
    <cellStyle name="Vérification 2 5 3 4 5" xfId="18906"/>
    <cellStyle name="Vérification 2 5 3 4 5 2" xfId="33020"/>
    <cellStyle name="Vérification 2 5 3 4 6" xfId="11147"/>
    <cellStyle name="Vérification 2 5 3 4 7" xfId="27368"/>
    <cellStyle name="Vérification 2 5 3 5" xfId="4249"/>
    <cellStyle name="Vérification 2 5 3 5 2" xfId="6829"/>
    <cellStyle name="Vérification 2 5 3 5 2 2" xfId="9125"/>
    <cellStyle name="Vérification 2 5 3 5 2 2 2" xfId="25349"/>
    <cellStyle name="Vérification 2 5 3 5 2 2 2 2" xfId="37356"/>
    <cellStyle name="Vérification 2 5 3 5 2 2 3" xfId="15132"/>
    <cellStyle name="Vérification 2 5 3 5 2 2 4" xfId="31353"/>
    <cellStyle name="Vérification 2 5 3 5 2 3" xfId="23053"/>
    <cellStyle name="Vérification 2 5 3 5 2 3 2" xfId="35060"/>
    <cellStyle name="Vérification 2 5 3 5 2 4" xfId="12829"/>
    <cellStyle name="Vérification 2 5 3 5 2 5" xfId="29050"/>
    <cellStyle name="Vérification 2 5 3 5 3" xfId="7230"/>
    <cellStyle name="Vérification 2 5 3 5 3 2" xfId="23454"/>
    <cellStyle name="Vérification 2 5 3 5 3 2 2" xfId="35461"/>
    <cellStyle name="Vérification 2 5 3 5 3 3" xfId="13614"/>
    <cellStyle name="Vérification 2 5 3 5 3 4" xfId="29835"/>
    <cellStyle name="Vérification 2 5 3 5 4" xfId="20475"/>
    <cellStyle name="Vérification 2 5 3 5 4 2" xfId="34264"/>
    <cellStyle name="Vérification 2 5 3 5 5" xfId="10804"/>
    <cellStyle name="Vérification 2 5 3 5 6" xfId="27027"/>
    <cellStyle name="Vérification 2 5 3 6" xfId="3117"/>
    <cellStyle name="Vérification 2 5 3 6 2" xfId="8169"/>
    <cellStyle name="Vérification 2 5 3 6 2 2" xfId="24393"/>
    <cellStyle name="Vérification 2 5 3 6 2 2 2" xfId="36400"/>
    <cellStyle name="Vérification 2 5 3 6 2 3" xfId="14176"/>
    <cellStyle name="Vérification 2 5 3 6 2 4" xfId="30397"/>
    <cellStyle name="Vérification 2 5 3 6 3" xfId="9792"/>
    <cellStyle name="Vérification 2 5 3 6 3 2" xfId="26016"/>
    <cellStyle name="Vérification 2 5 3 6 3 2 2" xfId="38023"/>
    <cellStyle name="Vérification 2 5 3 6 3 3" xfId="15799"/>
    <cellStyle name="Vérification 2 5 3 6 3 4" xfId="32020"/>
    <cellStyle name="Vérification 2 5 3 6 4" xfId="19345"/>
    <cellStyle name="Vérification 2 5 3 6 4 2" xfId="33459"/>
    <cellStyle name="Vérification 2 5 3 6 5" xfId="11724"/>
    <cellStyle name="Vérification 2 5 3 6 6" xfId="27945"/>
    <cellStyle name="Vérification 2 5 3 7" xfId="3036"/>
    <cellStyle name="Vérification 2 5 3 7 2" xfId="8113"/>
    <cellStyle name="Vérification 2 5 3 7 2 2" xfId="24337"/>
    <cellStyle name="Vérification 2 5 3 7 2 2 2" xfId="36344"/>
    <cellStyle name="Vérification 2 5 3 7 2 3" xfId="14120"/>
    <cellStyle name="Vérification 2 5 3 7 2 4" xfId="30341"/>
    <cellStyle name="Vérification 2 5 3 7 3" xfId="19264"/>
    <cellStyle name="Vérification 2 5 3 7 3 2" xfId="33378"/>
    <cellStyle name="Vérification 2 5 3 7 4" xfId="11668"/>
    <cellStyle name="Vérification 2 5 3 7 5" xfId="27889"/>
    <cellStyle name="Vérification 2 5 3 8" xfId="2964"/>
    <cellStyle name="Vérification 2 5 3 8 2" xfId="19192"/>
    <cellStyle name="Vérification 2 5 3 8 2 2" xfId="33306"/>
    <cellStyle name="Vérification 2 5 3 8 3" xfId="10743"/>
    <cellStyle name="Vérification 2 5 3 8 4" xfId="26966"/>
    <cellStyle name="Vérification 2 5 3 9" xfId="16791"/>
    <cellStyle name="Vérification 2 5 3 9 2" xfId="32687"/>
    <cellStyle name="Vérification 2 5 4" xfId="649"/>
    <cellStyle name="Vérification 2 5 4 10" xfId="10482"/>
    <cellStyle name="Vérification 2 5 4 11" xfId="26707"/>
    <cellStyle name="Vérification 2 5 4 2" xfId="1401"/>
    <cellStyle name="Vérification 2 5 4 2 2" xfId="2879"/>
    <cellStyle name="Vérification 2 5 4 2 2 2" xfId="6567"/>
    <cellStyle name="Vérification 2 5 4 2 2 2 2" xfId="8948"/>
    <cellStyle name="Vérification 2 5 4 2 2 2 2 2" xfId="25172"/>
    <cellStyle name="Vérification 2 5 4 2 2 2 2 2 2" xfId="37179"/>
    <cellStyle name="Vérification 2 5 4 2 2 2 2 3" xfId="14955"/>
    <cellStyle name="Vérification 2 5 4 2 2 2 2 4" xfId="31176"/>
    <cellStyle name="Vérification 2 5 4 2 2 2 3" xfId="10326"/>
    <cellStyle name="Vérification 2 5 4 2 2 2 3 2" xfId="26550"/>
    <cellStyle name="Vérification 2 5 4 2 2 2 3 2 2" xfId="38557"/>
    <cellStyle name="Vérification 2 5 4 2 2 2 3 3" xfId="16333"/>
    <cellStyle name="Vérification 2 5 4 2 2 2 3 4" xfId="32554"/>
    <cellStyle name="Vérification 2 5 4 2 2 2 4" xfId="22791"/>
    <cellStyle name="Vérification 2 5 4 2 2 2 4 2" xfId="34798"/>
    <cellStyle name="Vérification 2 5 4 2 2 2 5" xfId="12652"/>
    <cellStyle name="Vérification 2 5 4 2 2 2 6" xfId="28873"/>
    <cellStyle name="Vérification 2 5 4 2 2 3" xfId="7615"/>
    <cellStyle name="Vérification 2 5 4 2 2 3 2" xfId="9659"/>
    <cellStyle name="Vérification 2 5 4 2 2 3 2 2" xfId="25883"/>
    <cellStyle name="Vérification 2 5 4 2 2 3 2 2 2" xfId="37890"/>
    <cellStyle name="Vérification 2 5 4 2 2 3 2 3" xfId="15666"/>
    <cellStyle name="Vérification 2 5 4 2 2 3 2 4" xfId="31887"/>
    <cellStyle name="Vérification 2 5 4 2 2 3 3" xfId="23839"/>
    <cellStyle name="Vérification 2 5 4 2 2 3 3 2" xfId="35846"/>
    <cellStyle name="Vérification 2 5 4 2 2 3 4" xfId="13363"/>
    <cellStyle name="Vérification 2 5 4 2 2 3 5" xfId="29584"/>
    <cellStyle name="Vérification 2 5 4 2 2 4" xfId="7992"/>
    <cellStyle name="Vérification 2 5 4 2 2 4 2" xfId="24216"/>
    <cellStyle name="Vérification 2 5 4 2 2 4 2 2" xfId="36223"/>
    <cellStyle name="Vérification 2 5 4 2 2 4 3" xfId="13999"/>
    <cellStyle name="Vérification 2 5 4 2 2 4 4" xfId="30220"/>
    <cellStyle name="Vérification 2 5 4 2 2 5" xfId="19107"/>
    <cellStyle name="Vérification 2 5 4 2 2 5 2" xfId="33221"/>
    <cellStyle name="Vérification 2 5 4 2 2 6" xfId="11348"/>
    <cellStyle name="Vérification 2 5 4 2 2 7" xfId="27569"/>
    <cellStyle name="Vérification 2 5 4 2 3" xfId="5098"/>
    <cellStyle name="Vérification 2 5 4 2 3 2" xfId="7125"/>
    <cellStyle name="Vérification 2 5 4 2 3 2 2" xfId="9326"/>
    <cellStyle name="Vérification 2 5 4 2 3 2 2 2" xfId="25550"/>
    <cellStyle name="Vérification 2 5 4 2 3 2 2 2 2" xfId="37557"/>
    <cellStyle name="Vérification 2 5 4 2 3 2 2 3" xfId="15333"/>
    <cellStyle name="Vérification 2 5 4 2 3 2 2 4" xfId="31554"/>
    <cellStyle name="Vérification 2 5 4 2 3 2 3" xfId="23349"/>
    <cellStyle name="Vérification 2 5 4 2 3 2 3 2" xfId="35356"/>
    <cellStyle name="Vérification 2 5 4 2 3 2 4" xfId="13030"/>
    <cellStyle name="Vérification 2 5 4 2 3 2 5" xfId="29251"/>
    <cellStyle name="Vérification 2 5 4 2 3 3" xfId="3361"/>
    <cellStyle name="Vérification 2 5 4 2 3 3 2" xfId="19589"/>
    <cellStyle name="Vérification 2 5 4 2 3 3 2 2" xfId="33703"/>
    <cellStyle name="Vérification 2 5 4 2 3 3 3" xfId="12362"/>
    <cellStyle name="Vérification 2 5 4 2 3 3 4" xfId="28583"/>
    <cellStyle name="Vérification 2 5 4 2 3 4" xfId="21324"/>
    <cellStyle name="Vérification 2 5 4 2 3 4 2" xfId="34465"/>
    <cellStyle name="Vérification 2 5 4 2 3 5" xfId="11012"/>
    <cellStyle name="Vérification 2 5 4 2 3 6" xfId="27235"/>
    <cellStyle name="Vérification 2 5 4 2 4" xfId="3489"/>
    <cellStyle name="Vérification 2 5 4 2 4 2" xfId="8456"/>
    <cellStyle name="Vérification 2 5 4 2 4 2 2" xfId="24680"/>
    <cellStyle name="Vérification 2 5 4 2 4 2 2 2" xfId="36687"/>
    <cellStyle name="Vérification 2 5 4 2 4 2 3" xfId="14463"/>
    <cellStyle name="Vérification 2 5 4 2 4 2 4" xfId="30684"/>
    <cellStyle name="Vérification 2 5 4 2 4 3" xfId="9993"/>
    <cellStyle name="Vérification 2 5 4 2 4 3 2" xfId="26217"/>
    <cellStyle name="Vérification 2 5 4 2 4 3 2 2" xfId="38224"/>
    <cellStyle name="Vérification 2 5 4 2 4 3 3" xfId="16000"/>
    <cellStyle name="Vérification 2 5 4 2 4 3 4" xfId="32221"/>
    <cellStyle name="Vérification 2 5 4 2 4 4" xfId="19717"/>
    <cellStyle name="Vérification 2 5 4 2 4 4 2" xfId="33831"/>
    <cellStyle name="Vérification 2 5 4 2 4 5" xfId="12011"/>
    <cellStyle name="Vérification 2 5 4 2 4 6" xfId="28232"/>
    <cellStyle name="Vérification 2 5 4 2 5" xfId="3387"/>
    <cellStyle name="Vérification 2 5 4 2 5 2" xfId="8360"/>
    <cellStyle name="Vérification 2 5 4 2 5 2 2" xfId="24584"/>
    <cellStyle name="Vérification 2 5 4 2 5 2 2 2" xfId="36591"/>
    <cellStyle name="Vérification 2 5 4 2 5 2 3" xfId="14367"/>
    <cellStyle name="Vérification 2 5 4 2 5 2 4" xfId="30588"/>
    <cellStyle name="Vérification 2 5 4 2 5 3" xfId="19615"/>
    <cellStyle name="Vérification 2 5 4 2 5 3 2" xfId="33729"/>
    <cellStyle name="Vérification 2 5 4 2 5 4" xfId="11915"/>
    <cellStyle name="Vérification 2 5 4 2 5 5" xfId="28136"/>
    <cellStyle name="Vérification 2 5 4 2 6" xfId="6778"/>
    <cellStyle name="Vérification 2 5 4 2 6 2" xfId="23002"/>
    <cellStyle name="Vérification 2 5 4 2 6 2 2" xfId="35009"/>
    <cellStyle name="Vérification 2 5 4 2 6 3" xfId="11437"/>
    <cellStyle name="Vérification 2 5 4 2 6 4" xfId="27658"/>
    <cellStyle name="Vérification 2 5 4 2 7" xfId="17640"/>
    <cellStyle name="Vérification 2 5 4 2 7 2" xfId="32888"/>
    <cellStyle name="Vérification 2 5 4 2 8" xfId="10660"/>
    <cellStyle name="Vérification 2 5 4 2 9" xfId="26885"/>
    <cellStyle name="Vérification 2 5 4 3" xfId="1246"/>
    <cellStyle name="Vérification 2 5 4 3 2" xfId="2790"/>
    <cellStyle name="Vérification 2 5 4 3 2 2" xfId="6478"/>
    <cellStyle name="Vérification 2 5 4 3 2 2 2" xfId="8859"/>
    <cellStyle name="Vérification 2 5 4 3 2 2 2 2" xfId="25083"/>
    <cellStyle name="Vérification 2 5 4 3 2 2 2 2 2" xfId="37090"/>
    <cellStyle name="Vérification 2 5 4 3 2 2 2 3" xfId="14866"/>
    <cellStyle name="Vérification 2 5 4 3 2 2 2 4" xfId="31087"/>
    <cellStyle name="Vérification 2 5 4 3 2 2 3" xfId="10237"/>
    <cellStyle name="Vérification 2 5 4 3 2 2 3 2" xfId="26461"/>
    <cellStyle name="Vérification 2 5 4 3 2 2 3 2 2" xfId="38468"/>
    <cellStyle name="Vérification 2 5 4 3 2 2 3 3" xfId="16244"/>
    <cellStyle name="Vérification 2 5 4 3 2 2 3 4" xfId="32465"/>
    <cellStyle name="Vérification 2 5 4 3 2 2 4" xfId="22702"/>
    <cellStyle name="Vérification 2 5 4 3 2 2 4 2" xfId="34709"/>
    <cellStyle name="Vérification 2 5 4 3 2 2 5" xfId="12563"/>
    <cellStyle name="Vérification 2 5 4 3 2 2 6" xfId="28784"/>
    <cellStyle name="Vérification 2 5 4 3 2 3" xfId="7526"/>
    <cellStyle name="Vérification 2 5 4 3 2 3 2" xfId="9570"/>
    <cellStyle name="Vérification 2 5 4 3 2 3 2 2" xfId="25794"/>
    <cellStyle name="Vérification 2 5 4 3 2 3 2 2 2" xfId="37801"/>
    <cellStyle name="Vérification 2 5 4 3 2 3 2 3" xfId="15577"/>
    <cellStyle name="Vérification 2 5 4 3 2 3 2 4" xfId="31798"/>
    <cellStyle name="Vérification 2 5 4 3 2 3 3" xfId="23750"/>
    <cellStyle name="Vérification 2 5 4 3 2 3 3 2" xfId="35757"/>
    <cellStyle name="Vérification 2 5 4 3 2 3 4" xfId="13274"/>
    <cellStyle name="Vérification 2 5 4 3 2 3 5" xfId="29495"/>
    <cellStyle name="Vérification 2 5 4 3 2 4" xfId="7903"/>
    <cellStyle name="Vérification 2 5 4 3 2 4 2" xfId="24127"/>
    <cellStyle name="Vérification 2 5 4 3 2 4 2 2" xfId="36134"/>
    <cellStyle name="Vérification 2 5 4 3 2 4 3" xfId="13910"/>
    <cellStyle name="Vérification 2 5 4 3 2 4 4" xfId="30131"/>
    <cellStyle name="Vérification 2 5 4 3 2 5" xfId="19018"/>
    <cellStyle name="Vérification 2 5 4 3 2 5 2" xfId="33132"/>
    <cellStyle name="Vérification 2 5 4 3 2 6" xfId="11259"/>
    <cellStyle name="Vérification 2 5 4 3 2 7" xfId="27480"/>
    <cellStyle name="Vérification 2 5 4 3 3" xfId="4943"/>
    <cellStyle name="Vérification 2 5 4 3 3 2" xfId="7029"/>
    <cellStyle name="Vérification 2 5 4 3 3 2 2" xfId="9237"/>
    <cellStyle name="Vérification 2 5 4 3 3 2 2 2" xfId="25461"/>
    <cellStyle name="Vérification 2 5 4 3 3 2 2 2 2" xfId="37468"/>
    <cellStyle name="Vérification 2 5 4 3 3 2 2 3" xfId="15244"/>
    <cellStyle name="Vérification 2 5 4 3 3 2 2 4" xfId="31465"/>
    <cellStyle name="Vérification 2 5 4 3 3 2 3" xfId="23253"/>
    <cellStyle name="Vérification 2 5 4 3 3 2 3 2" xfId="35260"/>
    <cellStyle name="Vérification 2 5 4 3 3 2 4" xfId="12941"/>
    <cellStyle name="Vérification 2 5 4 3 3 2 5" xfId="29162"/>
    <cellStyle name="Vérification 2 5 4 3 3 3" xfId="7181"/>
    <cellStyle name="Vérification 2 5 4 3 3 3 2" xfId="23405"/>
    <cellStyle name="Vérification 2 5 4 3 3 3 2 2" xfId="35412"/>
    <cellStyle name="Vérification 2 5 4 3 3 3 3" xfId="13565"/>
    <cellStyle name="Vérification 2 5 4 3 3 3 4" xfId="29786"/>
    <cellStyle name="Vérification 2 5 4 3 3 4" xfId="21169"/>
    <cellStyle name="Vérification 2 5 4 3 3 4 2" xfId="34376"/>
    <cellStyle name="Vérification 2 5 4 3 3 5" xfId="10923"/>
    <cellStyle name="Vérification 2 5 4 3 3 6" xfId="27146"/>
    <cellStyle name="Vérification 2 5 4 3 4" xfId="3383"/>
    <cellStyle name="Vérification 2 5 4 3 4 2" xfId="8358"/>
    <cellStyle name="Vérification 2 5 4 3 4 2 2" xfId="24582"/>
    <cellStyle name="Vérification 2 5 4 3 4 2 2 2" xfId="36589"/>
    <cellStyle name="Vérification 2 5 4 3 4 2 3" xfId="14365"/>
    <cellStyle name="Vérification 2 5 4 3 4 2 4" xfId="30586"/>
    <cellStyle name="Vérification 2 5 4 3 4 3" xfId="9904"/>
    <cellStyle name="Vérification 2 5 4 3 4 3 2" xfId="26128"/>
    <cellStyle name="Vérification 2 5 4 3 4 3 2 2" xfId="38135"/>
    <cellStyle name="Vérification 2 5 4 3 4 3 3" xfId="15911"/>
    <cellStyle name="Vérification 2 5 4 3 4 3 4" xfId="32132"/>
    <cellStyle name="Vérification 2 5 4 3 4 4" xfId="19611"/>
    <cellStyle name="Vérification 2 5 4 3 4 4 2" xfId="33725"/>
    <cellStyle name="Vérification 2 5 4 3 4 5" xfId="11913"/>
    <cellStyle name="Vérification 2 5 4 3 4 6" xfId="28134"/>
    <cellStyle name="Vérification 2 5 4 3 5" xfId="3753"/>
    <cellStyle name="Vérification 2 5 4 3 5 2" xfId="8614"/>
    <cellStyle name="Vérification 2 5 4 3 5 2 2" xfId="24838"/>
    <cellStyle name="Vérification 2 5 4 3 5 2 2 2" xfId="36845"/>
    <cellStyle name="Vérification 2 5 4 3 5 2 3" xfId="14621"/>
    <cellStyle name="Vérification 2 5 4 3 5 2 4" xfId="30842"/>
    <cellStyle name="Vérification 2 5 4 3 5 3" xfId="19981"/>
    <cellStyle name="Vérification 2 5 4 3 5 3 2" xfId="34095"/>
    <cellStyle name="Vérification 2 5 4 3 5 4" xfId="12169"/>
    <cellStyle name="Vérification 2 5 4 3 5 5" xfId="28390"/>
    <cellStyle name="Vérification 2 5 4 3 6" xfId="6772"/>
    <cellStyle name="Vérification 2 5 4 3 6 2" xfId="22996"/>
    <cellStyle name="Vérification 2 5 4 3 6 2 2" xfId="35003"/>
    <cellStyle name="Vérification 2 5 4 3 6 3" xfId="11486"/>
    <cellStyle name="Vérification 2 5 4 3 6 4" xfId="27707"/>
    <cellStyle name="Vérification 2 5 4 3 7" xfId="17485"/>
    <cellStyle name="Vérification 2 5 4 3 7 2" xfId="32799"/>
    <cellStyle name="Vérification 2 5 4 3 8" xfId="10571"/>
    <cellStyle name="Vérification 2 5 4 3 9" xfId="26796"/>
    <cellStyle name="Vérification 2 5 4 4" xfId="2701"/>
    <cellStyle name="Vérification 2 5 4 4 2" xfId="6389"/>
    <cellStyle name="Vérification 2 5 4 4 2 2" xfId="8770"/>
    <cellStyle name="Vérification 2 5 4 4 2 2 2" xfId="24994"/>
    <cellStyle name="Vérification 2 5 4 4 2 2 2 2" xfId="37001"/>
    <cellStyle name="Vérification 2 5 4 4 2 2 3" xfId="14777"/>
    <cellStyle name="Vérification 2 5 4 4 2 2 4" xfId="30998"/>
    <cellStyle name="Vérification 2 5 4 4 2 3" xfId="10148"/>
    <cellStyle name="Vérification 2 5 4 4 2 3 2" xfId="26372"/>
    <cellStyle name="Vérification 2 5 4 4 2 3 2 2" xfId="38379"/>
    <cellStyle name="Vérification 2 5 4 4 2 3 3" xfId="16155"/>
    <cellStyle name="Vérification 2 5 4 4 2 3 4" xfId="32376"/>
    <cellStyle name="Vérification 2 5 4 4 2 4" xfId="22613"/>
    <cellStyle name="Vérification 2 5 4 4 2 4 2" xfId="34620"/>
    <cellStyle name="Vérification 2 5 4 4 2 5" xfId="12474"/>
    <cellStyle name="Vérification 2 5 4 4 2 6" xfId="28695"/>
    <cellStyle name="Vérification 2 5 4 4 3" xfId="7437"/>
    <cellStyle name="Vérification 2 5 4 4 3 2" xfId="9481"/>
    <cellStyle name="Vérification 2 5 4 4 3 2 2" xfId="25705"/>
    <cellStyle name="Vérification 2 5 4 4 3 2 2 2" xfId="37712"/>
    <cellStyle name="Vérification 2 5 4 4 3 2 3" xfId="15488"/>
    <cellStyle name="Vérification 2 5 4 4 3 2 4" xfId="31709"/>
    <cellStyle name="Vérification 2 5 4 4 3 3" xfId="23661"/>
    <cellStyle name="Vérification 2 5 4 4 3 3 2" xfId="35668"/>
    <cellStyle name="Vérification 2 5 4 4 3 4" xfId="13185"/>
    <cellStyle name="Vérification 2 5 4 4 3 5" xfId="29406"/>
    <cellStyle name="Vérification 2 5 4 4 4" xfId="7814"/>
    <cellStyle name="Vérification 2 5 4 4 4 2" xfId="24038"/>
    <cellStyle name="Vérification 2 5 4 4 4 2 2" xfId="36045"/>
    <cellStyle name="Vérification 2 5 4 4 4 3" xfId="13821"/>
    <cellStyle name="Vérification 2 5 4 4 4 4" xfId="30042"/>
    <cellStyle name="Vérification 2 5 4 4 5" xfId="18929"/>
    <cellStyle name="Vérification 2 5 4 4 5 2" xfId="33043"/>
    <cellStyle name="Vérification 2 5 4 4 6" xfId="11170"/>
    <cellStyle name="Vérification 2 5 4 4 7" xfId="27391"/>
    <cellStyle name="Vérification 2 5 4 5" xfId="4368"/>
    <cellStyle name="Vérification 2 5 4 5 2" xfId="6870"/>
    <cellStyle name="Vérification 2 5 4 5 2 2" xfId="9148"/>
    <cellStyle name="Vérification 2 5 4 5 2 2 2" xfId="25372"/>
    <cellStyle name="Vérification 2 5 4 5 2 2 2 2" xfId="37379"/>
    <cellStyle name="Vérification 2 5 4 5 2 2 3" xfId="15155"/>
    <cellStyle name="Vérification 2 5 4 5 2 2 4" xfId="31376"/>
    <cellStyle name="Vérification 2 5 4 5 2 3" xfId="23094"/>
    <cellStyle name="Vérification 2 5 4 5 2 3 2" xfId="35101"/>
    <cellStyle name="Vérification 2 5 4 5 2 4" xfId="12852"/>
    <cellStyle name="Vérification 2 5 4 5 2 5" xfId="29073"/>
    <cellStyle name="Vérification 2 5 4 5 3" xfId="3256"/>
    <cellStyle name="Vérification 2 5 4 5 3 2" xfId="19484"/>
    <cellStyle name="Vérification 2 5 4 5 3 2 2" xfId="33598"/>
    <cellStyle name="Vérification 2 5 4 5 3 3" xfId="12266"/>
    <cellStyle name="Vérification 2 5 4 5 3 4" xfId="28487"/>
    <cellStyle name="Vérification 2 5 4 5 4" xfId="20594"/>
    <cellStyle name="Vérification 2 5 4 5 4 2" xfId="34287"/>
    <cellStyle name="Vérification 2 5 4 5 5" xfId="10829"/>
    <cellStyle name="Vérification 2 5 4 5 6" xfId="27052"/>
    <cellStyle name="Vérification 2 5 4 6" xfId="3169"/>
    <cellStyle name="Vérification 2 5 4 6 2" xfId="8203"/>
    <cellStyle name="Vérification 2 5 4 6 2 2" xfId="24427"/>
    <cellStyle name="Vérification 2 5 4 6 2 2 2" xfId="36434"/>
    <cellStyle name="Vérification 2 5 4 6 2 3" xfId="14210"/>
    <cellStyle name="Vérification 2 5 4 6 2 4" xfId="30431"/>
    <cellStyle name="Vérification 2 5 4 6 3" xfId="9815"/>
    <cellStyle name="Vérification 2 5 4 6 3 2" xfId="26039"/>
    <cellStyle name="Vérification 2 5 4 6 3 2 2" xfId="38046"/>
    <cellStyle name="Vérification 2 5 4 6 3 3" xfId="15822"/>
    <cellStyle name="Vérification 2 5 4 6 3 4" xfId="32043"/>
    <cellStyle name="Vérification 2 5 4 6 4" xfId="19397"/>
    <cellStyle name="Vérification 2 5 4 6 4 2" xfId="33511"/>
    <cellStyle name="Vérification 2 5 4 6 5" xfId="11758"/>
    <cellStyle name="Vérification 2 5 4 6 6" xfId="27979"/>
    <cellStyle name="Vérification 2 5 4 7" xfId="3558"/>
    <cellStyle name="Vérification 2 5 4 7 2" xfId="8509"/>
    <cellStyle name="Vérification 2 5 4 7 2 2" xfId="24733"/>
    <cellStyle name="Vérification 2 5 4 7 2 2 2" xfId="36740"/>
    <cellStyle name="Vérification 2 5 4 7 2 3" xfId="14516"/>
    <cellStyle name="Vérification 2 5 4 7 2 4" xfId="30737"/>
    <cellStyle name="Vérification 2 5 4 7 3" xfId="19786"/>
    <cellStyle name="Vérification 2 5 4 7 3 2" xfId="33900"/>
    <cellStyle name="Vérification 2 5 4 7 4" xfId="12064"/>
    <cellStyle name="Vérification 2 5 4 7 5" xfId="28285"/>
    <cellStyle name="Vérification 2 5 4 8" xfId="3562"/>
    <cellStyle name="Vérification 2 5 4 8 2" xfId="19790"/>
    <cellStyle name="Vérification 2 5 4 8 2 2" xfId="33904"/>
    <cellStyle name="Vérification 2 5 4 8 3" xfId="11467"/>
    <cellStyle name="Vérification 2 5 4 8 4" xfId="27688"/>
    <cellStyle name="Vérification 2 5 4 9" xfId="16910"/>
    <cellStyle name="Vérification 2 5 4 9 2" xfId="32710"/>
    <cellStyle name="Vérification 2 5 5" xfId="755"/>
    <cellStyle name="Vérification 2 5 5 10" xfId="26729"/>
    <cellStyle name="Vérification 2 5 5 2" xfId="1423"/>
    <cellStyle name="Vérification 2 5 5 2 2" xfId="2901"/>
    <cellStyle name="Vérification 2 5 5 2 2 2" xfId="6589"/>
    <cellStyle name="Vérification 2 5 5 2 2 2 2" xfId="8970"/>
    <cellStyle name="Vérification 2 5 5 2 2 2 2 2" xfId="25194"/>
    <cellStyle name="Vérification 2 5 5 2 2 2 2 2 2" xfId="37201"/>
    <cellStyle name="Vérification 2 5 5 2 2 2 2 3" xfId="14977"/>
    <cellStyle name="Vérification 2 5 5 2 2 2 2 4" xfId="31198"/>
    <cellStyle name="Vérification 2 5 5 2 2 2 3" xfId="10348"/>
    <cellStyle name="Vérification 2 5 5 2 2 2 3 2" xfId="26572"/>
    <cellStyle name="Vérification 2 5 5 2 2 2 3 2 2" xfId="38579"/>
    <cellStyle name="Vérification 2 5 5 2 2 2 3 3" xfId="16355"/>
    <cellStyle name="Vérification 2 5 5 2 2 2 3 4" xfId="32576"/>
    <cellStyle name="Vérification 2 5 5 2 2 2 4" xfId="22813"/>
    <cellStyle name="Vérification 2 5 5 2 2 2 4 2" xfId="34820"/>
    <cellStyle name="Vérification 2 5 5 2 2 2 5" xfId="12674"/>
    <cellStyle name="Vérification 2 5 5 2 2 2 6" xfId="28895"/>
    <cellStyle name="Vérification 2 5 5 2 2 3" xfId="7637"/>
    <cellStyle name="Vérification 2 5 5 2 2 3 2" xfId="9681"/>
    <cellStyle name="Vérification 2 5 5 2 2 3 2 2" xfId="25905"/>
    <cellStyle name="Vérification 2 5 5 2 2 3 2 2 2" xfId="37912"/>
    <cellStyle name="Vérification 2 5 5 2 2 3 2 3" xfId="15688"/>
    <cellStyle name="Vérification 2 5 5 2 2 3 2 4" xfId="31909"/>
    <cellStyle name="Vérification 2 5 5 2 2 3 3" xfId="23861"/>
    <cellStyle name="Vérification 2 5 5 2 2 3 3 2" xfId="35868"/>
    <cellStyle name="Vérification 2 5 5 2 2 3 4" xfId="13385"/>
    <cellStyle name="Vérification 2 5 5 2 2 3 5" xfId="29606"/>
    <cellStyle name="Vérification 2 5 5 2 2 4" xfId="8014"/>
    <cellStyle name="Vérification 2 5 5 2 2 4 2" xfId="24238"/>
    <cellStyle name="Vérification 2 5 5 2 2 4 2 2" xfId="36245"/>
    <cellStyle name="Vérification 2 5 5 2 2 4 3" xfId="14021"/>
    <cellStyle name="Vérification 2 5 5 2 2 4 4" xfId="30242"/>
    <cellStyle name="Vérification 2 5 5 2 2 5" xfId="19129"/>
    <cellStyle name="Vérification 2 5 5 2 2 5 2" xfId="33243"/>
    <cellStyle name="Vérification 2 5 5 2 2 6" xfId="11370"/>
    <cellStyle name="Vérification 2 5 5 2 2 7" xfId="27591"/>
    <cellStyle name="Vérification 2 5 5 2 3" xfId="5120"/>
    <cellStyle name="Vérification 2 5 5 2 3 2" xfId="7147"/>
    <cellStyle name="Vérification 2 5 5 2 3 2 2" xfId="9348"/>
    <cellStyle name="Vérification 2 5 5 2 3 2 2 2" xfId="25572"/>
    <cellStyle name="Vérification 2 5 5 2 3 2 2 2 2" xfId="37579"/>
    <cellStyle name="Vérification 2 5 5 2 3 2 2 3" xfId="15355"/>
    <cellStyle name="Vérification 2 5 5 2 3 2 2 4" xfId="31576"/>
    <cellStyle name="Vérification 2 5 5 2 3 2 3" xfId="23371"/>
    <cellStyle name="Vérification 2 5 5 2 3 2 3 2" xfId="35378"/>
    <cellStyle name="Vérification 2 5 5 2 3 2 4" xfId="13052"/>
    <cellStyle name="Vérification 2 5 5 2 3 2 5" xfId="29273"/>
    <cellStyle name="Vérification 2 5 5 2 3 3" xfId="3020"/>
    <cellStyle name="Vérification 2 5 5 2 3 3 2" xfId="19248"/>
    <cellStyle name="Vérification 2 5 5 2 3 3 2 2" xfId="33362"/>
    <cellStyle name="Vérification 2 5 5 2 3 3 3" xfId="12329"/>
    <cellStyle name="Vérification 2 5 5 2 3 3 4" xfId="28550"/>
    <cellStyle name="Vérification 2 5 5 2 3 4" xfId="21346"/>
    <cellStyle name="Vérification 2 5 5 2 3 4 2" xfId="34487"/>
    <cellStyle name="Vérification 2 5 5 2 3 5" xfId="11034"/>
    <cellStyle name="Vérification 2 5 5 2 3 6" xfId="27257"/>
    <cellStyle name="Vérification 2 5 5 2 4" xfId="3511"/>
    <cellStyle name="Vérification 2 5 5 2 4 2" xfId="8478"/>
    <cellStyle name="Vérification 2 5 5 2 4 2 2" xfId="24702"/>
    <cellStyle name="Vérification 2 5 5 2 4 2 2 2" xfId="36709"/>
    <cellStyle name="Vérification 2 5 5 2 4 2 3" xfId="14485"/>
    <cellStyle name="Vérification 2 5 5 2 4 2 4" xfId="30706"/>
    <cellStyle name="Vérification 2 5 5 2 4 3" xfId="10015"/>
    <cellStyle name="Vérification 2 5 5 2 4 3 2" xfId="26239"/>
    <cellStyle name="Vérification 2 5 5 2 4 3 2 2" xfId="38246"/>
    <cellStyle name="Vérification 2 5 5 2 4 3 3" xfId="16022"/>
    <cellStyle name="Vérification 2 5 5 2 4 3 4" xfId="32243"/>
    <cellStyle name="Vérification 2 5 5 2 4 4" xfId="19739"/>
    <cellStyle name="Vérification 2 5 5 2 4 4 2" xfId="33853"/>
    <cellStyle name="Vérification 2 5 5 2 4 5" xfId="12033"/>
    <cellStyle name="Vérification 2 5 5 2 4 6" xfId="28254"/>
    <cellStyle name="Vérification 2 5 5 2 5" xfId="3653"/>
    <cellStyle name="Vérification 2 5 5 2 5 2" xfId="8559"/>
    <cellStyle name="Vérification 2 5 5 2 5 2 2" xfId="24783"/>
    <cellStyle name="Vérification 2 5 5 2 5 2 2 2" xfId="36790"/>
    <cellStyle name="Vérification 2 5 5 2 5 2 3" xfId="14566"/>
    <cellStyle name="Vérification 2 5 5 2 5 2 4" xfId="30787"/>
    <cellStyle name="Vérification 2 5 5 2 5 3" xfId="19881"/>
    <cellStyle name="Vérification 2 5 5 2 5 3 2" xfId="33995"/>
    <cellStyle name="Vérification 2 5 5 2 5 4" xfId="12114"/>
    <cellStyle name="Vérification 2 5 5 2 5 5" xfId="28335"/>
    <cellStyle name="Vérification 2 5 5 2 6" xfId="7158"/>
    <cellStyle name="Vérification 2 5 5 2 6 2" xfId="23382"/>
    <cellStyle name="Vérification 2 5 5 2 6 2 2" xfId="35389"/>
    <cellStyle name="Vérification 2 5 5 2 6 3" xfId="13542"/>
    <cellStyle name="Vérification 2 5 5 2 6 4" xfId="29763"/>
    <cellStyle name="Vérification 2 5 5 2 7" xfId="17662"/>
    <cellStyle name="Vérification 2 5 5 2 7 2" xfId="32910"/>
    <cellStyle name="Vérification 2 5 5 2 8" xfId="10682"/>
    <cellStyle name="Vérification 2 5 5 2 9" xfId="26907"/>
    <cellStyle name="Vérification 2 5 5 3" xfId="2723"/>
    <cellStyle name="Vérification 2 5 5 3 2" xfId="6411"/>
    <cellStyle name="Vérification 2 5 5 3 2 2" xfId="8792"/>
    <cellStyle name="Vérification 2 5 5 3 2 2 2" xfId="25016"/>
    <cellStyle name="Vérification 2 5 5 3 2 2 2 2" xfId="37023"/>
    <cellStyle name="Vérification 2 5 5 3 2 2 3" xfId="14799"/>
    <cellStyle name="Vérification 2 5 5 3 2 2 4" xfId="31020"/>
    <cellStyle name="Vérification 2 5 5 3 2 3" xfId="10170"/>
    <cellStyle name="Vérification 2 5 5 3 2 3 2" xfId="26394"/>
    <cellStyle name="Vérification 2 5 5 3 2 3 2 2" xfId="38401"/>
    <cellStyle name="Vérification 2 5 5 3 2 3 3" xfId="16177"/>
    <cellStyle name="Vérification 2 5 5 3 2 3 4" xfId="32398"/>
    <cellStyle name="Vérification 2 5 5 3 2 4" xfId="22635"/>
    <cellStyle name="Vérification 2 5 5 3 2 4 2" xfId="34642"/>
    <cellStyle name="Vérification 2 5 5 3 2 5" xfId="12496"/>
    <cellStyle name="Vérification 2 5 5 3 2 6" xfId="28717"/>
    <cellStyle name="Vérification 2 5 5 3 3" xfId="7459"/>
    <cellStyle name="Vérification 2 5 5 3 3 2" xfId="9503"/>
    <cellStyle name="Vérification 2 5 5 3 3 2 2" xfId="25727"/>
    <cellStyle name="Vérification 2 5 5 3 3 2 2 2" xfId="37734"/>
    <cellStyle name="Vérification 2 5 5 3 3 2 3" xfId="15510"/>
    <cellStyle name="Vérification 2 5 5 3 3 2 4" xfId="31731"/>
    <cellStyle name="Vérification 2 5 5 3 3 3" xfId="23683"/>
    <cellStyle name="Vérification 2 5 5 3 3 3 2" xfId="35690"/>
    <cellStyle name="Vérification 2 5 5 3 3 4" xfId="13207"/>
    <cellStyle name="Vérification 2 5 5 3 3 5" xfId="29428"/>
    <cellStyle name="Vérification 2 5 5 3 4" xfId="7836"/>
    <cellStyle name="Vérification 2 5 5 3 4 2" xfId="24060"/>
    <cellStyle name="Vérification 2 5 5 3 4 2 2" xfId="36067"/>
    <cellStyle name="Vérification 2 5 5 3 4 3" xfId="13843"/>
    <cellStyle name="Vérification 2 5 5 3 4 4" xfId="30064"/>
    <cellStyle name="Vérification 2 5 5 3 5" xfId="18951"/>
    <cellStyle name="Vérification 2 5 5 3 5 2" xfId="33065"/>
    <cellStyle name="Vérification 2 5 5 3 6" xfId="11192"/>
    <cellStyle name="Vérification 2 5 5 3 7" xfId="27413"/>
    <cellStyle name="Vérification 2 5 5 4" xfId="4456"/>
    <cellStyle name="Vérification 2 5 5 4 2" xfId="6901"/>
    <cellStyle name="Vérification 2 5 5 4 2 2" xfId="9170"/>
    <cellStyle name="Vérification 2 5 5 4 2 2 2" xfId="25394"/>
    <cellStyle name="Vérification 2 5 5 4 2 2 2 2" xfId="37401"/>
    <cellStyle name="Vérification 2 5 5 4 2 2 3" xfId="15177"/>
    <cellStyle name="Vérification 2 5 5 4 2 2 4" xfId="31398"/>
    <cellStyle name="Vérification 2 5 5 4 2 3" xfId="23125"/>
    <cellStyle name="Vérification 2 5 5 4 2 3 2" xfId="35132"/>
    <cellStyle name="Vérification 2 5 5 4 2 4" xfId="12874"/>
    <cellStyle name="Vérification 2 5 5 4 2 5" xfId="29095"/>
    <cellStyle name="Vérification 2 5 5 4 3" xfId="7221"/>
    <cellStyle name="Vérification 2 5 5 4 3 2" xfId="23445"/>
    <cellStyle name="Vérification 2 5 5 4 3 2 2" xfId="35452"/>
    <cellStyle name="Vérification 2 5 5 4 3 3" xfId="13605"/>
    <cellStyle name="Vérification 2 5 5 4 3 4" xfId="29826"/>
    <cellStyle name="Vérification 2 5 5 4 4" xfId="20682"/>
    <cellStyle name="Vérification 2 5 5 4 4 2" xfId="34309"/>
    <cellStyle name="Vérification 2 5 5 4 5" xfId="10855"/>
    <cellStyle name="Vérification 2 5 5 4 6" xfId="27078"/>
    <cellStyle name="Vérification 2 5 5 5" xfId="3212"/>
    <cellStyle name="Vérification 2 5 5 5 2" xfId="8233"/>
    <cellStyle name="Vérification 2 5 5 5 2 2" xfId="24457"/>
    <cellStyle name="Vérification 2 5 5 5 2 2 2" xfId="36464"/>
    <cellStyle name="Vérification 2 5 5 5 2 3" xfId="14240"/>
    <cellStyle name="Vérification 2 5 5 5 2 4" xfId="30461"/>
    <cellStyle name="Vérification 2 5 5 5 3" xfId="9837"/>
    <cellStyle name="Vérification 2 5 5 5 3 2" xfId="26061"/>
    <cellStyle name="Vérification 2 5 5 5 3 2 2" xfId="38068"/>
    <cellStyle name="Vérification 2 5 5 5 3 3" xfId="15844"/>
    <cellStyle name="Vérification 2 5 5 5 3 4" xfId="32065"/>
    <cellStyle name="Vérification 2 5 5 5 4" xfId="19440"/>
    <cellStyle name="Vérification 2 5 5 5 4 2" xfId="33554"/>
    <cellStyle name="Vérification 2 5 5 5 5" xfId="11788"/>
    <cellStyle name="Vérification 2 5 5 5 6" xfId="28009"/>
    <cellStyle name="Vérification 2 5 5 6" xfId="3729"/>
    <cellStyle name="Vérification 2 5 5 6 2" xfId="8604"/>
    <cellStyle name="Vérification 2 5 5 6 2 2" xfId="24828"/>
    <cellStyle name="Vérification 2 5 5 6 2 2 2" xfId="36835"/>
    <cellStyle name="Vérification 2 5 5 6 2 3" xfId="14611"/>
    <cellStyle name="Vérification 2 5 5 6 2 4" xfId="30832"/>
    <cellStyle name="Vérification 2 5 5 6 3" xfId="19957"/>
    <cellStyle name="Vérification 2 5 5 6 3 2" xfId="34071"/>
    <cellStyle name="Vérification 2 5 5 6 4" xfId="12159"/>
    <cellStyle name="Vérification 2 5 5 6 5" xfId="28380"/>
    <cellStyle name="Vérification 2 5 5 7" xfId="6720"/>
    <cellStyle name="Vérification 2 5 5 7 2" xfId="22944"/>
    <cellStyle name="Vérification 2 5 5 7 2 2" xfId="34951"/>
    <cellStyle name="Vérification 2 5 5 7 3" xfId="11513"/>
    <cellStyle name="Vérification 2 5 5 7 4" xfId="27734"/>
    <cellStyle name="Vérification 2 5 5 8" xfId="16998"/>
    <cellStyle name="Vérification 2 5 5 8 2" xfId="32732"/>
    <cellStyle name="Vérification 2 5 5 9" xfId="10504"/>
    <cellStyle name="Vérification 2 5 6" xfId="1334"/>
    <cellStyle name="Vérification 2 5 6 2" xfId="2812"/>
    <cellStyle name="Vérification 2 5 6 2 2" xfId="6500"/>
    <cellStyle name="Vérification 2 5 6 2 2 2" xfId="8881"/>
    <cellStyle name="Vérification 2 5 6 2 2 2 2" xfId="25105"/>
    <cellStyle name="Vérification 2 5 6 2 2 2 2 2" xfId="37112"/>
    <cellStyle name="Vérification 2 5 6 2 2 2 3" xfId="14888"/>
    <cellStyle name="Vérification 2 5 6 2 2 2 4" xfId="31109"/>
    <cellStyle name="Vérification 2 5 6 2 2 3" xfId="10259"/>
    <cellStyle name="Vérification 2 5 6 2 2 3 2" xfId="26483"/>
    <cellStyle name="Vérification 2 5 6 2 2 3 2 2" xfId="38490"/>
    <cellStyle name="Vérification 2 5 6 2 2 3 3" xfId="16266"/>
    <cellStyle name="Vérification 2 5 6 2 2 3 4" xfId="32487"/>
    <cellStyle name="Vérification 2 5 6 2 2 4" xfId="22724"/>
    <cellStyle name="Vérification 2 5 6 2 2 4 2" xfId="34731"/>
    <cellStyle name="Vérification 2 5 6 2 2 5" xfId="12585"/>
    <cellStyle name="Vérification 2 5 6 2 2 6" xfId="28806"/>
    <cellStyle name="Vérification 2 5 6 2 3" xfId="7548"/>
    <cellStyle name="Vérification 2 5 6 2 3 2" xfId="9592"/>
    <cellStyle name="Vérification 2 5 6 2 3 2 2" xfId="25816"/>
    <cellStyle name="Vérification 2 5 6 2 3 2 2 2" xfId="37823"/>
    <cellStyle name="Vérification 2 5 6 2 3 2 3" xfId="15599"/>
    <cellStyle name="Vérification 2 5 6 2 3 2 4" xfId="31820"/>
    <cellStyle name="Vérification 2 5 6 2 3 3" xfId="23772"/>
    <cellStyle name="Vérification 2 5 6 2 3 3 2" xfId="35779"/>
    <cellStyle name="Vérification 2 5 6 2 3 4" xfId="13296"/>
    <cellStyle name="Vérification 2 5 6 2 3 5" xfId="29517"/>
    <cellStyle name="Vérification 2 5 6 2 4" xfId="7925"/>
    <cellStyle name="Vérification 2 5 6 2 4 2" xfId="24149"/>
    <cellStyle name="Vérification 2 5 6 2 4 2 2" xfId="36156"/>
    <cellStyle name="Vérification 2 5 6 2 4 3" xfId="13932"/>
    <cellStyle name="Vérification 2 5 6 2 4 4" xfId="30153"/>
    <cellStyle name="Vérification 2 5 6 2 5" xfId="19040"/>
    <cellStyle name="Vérification 2 5 6 2 5 2" xfId="33154"/>
    <cellStyle name="Vérification 2 5 6 2 6" xfId="11281"/>
    <cellStyle name="Vérification 2 5 6 2 7" xfId="27502"/>
    <cellStyle name="Vérification 2 5 6 3" xfId="5031"/>
    <cellStyle name="Vérification 2 5 6 3 2" xfId="7058"/>
    <cellStyle name="Vérification 2 5 6 3 2 2" xfId="9259"/>
    <cellStyle name="Vérification 2 5 6 3 2 2 2" xfId="25483"/>
    <cellStyle name="Vérification 2 5 6 3 2 2 2 2" xfId="37490"/>
    <cellStyle name="Vérification 2 5 6 3 2 2 3" xfId="15266"/>
    <cellStyle name="Vérification 2 5 6 3 2 2 4" xfId="31487"/>
    <cellStyle name="Vérification 2 5 6 3 2 3" xfId="23282"/>
    <cellStyle name="Vérification 2 5 6 3 2 3 2" xfId="35289"/>
    <cellStyle name="Vérification 2 5 6 3 2 4" xfId="12963"/>
    <cellStyle name="Vérification 2 5 6 3 2 5" xfId="29184"/>
    <cellStyle name="Vérification 2 5 6 3 3" xfId="3026"/>
    <cellStyle name="Vérification 2 5 6 3 3 2" xfId="19254"/>
    <cellStyle name="Vérification 2 5 6 3 3 2 2" xfId="33368"/>
    <cellStyle name="Vérification 2 5 6 3 3 3" xfId="13437"/>
    <cellStyle name="Vérification 2 5 6 3 3 4" xfId="29658"/>
    <cellStyle name="Vérification 2 5 6 3 4" xfId="21257"/>
    <cellStyle name="Vérification 2 5 6 3 4 2" xfId="34398"/>
    <cellStyle name="Vérification 2 5 6 3 5" xfId="10945"/>
    <cellStyle name="Vérification 2 5 6 3 6" xfId="27168"/>
    <cellStyle name="Vérification 2 5 6 4" xfId="3422"/>
    <cellStyle name="Vérification 2 5 6 4 2" xfId="8389"/>
    <cellStyle name="Vérification 2 5 6 4 2 2" xfId="24613"/>
    <cellStyle name="Vérification 2 5 6 4 2 2 2" xfId="36620"/>
    <cellStyle name="Vérification 2 5 6 4 2 3" xfId="14396"/>
    <cellStyle name="Vérification 2 5 6 4 2 4" xfId="30617"/>
    <cellStyle name="Vérification 2 5 6 4 3" xfId="9926"/>
    <cellStyle name="Vérification 2 5 6 4 3 2" xfId="26150"/>
    <cellStyle name="Vérification 2 5 6 4 3 2 2" xfId="38157"/>
    <cellStyle name="Vérification 2 5 6 4 3 3" xfId="15933"/>
    <cellStyle name="Vérification 2 5 6 4 3 4" xfId="32154"/>
    <cellStyle name="Vérification 2 5 6 4 4" xfId="19650"/>
    <cellStyle name="Vérification 2 5 6 4 4 2" xfId="33764"/>
    <cellStyle name="Vérification 2 5 6 4 5" xfId="11944"/>
    <cellStyle name="Vérification 2 5 6 4 6" xfId="28165"/>
    <cellStyle name="Vérification 2 5 6 5" xfId="3613"/>
    <cellStyle name="Vérification 2 5 6 5 2" xfId="8539"/>
    <cellStyle name="Vérification 2 5 6 5 2 2" xfId="24763"/>
    <cellStyle name="Vérification 2 5 6 5 2 2 2" xfId="36770"/>
    <cellStyle name="Vérification 2 5 6 5 2 3" xfId="14546"/>
    <cellStyle name="Vérification 2 5 6 5 2 4" xfId="30767"/>
    <cellStyle name="Vérification 2 5 6 5 3" xfId="19841"/>
    <cellStyle name="Vérification 2 5 6 5 3 2" xfId="33955"/>
    <cellStyle name="Vérification 2 5 6 5 4" xfId="12094"/>
    <cellStyle name="Vérification 2 5 6 5 5" xfId="28315"/>
    <cellStyle name="Vérification 2 5 6 6" xfId="6677"/>
    <cellStyle name="Vérification 2 5 6 6 2" xfId="22901"/>
    <cellStyle name="Vérification 2 5 6 6 2 2" xfId="34908"/>
    <cellStyle name="Vérification 2 5 6 6 3" xfId="13519"/>
    <cellStyle name="Vérification 2 5 6 6 4" xfId="29740"/>
    <cellStyle name="Vérification 2 5 6 7" xfId="17573"/>
    <cellStyle name="Vérification 2 5 6 7 2" xfId="32821"/>
    <cellStyle name="Vérification 2 5 6 8" xfId="10593"/>
    <cellStyle name="Vérification 2 5 6 9" xfId="26818"/>
    <cellStyle name="Vérification 2 5 7" xfId="2523"/>
    <cellStyle name="Vérification 2 5 7 2" xfId="2924"/>
    <cellStyle name="Vérification 2 5 7 2 2" xfId="6612"/>
    <cellStyle name="Vérification 2 5 7 2 2 2" xfId="8993"/>
    <cellStyle name="Vérification 2 5 7 2 2 2 2" xfId="25217"/>
    <cellStyle name="Vérification 2 5 7 2 2 2 2 2" xfId="37224"/>
    <cellStyle name="Vérification 2 5 7 2 2 2 3" xfId="15000"/>
    <cellStyle name="Vérification 2 5 7 2 2 2 4" xfId="31221"/>
    <cellStyle name="Vérification 2 5 7 2 2 3" xfId="10371"/>
    <cellStyle name="Vérification 2 5 7 2 2 3 2" xfId="26595"/>
    <cellStyle name="Vérification 2 5 7 2 2 3 2 2" xfId="38602"/>
    <cellStyle name="Vérification 2 5 7 2 2 3 3" xfId="16378"/>
    <cellStyle name="Vérification 2 5 7 2 2 3 4" xfId="32599"/>
    <cellStyle name="Vérification 2 5 7 2 2 4" xfId="22836"/>
    <cellStyle name="Vérification 2 5 7 2 2 4 2" xfId="34843"/>
    <cellStyle name="Vérification 2 5 7 2 2 5" xfId="12697"/>
    <cellStyle name="Vérification 2 5 7 2 2 6" xfId="28918"/>
    <cellStyle name="Vérification 2 5 7 2 3" xfId="7660"/>
    <cellStyle name="Vérification 2 5 7 2 3 2" xfId="9704"/>
    <cellStyle name="Vérification 2 5 7 2 3 2 2" xfId="25928"/>
    <cellStyle name="Vérification 2 5 7 2 3 2 2 2" xfId="37935"/>
    <cellStyle name="Vérification 2 5 7 2 3 2 3" xfId="15711"/>
    <cellStyle name="Vérification 2 5 7 2 3 2 4" xfId="31932"/>
    <cellStyle name="Vérification 2 5 7 2 3 3" xfId="23884"/>
    <cellStyle name="Vérification 2 5 7 2 3 3 2" xfId="35891"/>
    <cellStyle name="Vérification 2 5 7 2 3 4" xfId="13408"/>
    <cellStyle name="Vérification 2 5 7 2 3 5" xfId="29629"/>
    <cellStyle name="Vérification 2 5 7 2 4" xfId="8037"/>
    <cellStyle name="Vérification 2 5 7 2 4 2" xfId="24261"/>
    <cellStyle name="Vérification 2 5 7 2 4 2 2" xfId="36268"/>
    <cellStyle name="Vérification 2 5 7 2 4 3" xfId="14044"/>
    <cellStyle name="Vérification 2 5 7 2 4 4" xfId="30265"/>
    <cellStyle name="Vérification 2 5 7 2 5" xfId="19152"/>
    <cellStyle name="Vérification 2 5 7 2 5 2" xfId="33266"/>
    <cellStyle name="Vérification 2 5 7 2 6" xfId="11393"/>
    <cellStyle name="Vérification 2 5 7 2 7" xfId="27614"/>
    <cellStyle name="Vérification 2 5 7 3" xfId="6213"/>
    <cellStyle name="Vérification 2 5 7 3 2" xfId="7320"/>
    <cellStyle name="Vérification 2 5 7 3 2 2" xfId="9371"/>
    <cellStyle name="Vérification 2 5 7 3 2 2 2" xfId="25595"/>
    <cellStyle name="Vérification 2 5 7 3 2 2 2 2" xfId="37602"/>
    <cellStyle name="Vérification 2 5 7 3 2 2 3" xfId="15378"/>
    <cellStyle name="Vérification 2 5 7 3 2 2 4" xfId="31599"/>
    <cellStyle name="Vérification 2 5 7 3 2 3" xfId="23544"/>
    <cellStyle name="Vérification 2 5 7 3 2 3 2" xfId="35551"/>
    <cellStyle name="Vérification 2 5 7 3 2 4" xfId="13075"/>
    <cellStyle name="Vérification 2 5 7 3 2 5" xfId="29296"/>
    <cellStyle name="Vérification 2 5 7 3 3" xfId="7704"/>
    <cellStyle name="Vérification 2 5 7 3 3 2" xfId="23928"/>
    <cellStyle name="Vérification 2 5 7 3 3 2 2" xfId="35935"/>
    <cellStyle name="Vérification 2 5 7 3 3 3" xfId="13711"/>
    <cellStyle name="Vérification 2 5 7 3 3 4" xfId="29932"/>
    <cellStyle name="Vérification 2 5 7 3 4" xfId="22437"/>
    <cellStyle name="Vérification 2 5 7 3 4 2" xfId="34510"/>
    <cellStyle name="Vérification 2 5 7 3 5" xfId="11059"/>
    <cellStyle name="Vérification 2 5 7 3 6" xfId="27280"/>
    <cellStyle name="Vérification 2 5 7 4" xfId="3814"/>
    <cellStyle name="Vérification 2 5 7 4 2" xfId="8650"/>
    <cellStyle name="Vérification 2 5 7 4 2 2" xfId="24874"/>
    <cellStyle name="Vérification 2 5 7 4 2 2 2" xfId="36881"/>
    <cellStyle name="Vérification 2 5 7 4 2 3" xfId="14657"/>
    <cellStyle name="Vérification 2 5 7 4 2 4" xfId="30878"/>
    <cellStyle name="Vérification 2 5 7 4 3" xfId="10038"/>
    <cellStyle name="Vérification 2 5 7 4 3 2" xfId="26262"/>
    <cellStyle name="Vérification 2 5 7 4 3 2 2" xfId="38269"/>
    <cellStyle name="Vérification 2 5 7 4 3 3" xfId="16045"/>
    <cellStyle name="Vérification 2 5 7 4 3 4" xfId="32266"/>
    <cellStyle name="Vérification 2 5 7 4 4" xfId="20042"/>
    <cellStyle name="Vérification 2 5 7 4 4 2" xfId="34156"/>
    <cellStyle name="Vérification 2 5 7 4 5" xfId="12205"/>
    <cellStyle name="Vérification 2 5 7 4 6" xfId="28426"/>
    <cellStyle name="Vérification 2 5 7 5" xfId="6683"/>
    <cellStyle name="Vérification 2 5 7 5 2" xfId="9037"/>
    <cellStyle name="Vérification 2 5 7 5 2 2" xfId="25261"/>
    <cellStyle name="Vérification 2 5 7 5 2 2 2" xfId="37268"/>
    <cellStyle name="Vérification 2 5 7 5 2 3" xfId="15044"/>
    <cellStyle name="Vérification 2 5 7 5 2 4" xfId="31265"/>
    <cellStyle name="Vérification 2 5 7 5 3" xfId="22907"/>
    <cellStyle name="Vérification 2 5 7 5 3 2" xfId="34914"/>
    <cellStyle name="Vérification 2 5 7 5 4" xfId="12741"/>
    <cellStyle name="Vérification 2 5 7 5 5" xfId="28962"/>
    <cellStyle name="Vérification 2 5 7 6" xfId="7262"/>
    <cellStyle name="Vérification 2 5 7 6 2" xfId="23486"/>
    <cellStyle name="Vérification 2 5 7 6 2 2" xfId="35493"/>
    <cellStyle name="Vérification 2 5 7 6 3" xfId="13646"/>
    <cellStyle name="Vérification 2 5 7 6 4" xfId="29867"/>
    <cellStyle name="Vérification 2 5 7 7" xfId="18753"/>
    <cellStyle name="Vérification 2 5 7 7 2" xfId="32933"/>
    <cellStyle name="Vérification 2 5 7 8" xfId="10707"/>
    <cellStyle name="Vérification 2 5 7 9" xfId="26930"/>
    <cellStyle name="Vérification 2 5 8" xfId="2612"/>
    <cellStyle name="Vérification 2 5 8 2" xfId="2945"/>
    <cellStyle name="Vérification 2 5 8 2 2" xfId="6633"/>
    <cellStyle name="Vérification 2 5 8 2 2 2" xfId="9014"/>
    <cellStyle name="Vérification 2 5 8 2 2 2 2" xfId="25238"/>
    <cellStyle name="Vérification 2 5 8 2 2 2 2 2" xfId="37245"/>
    <cellStyle name="Vérification 2 5 8 2 2 2 3" xfId="15021"/>
    <cellStyle name="Vérification 2 5 8 2 2 2 4" xfId="31242"/>
    <cellStyle name="Vérification 2 5 8 2 2 3" xfId="10392"/>
    <cellStyle name="Vérification 2 5 8 2 2 3 2" xfId="26616"/>
    <cellStyle name="Vérification 2 5 8 2 2 3 2 2" xfId="38623"/>
    <cellStyle name="Vérification 2 5 8 2 2 3 3" xfId="16399"/>
    <cellStyle name="Vérification 2 5 8 2 2 3 4" xfId="32620"/>
    <cellStyle name="Vérification 2 5 8 2 2 4" xfId="22857"/>
    <cellStyle name="Vérification 2 5 8 2 2 4 2" xfId="34864"/>
    <cellStyle name="Vérification 2 5 8 2 2 5" xfId="12718"/>
    <cellStyle name="Vérification 2 5 8 2 2 6" xfId="28939"/>
    <cellStyle name="Vérification 2 5 8 2 3" xfId="7681"/>
    <cellStyle name="Vérification 2 5 8 2 3 2" xfId="9725"/>
    <cellStyle name="Vérification 2 5 8 2 3 2 2" xfId="25949"/>
    <cellStyle name="Vérification 2 5 8 2 3 2 2 2" xfId="37956"/>
    <cellStyle name="Vérification 2 5 8 2 3 2 3" xfId="15732"/>
    <cellStyle name="Vérification 2 5 8 2 3 2 4" xfId="31953"/>
    <cellStyle name="Vérification 2 5 8 2 3 3" xfId="23905"/>
    <cellStyle name="Vérification 2 5 8 2 3 3 2" xfId="35912"/>
    <cellStyle name="Vérification 2 5 8 2 3 4" xfId="13429"/>
    <cellStyle name="Vérification 2 5 8 2 3 5" xfId="29650"/>
    <cellStyle name="Vérification 2 5 8 2 4" xfId="8058"/>
    <cellStyle name="Vérification 2 5 8 2 4 2" xfId="24282"/>
    <cellStyle name="Vérification 2 5 8 2 4 2 2" xfId="36289"/>
    <cellStyle name="Vérification 2 5 8 2 4 3" xfId="14065"/>
    <cellStyle name="Vérification 2 5 8 2 4 4" xfId="30286"/>
    <cellStyle name="Vérification 2 5 8 2 5" xfId="19173"/>
    <cellStyle name="Vérification 2 5 8 2 5 2" xfId="33287"/>
    <cellStyle name="Vérification 2 5 8 2 6" xfId="11414"/>
    <cellStyle name="Vérification 2 5 8 2 7" xfId="27635"/>
    <cellStyle name="Vérification 2 5 8 3" xfId="6300"/>
    <cellStyle name="Vérification 2 5 8 3 2" xfId="7348"/>
    <cellStyle name="Vérification 2 5 8 3 2 2" xfId="9392"/>
    <cellStyle name="Vérification 2 5 8 3 2 2 2" xfId="25616"/>
    <cellStyle name="Vérification 2 5 8 3 2 2 2 2" xfId="37623"/>
    <cellStyle name="Vérification 2 5 8 3 2 2 3" xfId="15399"/>
    <cellStyle name="Vérification 2 5 8 3 2 2 4" xfId="31620"/>
    <cellStyle name="Vérification 2 5 8 3 2 3" xfId="23572"/>
    <cellStyle name="Vérification 2 5 8 3 2 3 2" xfId="35579"/>
    <cellStyle name="Vérification 2 5 8 3 2 4" xfId="13096"/>
    <cellStyle name="Vérification 2 5 8 3 2 5" xfId="29317"/>
    <cellStyle name="Vérification 2 5 8 3 3" xfId="7725"/>
    <cellStyle name="Vérification 2 5 8 3 3 2" xfId="23949"/>
    <cellStyle name="Vérification 2 5 8 3 3 2 2" xfId="35956"/>
    <cellStyle name="Vérification 2 5 8 3 3 3" xfId="13732"/>
    <cellStyle name="Vérification 2 5 8 3 3 4" xfId="29953"/>
    <cellStyle name="Vérification 2 5 8 3 4" xfId="22524"/>
    <cellStyle name="Vérification 2 5 8 3 4 2" xfId="34531"/>
    <cellStyle name="Vérification 2 5 8 3 5" xfId="11081"/>
    <cellStyle name="Vérification 2 5 8 3 6" xfId="27302"/>
    <cellStyle name="Vérification 2 5 8 4" xfId="3855"/>
    <cellStyle name="Vérification 2 5 8 4 2" xfId="8681"/>
    <cellStyle name="Vérification 2 5 8 4 2 2" xfId="24905"/>
    <cellStyle name="Vérification 2 5 8 4 2 2 2" xfId="36912"/>
    <cellStyle name="Vérification 2 5 8 4 2 3" xfId="14688"/>
    <cellStyle name="Vérification 2 5 8 4 2 4" xfId="30909"/>
    <cellStyle name="Vérification 2 5 8 4 3" xfId="10059"/>
    <cellStyle name="Vérification 2 5 8 4 3 2" xfId="26283"/>
    <cellStyle name="Vérification 2 5 8 4 3 2 2" xfId="38290"/>
    <cellStyle name="Vérification 2 5 8 4 3 3" xfId="16066"/>
    <cellStyle name="Vérification 2 5 8 4 3 4" xfId="32287"/>
    <cellStyle name="Vérification 2 5 8 4 4" xfId="20083"/>
    <cellStyle name="Vérification 2 5 8 4 4 2" xfId="34197"/>
    <cellStyle name="Vérification 2 5 8 4 5" xfId="12236"/>
    <cellStyle name="Vérification 2 5 8 4 6" xfId="28457"/>
    <cellStyle name="Vérification 2 5 8 5" xfId="6712"/>
    <cellStyle name="Vérification 2 5 8 5 2" xfId="9058"/>
    <cellStyle name="Vérification 2 5 8 5 2 2" xfId="25282"/>
    <cellStyle name="Vérification 2 5 8 5 2 2 2" xfId="37289"/>
    <cellStyle name="Vérification 2 5 8 5 2 3" xfId="15065"/>
    <cellStyle name="Vérification 2 5 8 5 2 4" xfId="31286"/>
    <cellStyle name="Vérification 2 5 8 5 3" xfId="22936"/>
    <cellStyle name="Vérification 2 5 8 5 3 2" xfId="34943"/>
    <cellStyle name="Vérification 2 5 8 5 4" xfId="12762"/>
    <cellStyle name="Vérification 2 5 8 5 5" xfId="28983"/>
    <cellStyle name="Vérification 2 5 8 6" xfId="7229"/>
    <cellStyle name="Vérification 2 5 8 6 2" xfId="23453"/>
    <cellStyle name="Vérification 2 5 8 6 2 2" xfId="35460"/>
    <cellStyle name="Vérification 2 5 8 6 3" xfId="13613"/>
    <cellStyle name="Vérification 2 5 8 6 4" xfId="29834"/>
    <cellStyle name="Vérification 2 5 8 7" xfId="18840"/>
    <cellStyle name="Vérification 2 5 8 7 2" xfId="32954"/>
    <cellStyle name="Vérification 2 5 8 8" xfId="10728"/>
    <cellStyle name="Vérification 2 5 8 9" xfId="26951"/>
    <cellStyle name="Vérification 2 5 9" xfId="2634"/>
    <cellStyle name="Vérification 2 5 9 2" xfId="6322"/>
    <cellStyle name="Vérification 2 5 9 2 2" xfId="8703"/>
    <cellStyle name="Vérification 2 5 9 2 2 2" xfId="24927"/>
    <cellStyle name="Vérification 2 5 9 2 2 2 2" xfId="36934"/>
    <cellStyle name="Vérification 2 5 9 2 2 3" xfId="14710"/>
    <cellStyle name="Vérification 2 5 9 2 2 4" xfId="30931"/>
    <cellStyle name="Vérification 2 5 9 2 3" xfId="10081"/>
    <cellStyle name="Vérification 2 5 9 2 3 2" xfId="26305"/>
    <cellStyle name="Vérification 2 5 9 2 3 2 2" xfId="38312"/>
    <cellStyle name="Vérification 2 5 9 2 3 3" xfId="16088"/>
    <cellStyle name="Vérification 2 5 9 2 3 4" xfId="32309"/>
    <cellStyle name="Vérification 2 5 9 2 4" xfId="22546"/>
    <cellStyle name="Vérification 2 5 9 2 4 2" xfId="34553"/>
    <cellStyle name="Vérification 2 5 9 2 5" xfId="12407"/>
    <cellStyle name="Vérification 2 5 9 2 6" xfId="28628"/>
    <cellStyle name="Vérification 2 5 9 3" xfId="7370"/>
    <cellStyle name="Vérification 2 5 9 3 2" xfId="9414"/>
    <cellStyle name="Vérification 2 5 9 3 2 2" xfId="25638"/>
    <cellStyle name="Vérification 2 5 9 3 2 2 2" xfId="37645"/>
    <cellStyle name="Vérification 2 5 9 3 2 3" xfId="15421"/>
    <cellStyle name="Vérification 2 5 9 3 2 4" xfId="31642"/>
    <cellStyle name="Vérification 2 5 9 3 3" xfId="23594"/>
    <cellStyle name="Vérification 2 5 9 3 3 2" xfId="35601"/>
    <cellStyle name="Vérification 2 5 9 3 4" xfId="13118"/>
    <cellStyle name="Vérification 2 5 9 3 5" xfId="29339"/>
    <cellStyle name="Vérification 2 5 9 4" xfId="7747"/>
    <cellStyle name="Vérification 2 5 9 4 2" xfId="23971"/>
    <cellStyle name="Vérification 2 5 9 4 2 2" xfId="35978"/>
    <cellStyle name="Vérification 2 5 9 4 3" xfId="13754"/>
    <cellStyle name="Vérification 2 5 9 4 4" xfId="29975"/>
    <cellStyle name="Vérification 2 5 9 5" xfId="18862"/>
    <cellStyle name="Vérification 2 5 9 5 2" xfId="32976"/>
    <cellStyle name="Vérification 2 5 9 6" xfId="11103"/>
    <cellStyle name="Vérification 2 5 9 7" xfId="27324"/>
    <cellStyle name="Vérification 2 6" xfId="220"/>
    <cellStyle name="Vérification 2 6 10" xfId="3977"/>
    <cellStyle name="Vérification 2 6 10 2" xfId="6754"/>
    <cellStyle name="Vérification 2 6 10 2 2" xfId="9082"/>
    <cellStyle name="Vérification 2 6 10 2 2 2" xfId="25306"/>
    <cellStyle name="Vérification 2 6 10 2 2 2 2" xfId="37313"/>
    <cellStyle name="Vérification 2 6 10 2 2 3" xfId="15089"/>
    <cellStyle name="Vérification 2 6 10 2 2 4" xfId="31310"/>
    <cellStyle name="Vérification 2 6 10 2 3" xfId="22978"/>
    <cellStyle name="Vérification 2 6 10 2 3 2" xfId="34985"/>
    <cellStyle name="Vérification 2 6 10 2 4" xfId="12786"/>
    <cellStyle name="Vérification 2 6 10 2 5" xfId="29007"/>
    <cellStyle name="Vérification 2 6 10 3" xfId="6745"/>
    <cellStyle name="Vérification 2 6 10 3 2" xfId="22969"/>
    <cellStyle name="Vérification 2 6 10 3 2 2" xfId="34976"/>
    <cellStyle name="Vérification 2 6 10 3 3" xfId="11582"/>
    <cellStyle name="Vérification 2 6 10 3 4" xfId="27803"/>
    <cellStyle name="Vérification 2 6 10 4" xfId="20204"/>
    <cellStyle name="Vérification 2 6 10 4 2" xfId="34221"/>
    <cellStyle name="Vérification 2 6 10 5" xfId="10759"/>
    <cellStyle name="Vérification 2 6 10 6" xfId="26982"/>
    <cellStyle name="Vérification 2 6 11" xfId="3014"/>
    <cellStyle name="Vérification 2 6 11 2" xfId="8099"/>
    <cellStyle name="Vérification 2 6 11 2 2" xfId="24323"/>
    <cellStyle name="Vérification 2 6 11 2 2 2" xfId="36330"/>
    <cellStyle name="Vérification 2 6 11 2 3" xfId="14106"/>
    <cellStyle name="Vérification 2 6 11 2 4" xfId="30327"/>
    <cellStyle name="Vérification 2 6 11 3" xfId="9749"/>
    <cellStyle name="Vérification 2 6 11 3 2" xfId="25973"/>
    <cellStyle name="Vérification 2 6 11 3 2 2" xfId="37980"/>
    <cellStyle name="Vérification 2 6 11 3 3" xfId="15756"/>
    <cellStyle name="Vérification 2 6 11 3 4" xfId="31977"/>
    <cellStyle name="Vérification 2 6 11 4" xfId="19242"/>
    <cellStyle name="Vérification 2 6 11 4 2" xfId="33356"/>
    <cellStyle name="Vérification 2 6 11 5" xfId="11654"/>
    <cellStyle name="Vérification 2 6 11 6" xfId="27875"/>
    <cellStyle name="Vérification 2 6 12" xfId="3185"/>
    <cellStyle name="Vérification 2 6 12 2" xfId="8211"/>
    <cellStyle name="Vérification 2 6 12 2 2" xfId="24435"/>
    <cellStyle name="Vérification 2 6 12 2 2 2" xfId="36442"/>
    <cellStyle name="Vérification 2 6 12 2 3" xfId="14218"/>
    <cellStyle name="Vérification 2 6 12 2 4" xfId="30439"/>
    <cellStyle name="Vérification 2 6 12 3" xfId="19413"/>
    <cellStyle name="Vérification 2 6 12 3 2" xfId="33527"/>
    <cellStyle name="Vérification 2 6 12 4" xfId="11766"/>
    <cellStyle name="Vérification 2 6 12 5" xfId="27987"/>
    <cellStyle name="Vérification 2 6 13" xfId="6931"/>
    <cellStyle name="Vérification 2 6 13 2" xfId="23155"/>
    <cellStyle name="Vérification 2 6 13 2 2" xfId="35162"/>
    <cellStyle name="Vérification 2 6 13 3" xfId="11472"/>
    <cellStyle name="Vérification 2 6 13 4" xfId="27693"/>
    <cellStyle name="Vérification 2 6 14" xfId="16520"/>
    <cellStyle name="Vérification 2 6 14 2" xfId="32644"/>
    <cellStyle name="Vérification 2 6 15" xfId="10416"/>
    <cellStyle name="Vérification 2 6 16" xfId="26641"/>
    <cellStyle name="Vérification 2 6 2" xfId="426"/>
    <cellStyle name="Vérification 2 6 2 10" xfId="10439"/>
    <cellStyle name="Vérification 2 6 2 11" xfId="26664"/>
    <cellStyle name="Vérification 2 6 2 2" xfId="1358"/>
    <cellStyle name="Vérification 2 6 2 2 2" xfId="2836"/>
    <cellStyle name="Vérification 2 6 2 2 2 2" xfId="6524"/>
    <cellStyle name="Vérification 2 6 2 2 2 2 2" xfId="8905"/>
    <cellStyle name="Vérification 2 6 2 2 2 2 2 2" xfId="25129"/>
    <cellStyle name="Vérification 2 6 2 2 2 2 2 2 2" xfId="37136"/>
    <cellStyle name="Vérification 2 6 2 2 2 2 2 3" xfId="14912"/>
    <cellStyle name="Vérification 2 6 2 2 2 2 2 4" xfId="31133"/>
    <cellStyle name="Vérification 2 6 2 2 2 2 3" xfId="10283"/>
    <cellStyle name="Vérification 2 6 2 2 2 2 3 2" xfId="26507"/>
    <cellStyle name="Vérification 2 6 2 2 2 2 3 2 2" xfId="38514"/>
    <cellStyle name="Vérification 2 6 2 2 2 2 3 3" xfId="16290"/>
    <cellStyle name="Vérification 2 6 2 2 2 2 3 4" xfId="32511"/>
    <cellStyle name="Vérification 2 6 2 2 2 2 4" xfId="22748"/>
    <cellStyle name="Vérification 2 6 2 2 2 2 4 2" xfId="34755"/>
    <cellStyle name="Vérification 2 6 2 2 2 2 5" xfId="12609"/>
    <cellStyle name="Vérification 2 6 2 2 2 2 6" xfId="28830"/>
    <cellStyle name="Vérification 2 6 2 2 2 3" xfId="7572"/>
    <cellStyle name="Vérification 2 6 2 2 2 3 2" xfId="9616"/>
    <cellStyle name="Vérification 2 6 2 2 2 3 2 2" xfId="25840"/>
    <cellStyle name="Vérification 2 6 2 2 2 3 2 2 2" xfId="37847"/>
    <cellStyle name="Vérification 2 6 2 2 2 3 2 3" xfId="15623"/>
    <cellStyle name="Vérification 2 6 2 2 2 3 2 4" xfId="31844"/>
    <cellStyle name="Vérification 2 6 2 2 2 3 3" xfId="23796"/>
    <cellStyle name="Vérification 2 6 2 2 2 3 3 2" xfId="35803"/>
    <cellStyle name="Vérification 2 6 2 2 2 3 4" xfId="13320"/>
    <cellStyle name="Vérification 2 6 2 2 2 3 5" xfId="29541"/>
    <cellStyle name="Vérification 2 6 2 2 2 4" xfId="7949"/>
    <cellStyle name="Vérification 2 6 2 2 2 4 2" xfId="24173"/>
    <cellStyle name="Vérification 2 6 2 2 2 4 2 2" xfId="36180"/>
    <cellStyle name="Vérification 2 6 2 2 2 4 3" xfId="13956"/>
    <cellStyle name="Vérification 2 6 2 2 2 4 4" xfId="30177"/>
    <cellStyle name="Vérification 2 6 2 2 2 5" xfId="19064"/>
    <cellStyle name="Vérification 2 6 2 2 2 5 2" xfId="33178"/>
    <cellStyle name="Vérification 2 6 2 2 2 6" xfId="11305"/>
    <cellStyle name="Vérification 2 6 2 2 2 7" xfId="27526"/>
    <cellStyle name="Vérification 2 6 2 2 3" xfId="5055"/>
    <cellStyle name="Vérification 2 6 2 2 3 2" xfId="7082"/>
    <cellStyle name="Vérification 2 6 2 2 3 2 2" xfId="9283"/>
    <cellStyle name="Vérification 2 6 2 2 3 2 2 2" xfId="25507"/>
    <cellStyle name="Vérification 2 6 2 2 3 2 2 2 2" xfId="37514"/>
    <cellStyle name="Vérification 2 6 2 2 3 2 2 3" xfId="15290"/>
    <cellStyle name="Vérification 2 6 2 2 3 2 2 4" xfId="31511"/>
    <cellStyle name="Vérification 2 6 2 2 3 2 3" xfId="23306"/>
    <cellStyle name="Vérification 2 6 2 2 3 2 3 2" xfId="35313"/>
    <cellStyle name="Vérification 2 6 2 2 3 2 4" xfId="12987"/>
    <cellStyle name="Vérification 2 6 2 2 3 2 5" xfId="29208"/>
    <cellStyle name="Vérification 2 6 2 2 3 3" xfId="7237"/>
    <cellStyle name="Vérification 2 6 2 2 3 3 2" xfId="23461"/>
    <cellStyle name="Vérification 2 6 2 2 3 3 2 2" xfId="35468"/>
    <cellStyle name="Vérification 2 6 2 2 3 3 3" xfId="13621"/>
    <cellStyle name="Vérification 2 6 2 2 3 3 4" xfId="29842"/>
    <cellStyle name="Vérification 2 6 2 2 3 4" xfId="21281"/>
    <cellStyle name="Vérification 2 6 2 2 3 4 2" xfId="34422"/>
    <cellStyle name="Vérification 2 6 2 2 3 5" xfId="10969"/>
    <cellStyle name="Vérification 2 6 2 2 3 6" xfId="27192"/>
    <cellStyle name="Vérification 2 6 2 2 4" xfId="3446"/>
    <cellStyle name="Vérification 2 6 2 2 4 2" xfId="8413"/>
    <cellStyle name="Vérification 2 6 2 2 4 2 2" xfId="24637"/>
    <cellStyle name="Vérification 2 6 2 2 4 2 2 2" xfId="36644"/>
    <cellStyle name="Vérification 2 6 2 2 4 2 3" xfId="14420"/>
    <cellStyle name="Vérification 2 6 2 2 4 2 4" xfId="30641"/>
    <cellStyle name="Vérification 2 6 2 2 4 3" xfId="9950"/>
    <cellStyle name="Vérification 2 6 2 2 4 3 2" xfId="26174"/>
    <cellStyle name="Vérification 2 6 2 2 4 3 2 2" xfId="38181"/>
    <cellStyle name="Vérification 2 6 2 2 4 3 3" xfId="15957"/>
    <cellStyle name="Vérification 2 6 2 2 4 3 4" xfId="32178"/>
    <cellStyle name="Vérification 2 6 2 2 4 4" xfId="19674"/>
    <cellStyle name="Vérification 2 6 2 2 4 4 2" xfId="33788"/>
    <cellStyle name="Vérification 2 6 2 2 4 5" xfId="11968"/>
    <cellStyle name="Vérification 2 6 2 2 4 6" xfId="28189"/>
    <cellStyle name="Vérification 2 6 2 2 5" xfId="3641"/>
    <cellStyle name="Vérification 2 6 2 2 5 2" xfId="8555"/>
    <cellStyle name="Vérification 2 6 2 2 5 2 2" xfId="24779"/>
    <cellStyle name="Vérification 2 6 2 2 5 2 2 2" xfId="36786"/>
    <cellStyle name="Vérification 2 6 2 2 5 2 3" xfId="14562"/>
    <cellStyle name="Vérification 2 6 2 2 5 2 4" xfId="30783"/>
    <cellStyle name="Vérification 2 6 2 2 5 3" xfId="19869"/>
    <cellStyle name="Vérification 2 6 2 2 5 3 2" xfId="33983"/>
    <cellStyle name="Vérification 2 6 2 2 5 4" xfId="12110"/>
    <cellStyle name="Vérification 2 6 2 2 5 5" xfId="28331"/>
    <cellStyle name="Vérification 2 6 2 2 6" xfId="6738"/>
    <cellStyle name="Vérification 2 6 2 2 6 2" xfId="22962"/>
    <cellStyle name="Vérification 2 6 2 2 6 2 2" xfId="34969"/>
    <cellStyle name="Vérification 2 6 2 2 6 3" xfId="12387"/>
    <cellStyle name="Vérification 2 6 2 2 6 4" xfId="28608"/>
    <cellStyle name="Vérification 2 6 2 2 7" xfId="17597"/>
    <cellStyle name="Vérification 2 6 2 2 7 2" xfId="32845"/>
    <cellStyle name="Vérification 2 6 2 2 8" xfId="10617"/>
    <cellStyle name="Vérification 2 6 2 2 9" xfId="26842"/>
    <cellStyle name="Vérification 2 6 2 3" xfId="1041"/>
    <cellStyle name="Vérification 2 6 2 3 2" xfId="2747"/>
    <cellStyle name="Vérification 2 6 2 3 2 2" xfId="6435"/>
    <cellStyle name="Vérification 2 6 2 3 2 2 2" xfId="8816"/>
    <cellStyle name="Vérification 2 6 2 3 2 2 2 2" xfId="25040"/>
    <cellStyle name="Vérification 2 6 2 3 2 2 2 2 2" xfId="37047"/>
    <cellStyle name="Vérification 2 6 2 3 2 2 2 3" xfId="14823"/>
    <cellStyle name="Vérification 2 6 2 3 2 2 2 4" xfId="31044"/>
    <cellStyle name="Vérification 2 6 2 3 2 2 3" xfId="10194"/>
    <cellStyle name="Vérification 2 6 2 3 2 2 3 2" xfId="26418"/>
    <cellStyle name="Vérification 2 6 2 3 2 2 3 2 2" xfId="38425"/>
    <cellStyle name="Vérification 2 6 2 3 2 2 3 3" xfId="16201"/>
    <cellStyle name="Vérification 2 6 2 3 2 2 3 4" xfId="32422"/>
    <cellStyle name="Vérification 2 6 2 3 2 2 4" xfId="22659"/>
    <cellStyle name="Vérification 2 6 2 3 2 2 4 2" xfId="34666"/>
    <cellStyle name="Vérification 2 6 2 3 2 2 5" xfId="12520"/>
    <cellStyle name="Vérification 2 6 2 3 2 2 6" xfId="28741"/>
    <cellStyle name="Vérification 2 6 2 3 2 3" xfId="7483"/>
    <cellStyle name="Vérification 2 6 2 3 2 3 2" xfId="9527"/>
    <cellStyle name="Vérification 2 6 2 3 2 3 2 2" xfId="25751"/>
    <cellStyle name="Vérification 2 6 2 3 2 3 2 2 2" xfId="37758"/>
    <cellStyle name="Vérification 2 6 2 3 2 3 2 3" xfId="15534"/>
    <cellStyle name="Vérification 2 6 2 3 2 3 2 4" xfId="31755"/>
    <cellStyle name="Vérification 2 6 2 3 2 3 3" xfId="23707"/>
    <cellStyle name="Vérification 2 6 2 3 2 3 3 2" xfId="35714"/>
    <cellStyle name="Vérification 2 6 2 3 2 3 4" xfId="13231"/>
    <cellStyle name="Vérification 2 6 2 3 2 3 5" xfId="29452"/>
    <cellStyle name="Vérification 2 6 2 3 2 4" xfId="7860"/>
    <cellStyle name="Vérification 2 6 2 3 2 4 2" xfId="24084"/>
    <cellStyle name="Vérification 2 6 2 3 2 4 2 2" xfId="36091"/>
    <cellStyle name="Vérification 2 6 2 3 2 4 3" xfId="13867"/>
    <cellStyle name="Vérification 2 6 2 3 2 4 4" xfId="30088"/>
    <cellStyle name="Vérification 2 6 2 3 2 5" xfId="18975"/>
    <cellStyle name="Vérification 2 6 2 3 2 5 2" xfId="33089"/>
    <cellStyle name="Vérification 2 6 2 3 2 6" xfId="11216"/>
    <cellStyle name="Vérification 2 6 2 3 2 7" xfId="27437"/>
    <cellStyle name="Vérification 2 6 2 3 3" xfId="4738"/>
    <cellStyle name="Vérification 2 6 2 3 3 2" xfId="6966"/>
    <cellStyle name="Vérification 2 6 2 3 3 2 2" xfId="9194"/>
    <cellStyle name="Vérification 2 6 2 3 3 2 2 2" xfId="25418"/>
    <cellStyle name="Vérification 2 6 2 3 3 2 2 2 2" xfId="37425"/>
    <cellStyle name="Vérification 2 6 2 3 3 2 2 3" xfId="15201"/>
    <cellStyle name="Vérification 2 6 2 3 3 2 2 4" xfId="31422"/>
    <cellStyle name="Vérification 2 6 2 3 3 2 3" xfId="23190"/>
    <cellStyle name="Vérification 2 6 2 3 3 2 3 2" xfId="35197"/>
    <cellStyle name="Vérification 2 6 2 3 3 2 4" xfId="12898"/>
    <cellStyle name="Vérification 2 6 2 3 3 2 5" xfId="29119"/>
    <cellStyle name="Vérification 2 6 2 3 3 3" xfId="7227"/>
    <cellStyle name="Vérification 2 6 2 3 3 3 2" xfId="23451"/>
    <cellStyle name="Vérification 2 6 2 3 3 3 2 2" xfId="35458"/>
    <cellStyle name="Vérification 2 6 2 3 3 3 3" xfId="13611"/>
    <cellStyle name="Vérification 2 6 2 3 3 3 4" xfId="29832"/>
    <cellStyle name="Vérification 2 6 2 3 3 4" xfId="20964"/>
    <cellStyle name="Vérification 2 6 2 3 3 4 2" xfId="34333"/>
    <cellStyle name="Vérification 2 6 2 3 3 5" xfId="10880"/>
    <cellStyle name="Vérification 2 6 2 3 3 6" xfId="27103"/>
    <cellStyle name="Vérification 2 6 2 3 4" xfId="3303"/>
    <cellStyle name="Vérification 2 6 2 3 4 2" xfId="8290"/>
    <cellStyle name="Vérification 2 6 2 3 4 2 2" xfId="24514"/>
    <cellStyle name="Vérification 2 6 2 3 4 2 2 2" xfId="36521"/>
    <cellStyle name="Vérification 2 6 2 3 4 2 3" xfId="14297"/>
    <cellStyle name="Vérification 2 6 2 3 4 2 4" xfId="30518"/>
    <cellStyle name="Vérification 2 6 2 3 4 3" xfId="9861"/>
    <cellStyle name="Vérification 2 6 2 3 4 3 2" xfId="26085"/>
    <cellStyle name="Vérification 2 6 2 3 4 3 2 2" xfId="38092"/>
    <cellStyle name="Vérification 2 6 2 3 4 3 3" xfId="15868"/>
    <cellStyle name="Vérification 2 6 2 3 4 3 4" xfId="32089"/>
    <cellStyle name="Vérification 2 6 2 3 4 4" xfId="19531"/>
    <cellStyle name="Vérification 2 6 2 3 4 4 2" xfId="33645"/>
    <cellStyle name="Vérification 2 6 2 3 4 5" xfId="11845"/>
    <cellStyle name="Vérification 2 6 2 3 4 6" xfId="28066"/>
    <cellStyle name="Vérification 2 6 2 3 5" xfId="3311"/>
    <cellStyle name="Vérification 2 6 2 3 5 2" xfId="8297"/>
    <cellStyle name="Vérification 2 6 2 3 5 2 2" xfId="24521"/>
    <cellStyle name="Vérification 2 6 2 3 5 2 2 2" xfId="36528"/>
    <cellStyle name="Vérification 2 6 2 3 5 2 3" xfId="14304"/>
    <cellStyle name="Vérification 2 6 2 3 5 2 4" xfId="30525"/>
    <cellStyle name="Vérification 2 6 2 3 5 3" xfId="19539"/>
    <cellStyle name="Vérification 2 6 2 3 5 3 2" xfId="33653"/>
    <cellStyle name="Vérification 2 6 2 3 5 4" xfId="11852"/>
    <cellStyle name="Vérification 2 6 2 3 5 5" xfId="28073"/>
    <cellStyle name="Vérification 2 6 2 3 6" xfId="6788"/>
    <cellStyle name="Vérification 2 6 2 3 6 2" xfId="23012"/>
    <cellStyle name="Vérification 2 6 2 3 6 2 2" xfId="35019"/>
    <cellStyle name="Vérification 2 6 2 3 6 3" xfId="13450"/>
    <cellStyle name="Vérification 2 6 2 3 6 4" xfId="29671"/>
    <cellStyle name="Vérification 2 6 2 3 7" xfId="17280"/>
    <cellStyle name="Vérification 2 6 2 3 7 2" xfId="32756"/>
    <cellStyle name="Vérification 2 6 2 3 8" xfId="10528"/>
    <cellStyle name="Vérification 2 6 2 3 9" xfId="26753"/>
    <cellStyle name="Vérification 2 6 2 4" xfId="2658"/>
    <cellStyle name="Vérification 2 6 2 4 2" xfId="6346"/>
    <cellStyle name="Vérification 2 6 2 4 2 2" xfId="8727"/>
    <cellStyle name="Vérification 2 6 2 4 2 2 2" xfId="24951"/>
    <cellStyle name="Vérification 2 6 2 4 2 2 2 2" xfId="36958"/>
    <cellStyle name="Vérification 2 6 2 4 2 2 3" xfId="14734"/>
    <cellStyle name="Vérification 2 6 2 4 2 2 4" xfId="30955"/>
    <cellStyle name="Vérification 2 6 2 4 2 3" xfId="10105"/>
    <cellStyle name="Vérification 2 6 2 4 2 3 2" xfId="26329"/>
    <cellStyle name="Vérification 2 6 2 4 2 3 2 2" xfId="38336"/>
    <cellStyle name="Vérification 2 6 2 4 2 3 3" xfId="16112"/>
    <cellStyle name="Vérification 2 6 2 4 2 3 4" xfId="32333"/>
    <cellStyle name="Vérification 2 6 2 4 2 4" xfId="22570"/>
    <cellStyle name="Vérification 2 6 2 4 2 4 2" xfId="34577"/>
    <cellStyle name="Vérification 2 6 2 4 2 5" xfId="12431"/>
    <cellStyle name="Vérification 2 6 2 4 2 6" xfId="28652"/>
    <cellStyle name="Vérification 2 6 2 4 3" xfId="7394"/>
    <cellStyle name="Vérification 2 6 2 4 3 2" xfId="9438"/>
    <cellStyle name="Vérification 2 6 2 4 3 2 2" xfId="25662"/>
    <cellStyle name="Vérification 2 6 2 4 3 2 2 2" xfId="37669"/>
    <cellStyle name="Vérification 2 6 2 4 3 2 3" xfId="15445"/>
    <cellStyle name="Vérification 2 6 2 4 3 2 4" xfId="31666"/>
    <cellStyle name="Vérification 2 6 2 4 3 3" xfId="23618"/>
    <cellStyle name="Vérification 2 6 2 4 3 3 2" xfId="35625"/>
    <cellStyle name="Vérification 2 6 2 4 3 4" xfId="13142"/>
    <cellStyle name="Vérification 2 6 2 4 3 5" xfId="29363"/>
    <cellStyle name="Vérification 2 6 2 4 4" xfId="7771"/>
    <cellStyle name="Vérification 2 6 2 4 4 2" xfId="23995"/>
    <cellStyle name="Vérification 2 6 2 4 4 2 2" xfId="36002"/>
    <cellStyle name="Vérification 2 6 2 4 4 3" xfId="13778"/>
    <cellStyle name="Vérification 2 6 2 4 4 4" xfId="29999"/>
    <cellStyle name="Vérification 2 6 2 4 5" xfId="18886"/>
    <cellStyle name="Vérification 2 6 2 4 5 2" xfId="33000"/>
    <cellStyle name="Vérification 2 6 2 4 6" xfId="11127"/>
    <cellStyle name="Vérification 2 6 2 4 7" xfId="27348"/>
    <cellStyle name="Vérification 2 6 2 5" xfId="4163"/>
    <cellStyle name="Vérification 2 6 2 5 2" xfId="6801"/>
    <cellStyle name="Vérification 2 6 2 5 2 2" xfId="9105"/>
    <cellStyle name="Vérification 2 6 2 5 2 2 2" xfId="25329"/>
    <cellStyle name="Vérification 2 6 2 5 2 2 2 2" xfId="37336"/>
    <cellStyle name="Vérification 2 6 2 5 2 2 3" xfId="15112"/>
    <cellStyle name="Vérification 2 6 2 5 2 2 4" xfId="31333"/>
    <cellStyle name="Vérification 2 6 2 5 2 3" xfId="23025"/>
    <cellStyle name="Vérification 2 6 2 5 2 3 2" xfId="35032"/>
    <cellStyle name="Vérification 2 6 2 5 2 4" xfId="12809"/>
    <cellStyle name="Vérification 2 6 2 5 2 5" xfId="29030"/>
    <cellStyle name="Vérification 2 6 2 5 3" xfId="3147"/>
    <cellStyle name="Vérification 2 6 2 5 3 2" xfId="19375"/>
    <cellStyle name="Vérification 2 6 2 5 3 2 2" xfId="33489"/>
    <cellStyle name="Vérification 2 6 2 5 3 3" xfId="11468"/>
    <cellStyle name="Vérification 2 6 2 5 3 4" xfId="27689"/>
    <cellStyle name="Vérification 2 6 2 5 4" xfId="20389"/>
    <cellStyle name="Vérification 2 6 2 5 4 2" xfId="34244"/>
    <cellStyle name="Vérification 2 6 2 5 5" xfId="10784"/>
    <cellStyle name="Vérification 2 6 2 5 6" xfId="27007"/>
    <cellStyle name="Vérification 2 6 2 6" xfId="3081"/>
    <cellStyle name="Vérification 2 6 2 6 2" xfId="8141"/>
    <cellStyle name="Vérification 2 6 2 6 2 2" xfId="24365"/>
    <cellStyle name="Vérification 2 6 2 6 2 2 2" xfId="36372"/>
    <cellStyle name="Vérification 2 6 2 6 2 3" xfId="14148"/>
    <cellStyle name="Vérification 2 6 2 6 2 4" xfId="30369"/>
    <cellStyle name="Vérification 2 6 2 6 3" xfId="9772"/>
    <cellStyle name="Vérification 2 6 2 6 3 2" xfId="25996"/>
    <cellStyle name="Vérification 2 6 2 6 3 2 2" xfId="38003"/>
    <cellStyle name="Vérification 2 6 2 6 3 3" xfId="15779"/>
    <cellStyle name="Vérification 2 6 2 6 3 4" xfId="32000"/>
    <cellStyle name="Vérification 2 6 2 6 4" xfId="19309"/>
    <cellStyle name="Vérification 2 6 2 6 4 2" xfId="33423"/>
    <cellStyle name="Vérification 2 6 2 6 5" xfId="11696"/>
    <cellStyle name="Vérification 2 6 2 6 6" xfId="27917"/>
    <cellStyle name="Vérification 2 6 2 7" xfId="3539"/>
    <cellStyle name="Vérification 2 6 2 7 2" xfId="8499"/>
    <cellStyle name="Vérification 2 6 2 7 2 2" xfId="24723"/>
    <cellStyle name="Vérification 2 6 2 7 2 2 2" xfId="36730"/>
    <cellStyle name="Vérification 2 6 2 7 2 3" xfId="14506"/>
    <cellStyle name="Vérification 2 6 2 7 2 4" xfId="30727"/>
    <cellStyle name="Vérification 2 6 2 7 3" xfId="19767"/>
    <cellStyle name="Vérification 2 6 2 7 3 2" xfId="33881"/>
    <cellStyle name="Vérification 2 6 2 7 4" xfId="12054"/>
    <cellStyle name="Vérification 2 6 2 7 5" xfId="28275"/>
    <cellStyle name="Vérification 2 6 2 8" xfId="3398"/>
    <cellStyle name="Vérification 2 6 2 8 2" xfId="19626"/>
    <cellStyle name="Vérification 2 6 2 8 2 2" xfId="33740"/>
    <cellStyle name="Vérification 2 6 2 8 3" xfId="12373"/>
    <cellStyle name="Vérification 2 6 2 8 4" xfId="28594"/>
    <cellStyle name="Vérification 2 6 2 9" xfId="16705"/>
    <cellStyle name="Vérification 2 6 2 9 2" xfId="32667"/>
    <cellStyle name="Vérification 2 6 3" xfId="513"/>
    <cellStyle name="Vérification 2 6 3 10" xfId="10460"/>
    <cellStyle name="Vérification 2 6 3 11" xfId="26685"/>
    <cellStyle name="Vérification 2 6 3 2" xfId="1379"/>
    <cellStyle name="Vérification 2 6 3 2 2" xfId="2857"/>
    <cellStyle name="Vérification 2 6 3 2 2 2" xfId="6545"/>
    <cellStyle name="Vérification 2 6 3 2 2 2 2" xfId="8926"/>
    <cellStyle name="Vérification 2 6 3 2 2 2 2 2" xfId="25150"/>
    <cellStyle name="Vérification 2 6 3 2 2 2 2 2 2" xfId="37157"/>
    <cellStyle name="Vérification 2 6 3 2 2 2 2 3" xfId="14933"/>
    <cellStyle name="Vérification 2 6 3 2 2 2 2 4" xfId="31154"/>
    <cellStyle name="Vérification 2 6 3 2 2 2 3" xfId="10304"/>
    <cellStyle name="Vérification 2 6 3 2 2 2 3 2" xfId="26528"/>
    <cellStyle name="Vérification 2 6 3 2 2 2 3 2 2" xfId="38535"/>
    <cellStyle name="Vérification 2 6 3 2 2 2 3 3" xfId="16311"/>
    <cellStyle name="Vérification 2 6 3 2 2 2 3 4" xfId="32532"/>
    <cellStyle name="Vérification 2 6 3 2 2 2 4" xfId="22769"/>
    <cellStyle name="Vérification 2 6 3 2 2 2 4 2" xfId="34776"/>
    <cellStyle name="Vérification 2 6 3 2 2 2 5" xfId="12630"/>
    <cellStyle name="Vérification 2 6 3 2 2 2 6" xfId="28851"/>
    <cellStyle name="Vérification 2 6 3 2 2 3" xfId="7593"/>
    <cellStyle name="Vérification 2 6 3 2 2 3 2" xfId="9637"/>
    <cellStyle name="Vérification 2 6 3 2 2 3 2 2" xfId="25861"/>
    <cellStyle name="Vérification 2 6 3 2 2 3 2 2 2" xfId="37868"/>
    <cellStyle name="Vérification 2 6 3 2 2 3 2 3" xfId="15644"/>
    <cellStyle name="Vérification 2 6 3 2 2 3 2 4" xfId="31865"/>
    <cellStyle name="Vérification 2 6 3 2 2 3 3" xfId="23817"/>
    <cellStyle name="Vérification 2 6 3 2 2 3 3 2" xfId="35824"/>
    <cellStyle name="Vérification 2 6 3 2 2 3 4" xfId="13341"/>
    <cellStyle name="Vérification 2 6 3 2 2 3 5" xfId="29562"/>
    <cellStyle name="Vérification 2 6 3 2 2 4" xfId="7970"/>
    <cellStyle name="Vérification 2 6 3 2 2 4 2" xfId="24194"/>
    <cellStyle name="Vérification 2 6 3 2 2 4 2 2" xfId="36201"/>
    <cellStyle name="Vérification 2 6 3 2 2 4 3" xfId="13977"/>
    <cellStyle name="Vérification 2 6 3 2 2 4 4" xfId="30198"/>
    <cellStyle name="Vérification 2 6 3 2 2 5" xfId="19085"/>
    <cellStyle name="Vérification 2 6 3 2 2 5 2" xfId="33199"/>
    <cellStyle name="Vérification 2 6 3 2 2 6" xfId="11326"/>
    <cellStyle name="Vérification 2 6 3 2 2 7" xfId="27547"/>
    <cellStyle name="Vérification 2 6 3 2 3" xfId="5076"/>
    <cellStyle name="Vérification 2 6 3 2 3 2" xfId="7103"/>
    <cellStyle name="Vérification 2 6 3 2 3 2 2" xfId="9304"/>
    <cellStyle name="Vérification 2 6 3 2 3 2 2 2" xfId="25528"/>
    <cellStyle name="Vérification 2 6 3 2 3 2 2 2 2" xfId="37535"/>
    <cellStyle name="Vérification 2 6 3 2 3 2 2 3" xfId="15311"/>
    <cellStyle name="Vérification 2 6 3 2 3 2 2 4" xfId="31532"/>
    <cellStyle name="Vérification 2 6 3 2 3 2 3" xfId="23327"/>
    <cellStyle name="Vérification 2 6 3 2 3 2 3 2" xfId="35334"/>
    <cellStyle name="Vérification 2 6 3 2 3 2 4" xfId="13008"/>
    <cellStyle name="Vérification 2 6 3 2 3 2 5" xfId="29229"/>
    <cellStyle name="Vérification 2 6 3 2 3 3" xfId="7310"/>
    <cellStyle name="Vérification 2 6 3 2 3 3 2" xfId="23534"/>
    <cellStyle name="Vérification 2 6 3 2 3 3 2 2" xfId="35541"/>
    <cellStyle name="Vérification 2 6 3 2 3 3 3" xfId="13686"/>
    <cellStyle name="Vérification 2 6 3 2 3 3 4" xfId="29907"/>
    <cellStyle name="Vérification 2 6 3 2 3 4" xfId="21302"/>
    <cellStyle name="Vérification 2 6 3 2 3 4 2" xfId="34443"/>
    <cellStyle name="Vérification 2 6 3 2 3 5" xfId="10990"/>
    <cellStyle name="Vérification 2 6 3 2 3 6" xfId="27213"/>
    <cellStyle name="Vérification 2 6 3 2 4" xfId="3467"/>
    <cellStyle name="Vérification 2 6 3 2 4 2" xfId="8434"/>
    <cellStyle name="Vérification 2 6 3 2 4 2 2" xfId="24658"/>
    <cellStyle name="Vérification 2 6 3 2 4 2 2 2" xfId="36665"/>
    <cellStyle name="Vérification 2 6 3 2 4 2 3" xfId="14441"/>
    <cellStyle name="Vérification 2 6 3 2 4 2 4" xfId="30662"/>
    <cellStyle name="Vérification 2 6 3 2 4 3" xfId="9971"/>
    <cellStyle name="Vérification 2 6 3 2 4 3 2" xfId="26195"/>
    <cellStyle name="Vérification 2 6 3 2 4 3 2 2" xfId="38202"/>
    <cellStyle name="Vérification 2 6 3 2 4 3 3" xfId="15978"/>
    <cellStyle name="Vérification 2 6 3 2 4 3 4" xfId="32199"/>
    <cellStyle name="Vérification 2 6 3 2 4 4" xfId="19695"/>
    <cellStyle name="Vérification 2 6 3 2 4 4 2" xfId="33809"/>
    <cellStyle name="Vérification 2 6 3 2 4 5" xfId="11989"/>
    <cellStyle name="Vérification 2 6 3 2 4 6" xfId="28210"/>
    <cellStyle name="Vérification 2 6 3 2 5" xfId="3321"/>
    <cellStyle name="Vérification 2 6 3 2 5 2" xfId="8304"/>
    <cellStyle name="Vérification 2 6 3 2 5 2 2" xfId="24528"/>
    <cellStyle name="Vérification 2 6 3 2 5 2 2 2" xfId="36535"/>
    <cellStyle name="Vérification 2 6 3 2 5 2 3" xfId="14311"/>
    <cellStyle name="Vérification 2 6 3 2 5 2 4" xfId="30532"/>
    <cellStyle name="Vérification 2 6 3 2 5 3" xfId="19549"/>
    <cellStyle name="Vérification 2 6 3 2 5 3 2" xfId="33663"/>
    <cellStyle name="Vérification 2 6 3 2 5 4" xfId="11859"/>
    <cellStyle name="Vérification 2 6 3 2 5 5" xfId="28080"/>
    <cellStyle name="Vérification 2 6 3 2 6" xfId="7251"/>
    <cellStyle name="Vérification 2 6 3 2 6 2" xfId="23475"/>
    <cellStyle name="Vérification 2 6 3 2 6 2 2" xfId="35482"/>
    <cellStyle name="Vérification 2 6 3 2 6 3" xfId="13635"/>
    <cellStyle name="Vérification 2 6 3 2 6 4" xfId="29856"/>
    <cellStyle name="Vérification 2 6 3 2 7" xfId="17618"/>
    <cellStyle name="Vérification 2 6 3 2 7 2" xfId="32866"/>
    <cellStyle name="Vérification 2 6 3 2 8" xfId="10638"/>
    <cellStyle name="Vérification 2 6 3 2 9" xfId="26863"/>
    <cellStyle name="Vérification 2 6 3 3" xfId="1128"/>
    <cellStyle name="Vérification 2 6 3 3 2" xfId="2768"/>
    <cellStyle name="Vérification 2 6 3 3 2 2" xfId="6456"/>
    <cellStyle name="Vérification 2 6 3 3 2 2 2" xfId="8837"/>
    <cellStyle name="Vérification 2 6 3 3 2 2 2 2" xfId="25061"/>
    <cellStyle name="Vérification 2 6 3 3 2 2 2 2 2" xfId="37068"/>
    <cellStyle name="Vérification 2 6 3 3 2 2 2 3" xfId="14844"/>
    <cellStyle name="Vérification 2 6 3 3 2 2 2 4" xfId="31065"/>
    <cellStyle name="Vérification 2 6 3 3 2 2 3" xfId="10215"/>
    <cellStyle name="Vérification 2 6 3 3 2 2 3 2" xfId="26439"/>
    <cellStyle name="Vérification 2 6 3 3 2 2 3 2 2" xfId="38446"/>
    <cellStyle name="Vérification 2 6 3 3 2 2 3 3" xfId="16222"/>
    <cellStyle name="Vérification 2 6 3 3 2 2 3 4" xfId="32443"/>
    <cellStyle name="Vérification 2 6 3 3 2 2 4" xfId="22680"/>
    <cellStyle name="Vérification 2 6 3 3 2 2 4 2" xfId="34687"/>
    <cellStyle name="Vérification 2 6 3 3 2 2 5" xfId="12541"/>
    <cellStyle name="Vérification 2 6 3 3 2 2 6" xfId="28762"/>
    <cellStyle name="Vérification 2 6 3 3 2 3" xfId="7504"/>
    <cellStyle name="Vérification 2 6 3 3 2 3 2" xfId="9548"/>
    <cellStyle name="Vérification 2 6 3 3 2 3 2 2" xfId="25772"/>
    <cellStyle name="Vérification 2 6 3 3 2 3 2 2 2" xfId="37779"/>
    <cellStyle name="Vérification 2 6 3 3 2 3 2 3" xfId="15555"/>
    <cellStyle name="Vérification 2 6 3 3 2 3 2 4" xfId="31776"/>
    <cellStyle name="Vérification 2 6 3 3 2 3 3" xfId="23728"/>
    <cellStyle name="Vérification 2 6 3 3 2 3 3 2" xfId="35735"/>
    <cellStyle name="Vérification 2 6 3 3 2 3 4" xfId="13252"/>
    <cellStyle name="Vérification 2 6 3 3 2 3 5" xfId="29473"/>
    <cellStyle name="Vérification 2 6 3 3 2 4" xfId="7881"/>
    <cellStyle name="Vérification 2 6 3 3 2 4 2" xfId="24105"/>
    <cellStyle name="Vérification 2 6 3 3 2 4 2 2" xfId="36112"/>
    <cellStyle name="Vérification 2 6 3 3 2 4 3" xfId="13888"/>
    <cellStyle name="Vérification 2 6 3 3 2 4 4" xfId="30109"/>
    <cellStyle name="Vérification 2 6 3 3 2 5" xfId="18996"/>
    <cellStyle name="Vérification 2 6 3 3 2 5 2" xfId="33110"/>
    <cellStyle name="Vérification 2 6 3 3 2 6" xfId="11237"/>
    <cellStyle name="Vérification 2 6 3 3 2 7" xfId="27458"/>
    <cellStyle name="Vérification 2 6 3 3 3" xfId="4825"/>
    <cellStyle name="Vérification 2 6 3 3 3 2" xfId="6995"/>
    <cellStyle name="Vérification 2 6 3 3 3 2 2" xfId="9215"/>
    <cellStyle name="Vérification 2 6 3 3 3 2 2 2" xfId="25439"/>
    <cellStyle name="Vérification 2 6 3 3 3 2 2 2 2" xfId="37446"/>
    <cellStyle name="Vérification 2 6 3 3 3 2 2 3" xfId="15222"/>
    <cellStyle name="Vérification 2 6 3 3 3 2 2 4" xfId="31443"/>
    <cellStyle name="Vérification 2 6 3 3 3 2 3" xfId="23219"/>
    <cellStyle name="Vérification 2 6 3 3 3 2 3 2" xfId="35226"/>
    <cellStyle name="Vérification 2 6 3 3 3 2 4" xfId="12919"/>
    <cellStyle name="Vérification 2 6 3 3 3 2 5" xfId="29140"/>
    <cellStyle name="Vérification 2 6 3 3 3 3" xfId="3559"/>
    <cellStyle name="Vérification 2 6 3 3 3 3 2" xfId="19787"/>
    <cellStyle name="Vérification 2 6 3 3 3 3 2 2" xfId="33901"/>
    <cellStyle name="Vérification 2 6 3 3 3 3 3" xfId="11489"/>
    <cellStyle name="Vérification 2 6 3 3 3 3 4" xfId="27710"/>
    <cellStyle name="Vérification 2 6 3 3 3 4" xfId="21051"/>
    <cellStyle name="Vérification 2 6 3 3 3 4 2" xfId="34354"/>
    <cellStyle name="Vérification 2 6 3 3 3 5" xfId="10901"/>
    <cellStyle name="Vérification 2 6 3 3 3 6" xfId="27124"/>
    <cellStyle name="Vérification 2 6 3 3 4" xfId="3339"/>
    <cellStyle name="Vérification 2 6 3 3 4 2" xfId="8322"/>
    <cellStyle name="Vérification 2 6 3 3 4 2 2" xfId="24546"/>
    <cellStyle name="Vérification 2 6 3 3 4 2 2 2" xfId="36553"/>
    <cellStyle name="Vérification 2 6 3 3 4 2 3" xfId="14329"/>
    <cellStyle name="Vérification 2 6 3 3 4 2 4" xfId="30550"/>
    <cellStyle name="Vérification 2 6 3 3 4 3" xfId="9882"/>
    <cellStyle name="Vérification 2 6 3 3 4 3 2" xfId="26106"/>
    <cellStyle name="Vérification 2 6 3 3 4 3 2 2" xfId="38113"/>
    <cellStyle name="Vérification 2 6 3 3 4 3 3" xfId="15889"/>
    <cellStyle name="Vérification 2 6 3 3 4 3 4" xfId="32110"/>
    <cellStyle name="Vérification 2 6 3 3 4 4" xfId="19567"/>
    <cellStyle name="Vérification 2 6 3 3 4 4 2" xfId="33681"/>
    <cellStyle name="Vérification 2 6 3 3 4 5" xfId="11877"/>
    <cellStyle name="Vérification 2 6 3 3 4 6" xfId="28098"/>
    <cellStyle name="Vérification 2 6 3 3 5" xfId="3538"/>
    <cellStyle name="Vérification 2 6 3 3 5 2" xfId="8498"/>
    <cellStyle name="Vérification 2 6 3 3 5 2 2" xfId="24722"/>
    <cellStyle name="Vérification 2 6 3 3 5 2 2 2" xfId="36729"/>
    <cellStyle name="Vérification 2 6 3 3 5 2 3" xfId="14505"/>
    <cellStyle name="Vérification 2 6 3 3 5 2 4" xfId="30726"/>
    <cellStyle name="Vérification 2 6 3 3 5 3" xfId="19766"/>
    <cellStyle name="Vérification 2 6 3 3 5 3 2" xfId="33880"/>
    <cellStyle name="Vérification 2 6 3 3 5 4" xfId="12053"/>
    <cellStyle name="Vérification 2 6 3 3 5 5" xfId="28274"/>
    <cellStyle name="Vérification 2 6 3 3 6" xfId="3043"/>
    <cellStyle name="Vérification 2 6 3 3 6 2" xfId="19271"/>
    <cellStyle name="Vérification 2 6 3 3 6 2 2" xfId="33385"/>
    <cellStyle name="Vérification 2 6 3 3 6 3" xfId="11546"/>
    <cellStyle name="Vérification 2 6 3 3 6 4" xfId="27767"/>
    <cellStyle name="Vérification 2 6 3 3 7" xfId="17367"/>
    <cellStyle name="Vérification 2 6 3 3 7 2" xfId="32777"/>
    <cellStyle name="Vérification 2 6 3 3 8" xfId="10549"/>
    <cellStyle name="Vérification 2 6 3 3 9" xfId="26774"/>
    <cellStyle name="Vérification 2 6 3 4" xfId="2679"/>
    <cellStyle name="Vérification 2 6 3 4 2" xfId="6367"/>
    <cellStyle name="Vérification 2 6 3 4 2 2" xfId="8748"/>
    <cellStyle name="Vérification 2 6 3 4 2 2 2" xfId="24972"/>
    <cellStyle name="Vérification 2 6 3 4 2 2 2 2" xfId="36979"/>
    <cellStyle name="Vérification 2 6 3 4 2 2 3" xfId="14755"/>
    <cellStyle name="Vérification 2 6 3 4 2 2 4" xfId="30976"/>
    <cellStyle name="Vérification 2 6 3 4 2 3" xfId="10126"/>
    <cellStyle name="Vérification 2 6 3 4 2 3 2" xfId="26350"/>
    <cellStyle name="Vérification 2 6 3 4 2 3 2 2" xfId="38357"/>
    <cellStyle name="Vérification 2 6 3 4 2 3 3" xfId="16133"/>
    <cellStyle name="Vérification 2 6 3 4 2 3 4" xfId="32354"/>
    <cellStyle name="Vérification 2 6 3 4 2 4" xfId="22591"/>
    <cellStyle name="Vérification 2 6 3 4 2 4 2" xfId="34598"/>
    <cellStyle name="Vérification 2 6 3 4 2 5" xfId="12452"/>
    <cellStyle name="Vérification 2 6 3 4 2 6" xfId="28673"/>
    <cellStyle name="Vérification 2 6 3 4 3" xfId="7415"/>
    <cellStyle name="Vérification 2 6 3 4 3 2" xfId="9459"/>
    <cellStyle name="Vérification 2 6 3 4 3 2 2" xfId="25683"/>
    <cellStyle name="Vérification 2 6 3 4 3 2 2 2" xfId="37690"/>
    <cellStyle name="Vérification 2 6 3 4 3 2 3" xfId="15466"/>
    <cellStyle name="Vérification 2 6 3 4 3 2 4" xfId="31687"/>
    <cellStyle name="Vérification 2 6 3 4 3 3" xfId="23639"/>
    <cellStyle name="Vérification 2 6 3 4 3 3 2" xfId="35646"/>
    <cellStyle name="Vérification 2 6 3 4 3 4" xfId="13163"/>
    <cellStyle name="Vérification 2 6 3 4 3 5" xfId="29384"/>
    <cellStyle name="Vérification 2 6 3 4 4" xfId="7792"/>
    <cellStyle name="Vérification 2 6 3 4 4 2" xfId="24016"/>
    <cellStyle name="Vérification 2 6 3 4 4 2 2" xfId="36023"/>
    <cellStyle name="Vérification 2 6 3 4 4 3" xfId="13799"/>
    <cellStyle name="Vérification 2 6 3 4 4 4" xfId="30020"/>
    <cellStyle name="Vérification 2 6 3 4 5" xfId="18907"/>
    <cellStyle name="Vérification 2 6 3 4 5 2" xfId="33021"/>
    <cellStyle name="Vérification 2 6 3 4 6" xfId="11148"/>
    <cellStyle name="Vérification 2 6 3 4 7" xfId="27369"/>
    <cellStyle name="Vérification 2 6 3 5" xfId="4250"/>
    <cellStyle name="Vérification 2 6 3 5 2" xfId="6830"/>
    <cellStyle name="Vérification 2 6 3 5 2 2" xfId="9126"/>
    <cellStyle name="Vérification 2 6 3 5 2 2 2" xfId="25350"/>
    <cellStyle name="Vérification 2 6 3 5 2 2 2 2" xfId="37357"/>
    <cellStyle name="Vérification 2 6 3 5 2 2 3" xfId="15133"/>
    <cellStyle name="Vérification 2 6 3 5 2 2 4" xfId="31354"/>
    <cellStyle name="Vérification 2 6 3 5 2 3" xfId="23054"/>
    <cellStyle name="Vérification 2 6 3 5 2 3 2" xfId="35061"/>
    <cellStyle name="Vérification 2 6 3 5 2 4" xfId="12830"/>
    <cellStyle name="Vérification 2 6 3 5 2 5" xfId="29051"/>
    <cellStyle name="Vérification 2 6 3 5 3" xfId="3235"/>
    <cellStyle name="Vérification 2 6 3 5 3 2" xfId="19463"/>
    <cellStyle name="Vérification 2 6 3 5 3 2 2" xfId="33577"/>
    <cellStyle name="Vérification 2 6 3 5 3 3" xfId="12262"/>
    <cellStyle name="Vérification 2 6 3 5 3 4" xfId="28483"/>
    <cellStyle name="Vérification 2 6 3 5 4" xfId="20476"/>
    <cellStyle name="Vérification 2 6 3 5 4 2" xfId="34265"/>
    <cellStyle name="Vérification 2 6 3 5 5" xfId="10805"/>
    <cellStyle name="Vérification 2 6 3 5 6" xfId="27028"/>
    <cellStyle name="Vérification 2 6 3 6" xfId="3118"/>
    <cellStyle name="Vérification 2 6 3 6 2" xfId="8170"/>
    <cellStyle name="Vérification 2 6 3 6 2 2" xfId="24394"/>
    <cellStyle name="Vérification 2 6 3 6 2 2 2" xfId="36401"/>
    <cellStyle name="Vérification 2 6 3 6 2 3" xfId="14177"/>
    <cellStyle name="Vérification 2 6 3 6 2 4" xfId="30398"/>
    <cellStyle name="Vérification 2 6 3 6 3" xfId="9793"/>
    <cellStyle name="Vérification 2 6 3 6 3 2" xfId="26017"/>
    <cellStyle name="Vérification 2 6 3 6 3 2 2" xfId="38024"/>
    <cellStyle name="Vérification 2 6 3 6 3 3" xfId="15800"/>
    <cellStyle name="Vérification 2 6 3 6 3 4" xfId="32021"/>
    <cellStyle name="Vérification 2 6 3 6 4" xfId="19346"/>
    <cellStyle name="Vérification 2 6 3 6 4 2" xfId="33460"/>
    <cellStyle name="Vérification 2 6 3 6 5" xfId="11725"/>
    <cellStyle name="Vérification 2 6 3 6 6" xfId="27946"/>
    <cellStyle name="Vérification 2 6 3 7" xfId="3832"/>
    <cellStyle name="Vérification 2 6 3 7 2" xfId="8660"/>
    <cellStyle name="Vérification 2 6 3 7 2 2" xfId="24884"/>
    <cellStyle name="Vérification 2 6 3 7 2 2 2" xfId="36891"/>
    <cellStyle name="Vérification 2 6 3 7 2 3" xfId="14667"/>
    <cellStyle name="Vérification 2 6 3 7 2 4" xfId="30888"/>
    <cellStyle name="Vérification 2 6 3 7 3" xfId="20060"/>
    <cellStyle name="Vérification 2 6 3 7 3 2" xfId="34174"/>
    <cellStyle name="Vérification 2 6 3 7 4" xfId="12215"/>
    <cellStyle name="Vérification 2 6 3 7 5" xfId="28436"/>
    <cellStyle name="Vérification 2 6 3 8" xfId="3659"/>
    <cellStyle name="Vérification 2 6 3 8 2" xfId="19887"/>
    <cellStyle name="Vérification 2 6 3 8 2 2" xfId="34001"/>
    <cellStyle name="Vérification 2 6 3 8 3" xfId="12305"/>
    <cellStyle name="Vérification 2 6 3 8 4" xfId="28526"/>
    <cellStyle name="Vérification 2 6 3 9" xfId="16792"/>
    <cellStyle name="Vérification 2 6 3 9 2" xfId="32688"/>
    <cellStyle name="Vérification 2 6 4" xfId="650"/>
    <cellStyle name="Vérification 2 6 4 10" xfId="10483"/>
    <cellStyle name="Vérification 2 6 4 11" xfId="26708"/>
    <cellStyle name="Vérification 2 6 4 2" xfId="1402"/>
    <cellStyle name="Vérification 2 6 4 2 2" xfId="2880"/>
    <cellStyle name="Vérification 2 6 4 2 2 2" xfId="6568"/>
    <cellStyle name="Vérification 2 6 4 2 2 2 2" xfId="8949"/>
    <cellStyle name="Vérification 2 6 4 2 2 2 2 2" xfId="25173"/>
    <cellStyle name="Vérification 2 6 4 2 2 2 2 2 2" xfId="37180"/>
    <cellStyle name="Vérification 2 6 4 2 2 2 2 3" xfId="14956"/>
    <cellStyle name="Vérification 2 6 4 2 2 2 2 4" xfId="31177"/>
    <cellStyle name="Vérification 2 6 4 2 2 2 3" xfId="10327"/>
    <cellStyle name="Vérification 2 6 4 2 2 2 3 2" xfId="26551"/>
    <cellStyle name="Vérification 2 6 4 2 2 2 3 2 2" xfId="38558"/>
    <cellStyle name="Vérification 2 6 4 2 2 2 3 3" xfId="16334"/>
    <cellStyle name="Vérification 2 6 4 2 2 2 3 4" xfId="32555"/>
    <cellStyle name="Vérification 2 6 4 2 2 2 4" xfId="22792"/>
    <cellStyle name="Vérification 2 6 4 2 2 2 4 2" xfId="34799"/>
    <cellStyle name="Vérification 2 6 4 2 2 2 5" xfId="12653"/>
    <cellStyle name="Vérification 2 6 4 2 2 2 6" xfId="28874"/>
    <cellStyle name="Vérification 2 6 4 2 2 3" xfId="7616"/>
    <cellStyle name="Vérification 2 6 4 2 2 3 2" xfId="9660"/>
    <cellStyle name="Vérification 2 6 4 2 2 3 2 2" xfId="25884"/>
    <cellStyle name="Vérification 2 6 4 2 2 3 2 2 2" xfId="37891"/>
    <cellStyle name="Vérification 2 6 4 2 2 3 2 3" xfId="15667"/>
    <cellStyle name="Vérification 2 6 4 2 2 3 2 4" xfId="31888"/>
    <cellStyle name="Vérification 2 6 4 2 2 3 3" xfId="23840"/>
    <cellStyle name="Vérification 2 6 4 2 2 3 3 2" xfId="35847"/>
    <cellStyle name="Vérification 2 6 4 2 2 3 4" xfId="13364"/>
    <cellStyle name="Vérification 2 6 4 2 2 3 5" xfId="29585"/>
    <cellStyle name="Vérification 2 6 4 2 2 4" xfId="7993"/>
    <cellStyle name="Vérification 2 6 4 2 2 4 2" xfId="24217"/>
    <cellStyle name="Vérification 2 6 4 2 2 4 2 2" xfId="36224"/>
    <cellStyle name="Vérification 2 6 4 2 2 4 3" xfId="14000"/>
    <cellStyle name="Vérification 2 6 4 2 2 4 4" xfId="30221"/>
    <cellStyle name="Vérification 2 6 4 2 2 5" xfId="19108"/>
    <cellStyle name="Vérification 2 6 4 2 2 5 2" xfId="33222"/>
    <cellStyle name="Vérification 2 6 4 2 2 6" xfId="11349"/>
    <cellStyle name="Vérification 2 6 4 2 2 7" xfId="27570"/>
    <cellStyle name="Vérification 2 6 4 2 3" xfId="5099"/>
    <cellStyle name="Vérification 2 6 4 2 3 2" xfId="7126"/>
    <cellStyle name="Vérification 2 6 4 2 3 2 2" xfId="9327"/>
    <cellStyle name="Vérification 2 6 4 2 3 2 2 2" xfId="25551"/>
    <cellStyle name="Vérification 2 6 4 2 3 2 2 2 2" xfId="37558"/>
    <cellStyle name="Vérification 2 6 4 2 3 2 2 3" xfId="15334"/>
    <cellStyle name="Vérification 2 6 4 2 3 2 2 4" xfId="31555"/>
    <cellStyle name="Vérification 2 6 4 2 3 2 3" xfId="23350"/>
    <cellStyle name="Vérification 2 6 4 2 3 2 3 2" xfId="35357"/>
    <cellStyle name="Vérification 2 6 4 2 3 2 4" xfId="13031"/>
    <cellStyle name="Vérification 2 6 4 2 3 2 5" xfId="29252"/>
    <cellStyle name="Vérification 2 6 4 2 3 3" xfId="3686"/>
    <cellStyle name="Vérification 2 6 4 2 3 3 2" xfId="19914"/>
    <cellStyle name="Vérification 2 6 4 2 3 3 2 2" xfId="34028"/>
    <cellStyle name="Vérification 2 6 4 2 3 3 3" xfId="11497"/>
    <cellStyle name="Vérification 2 6 4 2 3 3 4" xfId="27718"/>
    <cellStyle name="Vérification 2 6 4 2 3 4" xfId="21325"/>
    <cellStyle name="Vérification 2 6 4 2 3 4 2" xfId="34466"/>
    <cellStyle name="Vérification 2 6 4 2 3 5" xfId="11013"/>
    <cellStyle name="Vérification 2 6 4 2 3 6" xfId="27236"/>
    <cellStyle name="Vérification 2 6 4 2 4" xfId="3490"/>
    <cellStyle name="Vérification 2 6 4 2 4 2" xfId="8457"/>
    <cellStyle name="Vérification 2 6 4 2 4 2 2" xfId="24681"/>
    <cellStyle name="Vérification 2 6 4 2 4 2 2 2" xfId="36688"/>
    <cellStyle name="Vérification 2 6 4 2 4 2 3" xfId="14464"/>
    <cellStyle name="Vérification 2 6 4 2 4 2 4" xfId="30685"/>
    <cellStyle name="Vérification 2 6 4 2 4 3" xfId="9994"/>
    <cellStyle name="Vérification 2 6 4 2 4 3 2" xfId="26218"/>
    <cellStyle name="Vérification 2 6 4 2 4 3 2 2" xfId="38225"/>
    <cellStyle name="Vérification 2 6 4 2 4 3 3" xfId="16001"/>
    <cellStyle name="Vérification 2 6 4 2 4 3 4" xfId="32222"/>
    <cellStyle name="Vérification 2 6 4 2 4 4" xfId="19718"/>
    <cellStyle name="Vérification 2 6 4 2 4 4 2" xfId="33832"/>
    <cellStyle name="Vérification 2 6 4 2 4 5" xfId="12012"/>
    <cellStyle name="Vérification 2 6 4 2 4 6" xfId="28233"/>
    <cellStyle name="Vérification 2 6 4 2 5" xfId="3172"/>
    <cellStyle name="Vérification 2 6 4 2 5 2" xfId="8205"/>
    <cellStyle name="Vérification 2 6 4 2 5 2 2" xfId="24429"/>
    <cellStyle name="Vérification 2 6 4 2 5 2 2 2" xfId="36436"/>
    <cellStyle name="Vérification 2 6 4 2 5 2 3" xfId="14212"/>
    <cellStyle name="Vérification 2 6 4 2 5 2 4" xfId="30433"/>
    <cellStyle name="Vérification 2 6 4 2 5 3" xfId="19400"/>
    <cellStyle name="Vérification 2 6 4 2 5 3 2" xfId="33514"/>
    <cellStyle name="Vérification 2 6 4 2 5 4" xfId="11760"/>
    <cellStyle name="Vérification 2 6 4 2 5 5" xfId="27981"/>
    <cellStyle name="Vérification 2 6 4 2 6" xfId="7183"/>
    <cellStyle name="Vérification 2 6 4 2 6 2" xfId="23407"/>
    <cellStyle name="Vérification 2 6 4 2 6 2 2" xfId="35414"/>
    <cellStyle name="Vérification 2 6 4 2 6 3" xfId="13567"/>
    <cellStyle name="Vérification 2 6 4 2 6 4" xfId="29788"/>
    <cellStyle name="Vérification 2 6 4 2 7" xfId="17641"/>
    <cellStyle name="Vérification 2 6 4 2 7 2" xfId="32889"/>
    <cellStyle name="Vérification 2 6 4 2 8" xfId="10661"/>
    <cellStyle name="Vérification 2 6 4 2 9" xfId="26886"/>
    <cellStyle name="Vérification 2 6 4 3" xfId="1247"/>
    <cellStyle name="Vérification 2 6 4 3 2" xfId="2791"/>
    <cellStyle name="Vérification 2 6 4 3 2 2" xfId="6479"/>
    <cellStyle name="Vérification 2 6 4 3 2 2 2" xfId="8860"/>
    <cellStyle name="Vérification 2 6 4 3 2 2 2 2" xfId="25084"/>
    <cellStyle name="Vérification 2 6 4 3 2 2 2 2 2" xfId="37091"/>
    <cellStyle name="Vérification 2 6 4 3 2 2 2 3" xfId="14867"/>
    <cellStyle name="Vérification 2 6 4 3 2 2 2 4" xfId="31088"/>
    <cellStyle name="Vérification 2 6 4 3 2 2 3" xfId="10238"/>
    <cellStyle name="Vérification 2 6 4 3 2 2 3 2" xfId="26462"/>
    <cellStyle name="Vérification 2 6 4 3 2 2 3 2 2" xfId="38469"/>
    <cellStyle name="Vérification 2 6 4 3 2 2 3 3" xfId="16245"/>
    <cellStyle name="Vérification 2 6 4 3 2 2 3 4" xfId="32466"/>
    <cellStyle name="Vérification 2 6 4 3 2 2 4" xfId="22703"/>
    <cellStyle name="Vérification 2 6 4 3 2 2 4 2" xfId="34710"/>
    <cellStyle name="Vérification 2 6 4 3 2 2 5" xfId="12564"/>
    <cellStyle name="Vérification 2 6 4 3 2 2 6" xfId="28785"/>
    <cellStyle name="Vérification 2 6 4 3 2 3" xfId="7527"/>
    <cellStyle name="Vérification 2 6 4 3 2 3 2" xfId="9571"/>
    <cellStyle name="Vérification 2 6 4 3 2 3 2 2" xfId="25795"/>
    <cellStyle name="Vérification 2 6 4 3 2 3 2 2 2" xfId="37802"/>
    <cellStyle name="Vérification 2 6 4 3 2 3 2 3" xfId="15578"/>
    <cellStyle name="Vérification 2 6 4 3 2 3 2 4" xfId="31799"/>
    <cellStyle name="Vérification 2 6 4 3 2 3 3" xfId="23751"/>
    <cellStyle name="Vérification 2 6 4 3 2 3 3 2" xfId="35758"/>
    <cellStyle name="Vérification 2 6 4 3 2 3 4" xfId="13275"/>
    <cellStyle name="Vérification 2 6 4 3 2 3 5" xfId="29496"/>
    <cellStyle name="Vérification 2 6 4 3 2 4" xfId="7904"/>
    <cellStyle name="Vérification 2 6 4 3 2 4 2" xfId="24128"/>
    <cellStyle name="Vérification 2 6 4 3 2 4 2 2" xfId="36135"/>
    <cellStyle name="Vérification 2 6 4 3 2 4 3" xfId="13911"/>
    <cellStyle name="Vérification 2 6 4 3 2 4 4" xfId="30132"/>
    <cellStyle name="Vérification 2 6 4 3 2 5" xfId="19019"/>
    <cellStyle name="Vérification 2 6 4 3 2 5 2" xfId="33133"/>
    <cellStyle name="Vérification 2 6 4 3 2 6" xfId="11260"/>
    <cellStyle name="Vérification 2 6 4 3 2 7" xfId="27481"/>
    <cellStyle name="Vérification 2 6 4 3 3" xfId="4944"/>
    <cellStyle name="Vérification 2 6 4 3 3 2" xfId="7030"/>
    <cellStyle name="Vérification 2 6 4 3 3 2 2" xfId="9238"/>
    <cellStyle name="Vérification 2 6 4 3 3 2 2 2" xfId="25462"/>
    <cellStyle name="Vérification 2 6 4 3 3 2 2 2 2" xfId="37469"/>
    <cellStyle name="Vérification 2 6 4 3 3 2 2 3" xfId="15245"/>
    <cellStyle name="Vérification 2 6 4 3 3 2 2 4" xfId="31466"/>
    <cellStyle name="Vérification 2 6 4 3 3 2 3" xfId="23254"/>
    <cellStyle name="Vérification 2 6 4 3 3 2 3 2" xfId="35261"/>
    <cellStyle name="Vérification 2 6 4 3 3 2 4" xfId="12942"/>
    <cellStyle name="Vérification 2 6 4 3 3 2 5" xfId="29163"/>
    <cellStyle name="Vérification 2 6 4 3 3 3" xfId="3286"/>
    <cellStyle name="Vérification 2 6 4 3 3 3 2" xfId="19514"/>
    <cellStyle name="Vérification 2 6 4 3 3 3 2 2" xfId="33628"/>
    <cellStyle name="Vérification 2 6 4 3 3 3 3" xfId="11589"/>
    <cellStyle name="Vérification 2 6 4 3 3 3 4" xfId="27810"/>
    <cellStyle name="Vérification 2 6 4 3 3 4" xfId="21170"/>
    <cellStyle name="Vérification 2 6 4 3 3 4 2" xfId="34377"/>
    <cellStyle name="Vérification 2 6 4 3 3 5" xfId="10924"/>
    <cellStyle name="Vérification 2 6 4 3 3 6" xfId="27147"/>
    <cellStyle name="Vérification 2 6 4 3 4" xfId="3384"/>
    <cellStyle name="Vérification 2 6 4 3 4 2" xfId="8359"/>
    <cellStyle name="Vérification 2 6 4 3 4 2 2" xfId="24583"/>
    <cellStyle name="Vérification 2 6 4 3 4 2 2 2" xfId="36590"/>
    <cellStyle name="Vérification 2 6 4 3 4 2 3" xfId="14366"/>
    <cellStyle name="Vérification 2 6 4 3 4 2 4" xfId="30587"/>
    <cellStyle name="Vérification 2 6 4 3 4 3" xfId="9905"/>
    <cellStyle name="Vérification 2 6 4 3 4 3 2" xfId="26129"/>
    <cellStyle name="Vérification 2 6 4 3 4 3 2 2" xfId="38136"/>
    <cellStyle name="Vérification 2 6 4 3 4 3 3" xfId="15912"/>
    <cellStyle name="Vérification 2 6 4 3 4 3 4" xfId="32133"/>
    <cellStyle name="Vérification 2 6 4 3 4 4" xfId="19612"/>
    <cellStyle name="Vérification 2 6 4 3 4 4 2" xfId="33726"/>
    <cellStyle name="Vérification 2 6 4 3 4 5" xfId="11914"/>
    <cellStyle name="Vérification 2 6 4 3 4 6" xfId="28135"/>
    <cellStyle name="Vérification 2 6 4 3 5" xfId="3378"/>
    <cellStyle name="Vérification 2 6 4 3 5 2" xfId="8354"/>
    <cellStyle name="Vérification 2 6 4 3 5 2 2" xfId="24578"/>
    <cellStyle name="Vérification 2 6 4 3 5 2 2 2" xfId="36585"/>
    <cellStyle name="Vérification 2 6 4 3 5 2 3" xfId="14361"/>
    <cellStyle name="Vérification 2 6 4 3 5 2 4" xfId="30582"/>
    <cellStyle name="Vérification 2 6 4 3 5 3" xfId="19606"/>
    <cellStyle name="Vérification 2 6 4 3 5 3 2" xfId="33720"/>
    <cellStyle name="Vérification 2 6 4 3 5 4" xfId="11909"/>
    <cellStyle name="Vérification 2 6 4 3 5 5" xfId="28130"/>
    <cellStyle name="Vérification 2 6 4 3 6" xfId="7179"/>
    <cellStyle name="Vérification 2 6 4 3 6 2" xfId="23403"/>
    <cellStyle name="Vérification 2 6 4 3 6 2 2" xfId="35410"/>
    <cellStyle name="Vérification 2 6 4 3 6 3" xfId="13563"/>
    <cellStyle name="Vérification 2 6 4 3 6 4" xfId="29784"/>
    <cellStyle name="Vérification 2 6 4 3 7" xfId="17486"/>
    <cellStyle name="Vérification 2 6 4 3 7 2" xfId="32800"/>
    <cellStyle name="Vérification 2 6 4 3 8" xfId="10572"/>
    <cellStyle name="Vérification 2 6 4 3 9" xfId="26797"/>
    <cellStyle name="Vérification 2 6 4 4" xfId="2702"/>
    <cellStyle name="Vérification 2 6 4 4 2" xfId="6390"/>
    <cellStyle name="Vérification 2 6 4 4 2 2" xfId="8771"/>
    <cellStyle name="Vérification 2 6 4 4 2 2 2" xfId="24995"/>
    <cellStyle name="Vérification 2 6 4 4 2 2 2 2" xfId="37002"/>
    <cellStyle name="Vérification 2 6 4 4 2 2 3" xfId="14778"/>
    <cellStyle name="Vérification 2 6 4 4 2 2 4" xfId="30999"/>
    <cellStyle name="Vérification 2 6 4 4 2 3" xfId="10149"/>
    <cellStyle name="Vérification 2 6 4 4 2 3 2" xfId="26373"/>
    <cellStyle name="Vérification 2 6 4 4 2 3 2 2" xfId="38380"/>
    <cellStyle name="Vérification 2 6 4 4 2 3 3" xfId="16156"/>
    <cellStyle name="Vérification 2 6 4 4 2 3 4" xfId="32377"/>
    <cellStyle name="Vérification 2 6 4 4 2 4" xfId="22614"/>
    <cellStyle name="Vérification 2 6 4 4 2 4 2" xfId="34621"/>
    <cellStyle name="Vérification 2 6 4 4 2 5" xfId="12475"/>
    <cellStyle name="Vérification 2 6 4 4 2 6" xfId="28696"/>
    <cellStyle name="Vérification 2 6 4 4 3" xfId="7438"/>
    <cellStyle name="Vérification 2 6 4 4 3 2" xfId="9482"/>
    <cellStyle name="Vérification 2 6 4 4 3 2 2" xfId="25706"/>
    <cellStyle name="Vérification 2 6 4 4 3 2 2 2" xfId="37713"/>
    <cellStyle name="Vérification 2 6 4 4 3 2 3" xfId="15489"/>
    <cellStyle name="Vérification 2 6 4 4 3 2 4" xfId="31710"/>
    <cellStyle name="Vérification 2 6 4 4 3 3" xfId="23662"/>
    <cellStyle name="Vérification 2 6 4 4 3 3 2" xfId="35669"/>
    <cellStyle name="Vérification 2 6 4 4 3 4" xfId="13186"/>
    <cellStyle name="Vérification 2 6 4 4 3 5" xfId="29407"/>
    <cellStyle name="Vérification 2 6 4 4 4" xfId="7815"/>
    <cellStyle name="Vérification 2 6 4 4 4 2" xfId="24039"/>
    <cellStyle name="Vérification 2 6 4 4 4 2 2" xfId="36046"/>
    <cellStyle name="Vérification 2 6 4 4 4 3" xfId="13822"/>
    <cellStyle name="Vérification 2 6 4 4 4 4" xfId="30043"/>
    <cellStyle name="Vérification 2 6 4 4 5" xfId="18930"/>
    <cellStyle name="Vérification 2 6 4 4 5 2" xfId="33044"/>
    <cellStyle name="Vérification 2 6 4 4 6" xfId="11171"/>
    <cellStyle name="Vérification 2 6 4 4 7" xfId="27392"/>
    <cellStyle name="Vérification 2 6 4 5" xfId="4369"/>
    <cellStyle name="Vérification 2 6 4 5 2" xfId="6871"/>
    <cellStyle name="Vérification 2 6 4 5 2 2" xfId="9149"/>
    <cellStyle name="Vérification 2 6 4 5 2 2 2" xfId="25373"/>
    <cellStyle name="Vérification 2 6 4 5 2 2 2 2" xfId="37380"/>
    <cellStyle name="Vérification 2 6 4 5 2 2 3" xfId="15156"/>
    <cellStyle name="Vérification 2 6 4 5 2 2 4" xfId="31377"/>
    <cellStyle name="Vérification 2 6 4 5 2 3" xfId="23095"/>
    <cellStyle name="Vérification 2 6 4 5 2 3 2" xfId="35102"/>
    <cellStyle name="Vérification 2 6 4 5 2 4" xfId="12853"/>
    <cellStyle name="Vérification 2 6 4 5 2 5" xfId="29074"/>
    <cellStyle name="Vérification 2 6 4 5 3" xfId="3723"/>
    <cellStyle name="Vérification 2 6 4 5 3 2" xfId="19951"/>
    <cellStyle name="Vérification 2 6 4 5 3 2 2" xfId="34065"/>
    <cellStyle name="Vérification 2 6 4 5 3 3" xfId="13520"/>
    <cellStyle name="Vérification 2 6 4 5 3 4" xfId="29741"/>
    <cellStyle name="Vérification 2 6 4 5 4" xfId="20595"/>
    <cellStyle name="Vérification 2 6 4 5 4 2" xfId="34288"/>
    <cellStyle name="Vérification 2 6 4 5 5" xfId="10830"/>
    <cellStyle name="Vérification 2 6 4 5 6" xfId="27053"/>
    <cellStyle name="Vérification 2 6 4 6" xfId="3170"/>
    <cellStyle name="Vérification 2 6 4 6 2" xfId="8204"/>
    <cellStyle name="Vérification 2 6 4 6 2 2" xfId="24428"/>
    <cellStyle name="Vérification 2 6 4 6 2 2 2" xfId="36435"/>
    <cellStyle name="Vérification 2 6 4 6 2 3" xfId="14211"/>
    <cellStyle name="Vérification 2 6 4 6 2 4" xfId="30432"/>
    <cellStyle name="Vérification 2 6 4 6 3" xfId="9816"/>
    <cellStyle name="Vérification 2 6 4 6 3 2" xfId="26040"/>
    <cellStyle name="Vérification 2 6 4 6 3 2 2" xfId="38047"/>
    <cellStyle name="Vérification 2 6 4 6 3 3" xfId="15823"/>
    <cellStyle name="Vérification 2 6 4 6 3 4" xfId="32044"/>
    <cellStyle name="Vérification 2 6 4 6 4" xfId="19398"/>
    <cellStyle name="Vérification 2 6 4 6 4 2" xfId="33512"/>
    <cellStyle name="Vérification 2 6 4 6 5" xfId="11759"/>
    <cellStyle name="Vérification 2 6 4 6 6" xfId="27980"/>
    <cellStyle name="Vérification 2 6 4 7" xfId="3695"/>
    <cellStyle name="Vérification 2 6 4 7 2" xfId="8583"/>
    <cellStyle name="Vérification 2 6 4 7 2 2" xfId="24807"/>
    <cellStyle name="Vérification 2 6 4 7 2 2 2" xfId="36814"/>
    <cellStyle name="Vérification 2 6 4 7 2 3" xfId="14590"/>
    <cellStyle name="Vérification 2 6 4 7 2 4" xfId="30811"/>
    <cellStyle name="Vérification 2 6 4 7 3" xfId="19923"/>
    <cellStyle name="Vérification 2 6 4 7 3 2" xfId="34037"/>
    <cellStyle name="Vérification 2 6 4 7 4" xfId="12138"/>
    <cellStyle name="Vérification 2 6 4 7 5" xfId="28359"/>
    <cellStyle name="Vérification 2 6 4 8" xfId="3745"/>
    <cellStyle name="Vérification 2 6 4 8 2" xfId="19973"/>
    <cellStyle name="Vérification 2 6 4 8 2 2" xfId="34087"/>
    <cellStyle name="Vérification 2 6 4 8 3" xfId="13465"/>
    <cellStyle name="Vérification 2 6 4 8 4" xfId="29686"/>
    <cellStyle name="Vérification 2 6 4 9" xfId="16911"/>
    <cellStyle name="Vérification 2 6 4 9 2" xfId="32711"/>
    <cellStyle name="Vérification 2 6 5" xfId="756"/>
    <cellStyle name="Vérification 2 6 5 10" xfId="26730"/>
    <cellStyle name="Vérification 2 6 5 2" xfId="1424"/>
    <cellStyle name="Vérification 2 6 5 2 2" xfId="2902"/>
    <cellStyle name="Vérification 2 6 5 2 2 2" xfId="6590"/>
    <cellStyle name="Vérification 2 6 5 2 2 2 2" xfId="8971"/>
    <cellStyle name="Vérification 2 6 5 2 2 2 2 2" xfId="25195"/>
    <cellStyle name="Vérification 2 6 5 2 2 2 2 2 2" xfId="37202"/>
    <cellStyle name="Vérification 2 6 5 2 2 2 2 3" xfId="14978"/>
    <cellStyle name="Vérification 2 6 5 2 2 2 2 4" xfId="31199"/>
    <cellStyle name="Vérification 2 6 5 2 2 2 3" xfId="10349"/>
    <cellStyle name="Vérification 2 6 5 2 2 2 3 2" xfId="26573"/>
    <cellStyle name="Vérification 2 6 5 2 2 2 3 2 2" xfId="38580"/>
    <cellStyle name="Vérification 2 6 5 2 2 2 3 3" xfId="16356"/>
    <cellStyle name="Vérification 2 6 5 2 2 2 3 4" xfId="32577"/>
    <cellStyle name="Vérification 2 6 5 2 2 2 4" xfId="22814"/>
    <cellStyle name="Vérification 2 6 5 2 2 2 4 2" xfId="34821"/>
    <cellStyle name="Vérification 2 6 5 2 2 2 5" xfId="12675"/>
    <cellStyle name="Vérification 2 6 5 2 2 2 6" xfId="28896"/>
    <cellStyle name="Vérification 2 6 5 2 2 3" xfId="7638"/>
    <cellStyle name="Vérification 2 6 5 2 2 3 2" xfId="9682"/>
    <cellStyle name="Vérification 2 6 5 2 2 3 2 2" xfId="25906"/>
    <cellStyle name="Vérification 2 6 5 2 2 3 2 2 2" xfId="37913"/>
    <cellStyle name="Vérification 2 6 5 2 2 3 2 3" xfId="15689"/>
    <cellStyle name="Vérification 2 6 5 2 2 3 2 4" xfId="31910"/>
    <cellStyle name="Vérification 2 6 5 2 2 3 3" xfId="23862"/>
    <cellStyle name="Vérification 2 6 5 2 2 3 3 2" xfId="35869"/>
    <cellStyle name="Vérification 2 6 5 2 2 3 4" xfId="13386"/>
    <cellStyle name="Vérification 2 6 5 2 2 3 5" xfId="29607"/>
    <cellStyle name="Vérification 2 6 5 2 2 4" xfId="8015"/>
    <cellStyle name="Vérification 2 6 5 2 2 4 2" xfId="24239"/>
    <cellStyle name="Vérification 2 6 5 2 2 4 2 2" xfId="36246"/>
    <cellStyle name="Vérification 2 6 5 2 2 4 3" xfId="14022"/>
    <cellStyle name="Vérification 2 6 5 2 2 4 4" xfId="30243"/>
    <cellStyle name="Vérification 2 6 5 2 2 5" xfId="19130"/>
    <cellStyle name="Vérification 2 6 5 2 2 5 2" xfId="33244"/>
    <cellStyle name="Vérification 2 6 5 2 2 6" xfId="11371"/>
    <cellStyle name="Vérification 2 6 5 2 2 7" xfId="27592"/>
    <cellStyle name="Vérification 2 6 5 2 3" xfId="5121"/>
    <cellStyle name="Vérification 2 6 5 2 3 2" xfId="7148"/>
    <cellStyle name="Vérification 2 6 5 2 3 2 2" xfId="9349"/>
    <cellStyle name="Vérification 2 6 5 2 3 2 2 2" xfId="25573"/>
    <cellStyle name="Vérification 2 6 5 2 3 2 2 2 2" xfId="37580"/>
    <cellStyle name="Vérification 2 6 5 2 3 2 2 3" xfId="15356"/>
    <cellStyle name="Vérification 2 6 5 2 3 2 2 4" xfId="31577"/>
    <cellStyle name="Vérification 2 6 5 2 3 2 3" xfId="23372"/>
    <cellStyle name="Vérification 2 6 5 2 3 2 3 2" xfId="35379"/>
    <cellStyle name="Vérification 2 6 5 2 3 2 4" xfId="13053"/>
    <cellStyle name="Vérification 2 6 5 2 3 2 5" xfId="29274"/>
    <cellStyle name="Vérification 2 6 5 2 3 3" xfId="3629"/>
    <cellStyle name="Vérification 2 6 5 2 3 3 2" xfId="19857"/>
    <cellStyle name="Vérification 2 6 5 2 3 3 2 2" xfId="33971"/>
    <cellStyle name="Vérification 2 6 5 2 3 3 3" xfId="12355"/>
    <cellStyle name="Vérification 2 6 5 2 3 3 4" xfId="28576"/>
    <cellStyle name="Vérification 2 6 5 2 3 4" xfId="21347"/>
    <cellStyle name="Vérification 2 6 5 2 3 4 2" xfId="34488"/>
    <cellStyle name="Vérification 2 6 5 2 3 5" xfId="11035"/>
    <cellStyle name="Vérification 2 6 5 2 3 6" xfId="27258"/>
    <cellStyle name="Vérification 2 6 5 2 4" xfId="3512"/>
    <cellStyle name="Vérification 2 6 5 2 4 2" xfId="8479"/>
    <cellStyle name="Vérification 2 6 5 2 4 2 2" xfId="24703"/>
    <cellStyle name="Vérification 2 6 5 2 4 2 2 2" xfId="36710"/>
    <cellStyle name="Vérification 2 6 5 2 4 2 3" xfId="14486"/>
    <cellStyle name="Vérification 2 6 5 2 4 2 4" xfId="30707"/>
    <cellStyle name="Vérification 2 6 5 2 4 3" xfId="10016"/>
    <cellStyle name="Vérification 2 6 5 2 4 3 2" xfId="26240"/>
    <cellStyle name="Vérification 2 6 5 2 4 3 2 2" xfId="38247"/>
    <cellStyle name="Vérification 2 6 5 2 4 3 3" xfId="16023"/>
    <cellStyle name="Vérification 2 6 5 2 4 3 4" xfId="32244"/>
    <cellStyle name="Vérification 2 6 5 2 4 4" xfId="19740"/>
    <cellStyle name="Vérification 2 6 5 2 4 4 2" xfId="33854"/>
    <cellStyle name="Vérification 2 6 5 2 4 5" xfId="12034"/>
    <cellStyle name="Vérification 2 6 5 2 4 6" xfId="28255"/>
    <cellStyle name="Vérification 2 6 5 2 5" xfId="3232"/>
    <cellStyle name="Vérification 2 6 5 2 5 2" xfId="8246"/>
    <cellStyle name="Vérification 2 6 5 2 5 2 2" xfId="24470"/>
    <cellStyle name="Vérification 2 6 5 2 5 2 2 2" xfId="36477"/>
    <cellStyle name="Vérification 2 6 5 2 5 2 3" xfId="14253"/>
    <cellStyle name="Vérification 2 6 5 2 5 2 4" xfId="30474"/>
    <cellStyle name="Vérification 2 6 5 2 5 3" xfId="19460"/>
    <cellStyle name="Vérification 2 6 5 2 5 3 2" xfId="33574"/>
    <cellStyle name="Vérification 2 6 5 2 5 4" xfId="11801"/>
    <cellStyle name="Vérification 2 6 5 2 5 5" xfId="28022"/>
    <cellStyle name="Vérification 2 6 5 2 6" xfId="3357"/>
    <cellStyle name="Vérification 2 6 5 2 6 2" xfId="19585"/>
    <cellStyle name="Vérification 2 6 5 2 6 2 2" xfId="33699"/>
    <cellStyle name="Vérification 2 6 5 2 6 3" xfId="11454"/>
    <cellStyle name="Vérification 2 6 5 2 6 4" xfId="27675"/>
    <cellStyle name="Vérification 2 6 5 2 7" xfId="17663"/>
    <cellStyle name="Vérification 2 6 5 2 7 2" xfId="32911"/>
    <cellStyle name="Vérification 2 6 5 2 8" xfId="10683"/>
    <cellStyle name="Vérification 2 6 5 2 9" xfId="26908"/>
    <cellStyle name="Vérification 2 6 5 3" xfId="2724"/>
    <cellStyle name="Vérification 2 6 5 3 2" xfId="6412"/>
    <cellStyle name="Vérification 2 6 5 3 2 2" xfId="8793"/>
    <cellStyle name="Vérification 2 6 5 3 2 2 2" xfId="25017"/>
    <cellStyle name="Vérification 2 6 5 3 2 2 2 2" xfId="37024"/>
    <cellStyle name="Vérification 2 6 5 3 2 2 3" xfId="14800"/>
    <cellStyle name="Vérification 2 6 5 3 2 2 4" xfId="31021"/>
    <cellStyle name="Vérification 2 6 5 3 2 3" xfId="10171"/>
    <cellStyle name="Vérification 2 6 5 3 2 3 2" xfId="26395"/>
    <cellStyle name="Vérification 2 6 5 3 2 3 2 2" xfId="38402"/>
    <cellStyle name="Vérification 2 6 5 3 2 3 3" xfId="16178"/>
    <cellStyle name="Vérification 2 6 5 3 2 3 4" xfId="32399"/>
    <cellStyle name="Vérification 2 6 5 3 2 4" xfId="22636"/>
    <cellStyle name="Vérification 2 6 5 3 2 4 2" xfId="34643"/>
    <cellStyle name="Vérification 2 6 5 3 2 5" xfId="12497"/>
    <cellStyle name="Vérification 2 6 5 3 2 6" xfId="28718"/>
    <cellStyle name="Vérification 2 6 5 3 3" xfId="7460"/>
    <cellStyle name="Vérification 2 6 5 3 3 2" xfId="9504"/>
    <cellStyle name="Vérification 2 6 5 3 3 2 2" xfId="25728"/>
    <cellStyle name="Vérification 2 6 5 3 3 2 2 2" xfId="37735"/>
    <cellStyle name="Vérification 2 6 5 3 3 2 3" xfId="15511"/>
    <cellStyle name="Vérification 2 6 5 3 3 2 4" xfId="31732"/>
    <cellStyle name="Vérification 2 6 5 3 3 3" xfId="23684"/>
    <cellStyle name="Vérification 2 6 5 3 3 3 2" xfId="35691"/>
    <cellStyle name="Vérification 2 6 5 3 3 4" xfId="13208"/>
    <cellStyle name="Vérification 2 6 5 3 3 5" xfId="29429"/>
    <cellStyle name="Vérification 2 6 5 3 4" xfId="7837"/>
    <cellStyle name="Vérification 2 6 5 3 4 2" xfId="24061"/>
    <cellStyle name="Vérification 2 6 5 3 4 2 2" xfId="36068"/>
    <cellStyle name="Vérification 2 6 5 3 4 3" xfId="13844"/>
    <cellStyle name="Vérification 2 6 5 3 4 4" xfId="30065"/>
    <cellStyle name="Vérification 2 6 5 3 5" xfId="18952"/>
    <cellStyle name="Vérification 2 6 5 3 5 2" xfId="33066"/>
    <cellStyle name="Vérification 2 6 5 3 6" xfId="11193"/>
    <cellStyle name="Vérification 2 6 5 3 7" xfId="27414"/>
    <cellStyle name="Vérification 2 6 5 4" xfId="4457"/>
    <cellStyle name="Vérification 2 6 5 4 2" xfId="6902"/>
    <cellStyle name="Vérification 2 6 5 4 2 2" xfId="9171"/>
    <cellStyle name="Vérification 2 6 5 4 2 2 2" xfId="25395"/>
    <cellStyle name="Vérification 2 6 5 4 2 2 2 2" xfId="37402"/>
    <cellStyle name="Vérification 2 6 5 4 2 2 3" xfId="15178"/>
    <cellStyle name="Vérification 2 6 5 4 2 2 4" xfId="31399"/>
    <cellStyle name="Vérification 2 6 5 4 2 3" xfId="23126"/>
    <cellStyle name="Vérification 2 6 5 4 2 3 2" xfId="35133"/>
    <cellStyle name="Vérification 2 6 5 4 2 4" xfId="12875"/>
    <cellStyle name="Vérification 2 6 5 4 2 5" xfId="29096"/>
    <cellStyle name="Vérification 2 6 5 4 3" xfId="3598"/>
    <cellStyle name="Vérification 2 6 5 4 3 2" xfId="19826"/>
    <cellStyle name="Vérification 2 6 5 4 3 2 2" xfId="33940"/>
    <cellStyle name="Vérification 2 6 5 4 3 3" xfId="13447"/>
    <cellStyle name="Vérification 2 6 5 4 3 4" xfId="29668"/>
    <cellStyle name="Vérification 2 6 5 4 4" xfId="20683"/>
    <cellStyle name="Vérification 2 6 5 4 4 2" xfId="34310"/>
    <cellStyle name="Vérification 2 6 5 4 5" xfId="10856"/>
    <cellStyle name="Vérification 2 6 5 4 6" xfId="27079"/>
    <cellStyle name="Vérification 2 6 5 5" xfId="3213"/>
    <cellStyle name="Vérification 2 6 5 5 2" xfId="8234"/>
    <cellStyle name="Vérification 2 6 5 5 2 2" xfId="24458"/>
    <cellStyle name="Vérification 2 6 5 5 2 2 2" xfId="36465"/>
    <cellStyle name="Vérification 2 6 5 5 2 3" xfId="14241"/>
    <cellStyle name="Vérification 2 6 5 5 2 4" xfId="30462"/>
    <cellStyle name="Vérification 2 6 5 5 3" xfId="9838"/>
    <cellStyle name="Vérification 2 6 5 5 3 2" xfId="26062"/>
    <cellStyle name="Vérification 2 6 5 5 3 2 2" xfId="38069"/>
    <cellStyle name="Vérification 2 6 5 5 3 3" xfId="15845"/>
    <cellStyle name="Vérification 2 6 5 5 3 4" xfId="32066"/>
    <cellStyle name="Vérification 2 6 5 5 4" xfId="19441"/>
    <cellStyle name="Vérification 2 6 5 5 4 2" xfId="33555"/>
    <cellStyle name="Vérification 2 6 5 5 5" xfId="11789"/>
    <cellStyle name="Vérification 2 6 5 5 6" xfId="28010"/>
    <cellStyle name="Vérification 2 6 5 6" xfId="3347"/>
    <cellStyle name="Vérification 2 6 5 6 2" xfId="8329"/>
    <cellStyle name="Vérification 2 6 5 6 2 2" xfId="24553"/>
    <cellStyle name="Vérification 2 6 5 6 2 2 2" xfId="36560"/>
    <cellStyle name="Vérification 2 6 5 6 2 3" xfId="14336"/>
    <cellStyle name="Vérification 2 6 5 6 2 4" xfId="30557"/>
    <cellStyle name="Vérification 2 6 5 6 3" xfId="19575"/>
    <cellStyle name="Vérification 2 6 5 6 3 2" xfId="33689"/>
    <cellStyle name="Vérification 2 6 5 6 4" xfId="11884"/>
    <cellStyle name="Vérification 2 6 5 6 5" xfId="28105"/>
    <cellStyle name="Vérification 2 6 5 7" xfId="6721"/>
    <cellStyle name="Vérification 2 6 5 7 2" xfId="22945"/>
    <cellStyle name="Vérification 2 6 5 7 2 2" xfId="34952"/>
    <cellStyle name="Vérification 2 6 5 7 3" xfId="12369"/>
    <cellStyle name="Vérification 2 6 5 7 4" xfId="28590"/>
    <cellStyle name="Vérification 2 6 5 8" xfId="16999"/>
    <cellStyle name="Vérification 2 6 5 8 2" xfId="32733"/>
    <cellStyle name="Vérification 2 6 5 9" xfId="10505"/>
    <cellStyle name="Vérification 2 6 6" xfId="1335"/>
    <cellStyle name="Vérification 2 6 6 2" xfId="2813"/>
    <cellStyle name="Vérification 2 6 6 2 2" xfId="6501"/>
    <cellStyle name="Vérification 2 6 6 2 2 2" xfId="8882"/>
    <cellStyle name="Vérification 2 6 6 2 2 2 2" xfId="25106"/>
    <cellStyle name="Vérification 2 6 6 2 2 2 2 2" xfId="37113"/>
    <cellStyle name="Vérification 2 6 6 2 2 2 3" xfId="14889"/>
    <cellStyle name="Vérification 2 6 6 2 2 2 4" xfId="31110"/>
    <cellStyle name="Vérification 2 6 6 2 2 3" xfId="10260"/>
    <cellStyle name="Vérification 2 6 6 2 2 3 2" xfId="26484"/>
    <cellStyle name="Vérification 2 6 6 2 2 3 2 2" xfId="38491"/>
    <cellStyle name="Vérification 2 6 6 2 2 3 3" xfId="16267"/>
    <cellStyle name="Vérification 2 6 6 2 2 3 4" xfId="32488"/>
    <cellStyle name="Vérification 2 6 6 2 2 4" xfId="22725"/>
    <cellStyle name="Vérification 2 6 6 2 2 4 2" xfId="34732"/>
    <cellStyle name="Vérification 2 6 6 2 2 5" xfId="12586"/>
    <cellStyle name="Vérification 2 6 6 2 2 6" xfId="28807"/>
    <cellStyle name="Vérification 2 6 6 2 3" xfId="7549"/>
    <cellStyle name="Vérification 2 6 6 2 3 2" xfId="9593"/>
    <cellStyle name="Vérification 2 6 6 2 3 2 2" xfId="25817"/>
    <cellStyle name="Vérification 2 6 6 2 3 2 2 2" xfId="37824"/>
    <cellStyle name="Vérification 2 6 6 2 3 2 3" xfId="15600"/>
    <cellStyle name="Vérification 2 6 6 2 3 2 4" xfId="31821"/>
    <cellStyle name="Vérification 2 6 6 2 3 3" xfId="23773"/>
    <cellStyle name="Vérification 2 6 6 2 3 3 2" xfId="35780"/>
    <cellStyle name="Vérification 2 6 6 2 3 4" xfId="13297"/>
    <cellStyle name="Vérification 2 6 6 2 3 5" xfId="29518"/>
    <cellStyle name="Vérification 2 6 6 2 4" xfId="7926"/>
    <cellStyle name="Vérification 2 6 6 2 4 2" xfId="24150"/>
    <cellStyle name="Vérification 2 6 6 2 4 2 2" xfId="36157"/>
    <cellStyle name="Vérification 2 6 6 2 4 3" xfId="13933"/>
    <cellStyle name="Vérification 2 6 6 2 4 4" xfId="30154"/>
    <cellStyle name="Vérification 2 6 6 2 5" xfId="19041"/>
    <cellStyle name="Vérification 2 6 6 2 5 2" xfId="33155"/>
    <cellStyle name="Vérification 2 6 6 2 6" xfId="11282"/>
    <cellStyle name="Vérification 2 6 6 2 7" xfId="27503"/>
    <cellStyle name="Vérification 2 6 6 3" xfId="5032"/>
    <cellStyle name="Vérification 2 6 6 3 2" xfId="7059"/>
    <cellStyle name="Vérification 2 6 6 3 2 2" xfId="9260"/>
    <cellStyle name="Vérification 2 6 6 3 2 2 2" xfId="25484"/>
    <cellStyle name="Vérification 2 6 6 3 2 2 2 2" xfId="37491"/>
    <cellStyle name="Vérification 2 6 6 3 2 2 3" xfId="15267"/>
    <cellStyle name="Vérification 2 6 6 3 2 2 4" xfId="31488"/>
    <cellStyle name="Vérification 2 6 6 3 2 3" xfId="23283"/>
    <cellStyle name="Vérification 2 6 6 3 2 3 2" xfId="35290"/>
    <cellStyle name="Vérification 2 6 6 3 2 4" xfId="12964"/>
    <cellStyle name="Vérification 2 6 6 3 2 5" xfId="29185"/>
    <cellStyle name="Vérification 2 6 6 3 3" xfId="6874"/>
    <cellStyle name="Vérification 2 6 6 3 3 2" xfId="23098"/>
    <cellStyle name="Vérification 2 6 6 3 3 2 2" xfId="35105"/>
    <cellStyle name="Vérification 2 6 6 3 3 3" xfId="11423"/>
    <cellStyle name="Vérification 2 6 6 3 3 4" xfId="27644"/>
    <cellStyle name="Vérification 2 6 6 3 4" xfId="21258"/>
    <cellStyle name="Vérification 2 6 6 3 4 2" xfId="34399"/>
    <cellStyle name="Vérification 2 6 6 3 5" xfId="10946"/>
    <cellStyle name="Vérification 2 6 6 3 6" xfId="27169"/>
    <cellStyle name="Vérification 2 6 6 4" xfId="3423"/>
    <cellStyle name="Vérification 2 6 6 4 2" xfId="8390"/>
    <cellStyle name="Vérification 2 6 6 4 2 2" xfId="24614"/>
    <cellStyle name="Vérification 2 6 6 4 2 2 2" xfId="36621"/>
    <cellStyle name="Vérification 2 6 6 4 2 3" xfId="14397"/>
    <cellStyle name="Vérification 2 6 6 4 2 4" xfId="30618"/>
    <cellStyle name="Vérification 2 6 6 4 3" xfId="9927"/>
    <cellStyle name="Vérification 2 6 6 4 3 2" xfId="26151"/>
    <cellStyle name="Vérification 2 6 6 4 3 2 2" xfId="38158"/>
    <cellStyle name="Vérification 2 6 6 4 3 3" xfId="15934"/>
    <cellStyle name="Vérification 2 6 6 4 3 4" xfId="32155"/>
    <cellStyle name="Vérification 2 6 6 4 4" xfId="19651"/>
    <cellStyle name="Vérification 2 6 6 4 4 2" xfId="33765"/>
    <cellStyle name="Vérification 2 6 6 4 5" xfId="11945"/>
    <cellStyle name="Vérification 2 6 6 4 6" xfId="28166"/>
    <cellStyle name="Vérification 2 6 6 5" xfId="3744"/>
    <cellStyle name="Vérification 2 6 6 5 2" xfId="8611"/>
    <cellStyle name="Vérification 2 6 6 5 2 2" xfId="24835"/>
    <cellStyle name="Vérification 2 6 6 5 2 2 2" xfId="36842"/>
    <cellStyle name="Vérification 2 6 6 5 2 3" xfId="14618"/>
    <cellStyle name="Vérification 2 6 6 5 2 4" xfId="30839"/>
    <cellStyle name="Vérification 2 6 6 5 3" xfId="19972"/>
    <cellStyle name="Vérification 2 6 6 5 3 2" xfId="34086"/>
    <cellStyle name="Vérification 2 6 6 5 4" xfId="12166"/>
    <cellStyle name="Vérification 2 6 6 5 5" xfId="28387"/>
    <cellStyle name="Vérification 2 6 6 6" xfId="7167"/>
    <cellStyle name="Vérification 2 6 6 6 2" xfId="23391"/>
    <cellStyle name="Vérification 2 6 6 6 2 2" xfId="35398"/>
    <cellStyle name="Vérification 2 6 6 6 3" xfId="13551"/>
    <cellStyle name="Vérification 2 6 6 6 4" xfId="29772"/>
    <cellStyle name="Vérification 2 6 6 7" xfId="17574"/>
    <cellStyle name="Vérification 2 6 6 7 2" xfId="32822"/>
    <cellStyle name="Vérification 2 6 6 8" xfId="10594"/>
    <cellStyle name="Vérification 2 6 6 9" xfId="26819"/>
    <cellStyle name="Vérification 2 6 7" xfId="2524"/>
    <cellStyle name="Vérification 2 6 7 2" xfId="2925"/>
    <cellStyle name="Vérification 2 6 7 2 2" xfId="6613"/>
    <cellStyle name="Vérification 2 6 7 2 2 2" xfId="8994"/>
    <cellStyle name="Vérification 2 6 7 2 2 2 2" xfId="25218"/>
    <cellStyle name="Vérification 2 6 7 2 2 2 2 2" xfId="37225"/>
    <cellStyle name="Vérification 2 6 7 2 2 2 3" xfId="15001"/>
    <cellStyle name="Vérification 2 6 7 2 2 2 4" xfId="31222"/>
    <cellStyle name="Vérification 2 6 7 2 2 3" xfId="10372"/>
    <cellStyle name="Vérification 2 6 7 2 2 3 2" xfId="26596"/>
    <cellStyle name="Vérification 2 6 7 2 2 3 2 2" xfId="38603"/>
    <cellStyle name="Vérification 2 6 7 2 2 3 3" xfId="16379"/>
    <cellStyle name="Vérification 2 6 7 2 2 3 4" xfId="32600"/>
    <cellStyle name="Vérification 2 6 7 2 2 4" xfId="22837"/>
    <cellStyle name="Vérification 2 6 7 2 2 4 2" xfId="34844"/>
    <cellStyle name="Vérification 2 6 7 2 2 5" xfId="12698"/>
    <cellStyle name="Vérification 2 6 7 2 2 6" xfId="28919"/>
    <cellStyle name="Vérification 2 6 7 2 3" xfId="7661"/>
    <cellStyle name="Vérification 2 6 7 2 3 2" xfId="9705"/>
    <cellStyle name="Vérification 2 6 7 2 3 2 2" xfId="25929"/>
    <cellStyle name="Vérification 2 6 7 2 3 2 2 2" xfId="37936"/>
    <cellStyle name="Vérification 2 6 7 2 3 2 3" xfId="15712"/>
    <cellStyle name="Vérification 2 6 7 2 3 2 4" xfId="31933"/>
    <cellStyle name="Vérification 2 6 7 2 3 3" xfId="23885"/>
    <cellStyle name="Vérification 2 6 7 2 3 3 2" xfId="35892"/>
    <cellStyle name="Vérification 2 6 7 2 3 4" xfId="13409"/>
    <cellStyle name="Vérification 2 6 7 2 3 5" xfId="29630"/>
    <cellStyle name="Vérification 2 6 7 2 4" xfId="8038"/>
    <cellStyle name="Vérification 2 6 7 2 4 2" xfId="24262"/>
    <cellStyle name="Vérification 2 6 7 2 4 2 2" xfId="36269"/>
    <cellStyle name="Vérification 2 6 7 2 4 3" xfId="14045"/>
    <cellStyle name="Vérification 2 6 7 2 4 4" xfId="30266"/>
    <cellStyle name="Vérification 2 6 7 2 5" xfId="19153"/>
    <cellStyle name="Vérification 2 6 7 2 5 2" xfId="33267"/>
    <cellStyle name="Vérification 2 6 7 2 6" xfId="11394"/>
    <cellStyle name="Vérification 2 6 7 2 7" xfId="27615"/>
    <cellStyle name="Vérification 2 6 7 3" xfId="6214"/>
    <cellStyle name="Vérification 2 6 7 3 2" xfId="7321"/>
    <cellStyle name="Vérification 2 6 7 3 2 2" xfId="9372"/>
    <cellStyle name="Vérification 2 6 7 3 2 2 2" xfId="25596"/>
    <cellStyle name="Vérification 2 6 7 3 2 2 2 2" xfId="37603"/>
    <cellStyle name="Vérification 2 6 7 3 2 2 3" xfId="15379"/>
    <cellStyle name="Vérification 2 6 7 3 2 2 4" xfId="31600"/>
    <cellStyle name="Vérification 2 6 7 3 2 3" xfId="23545"/>
    <cellStyle name="Vérification 2 6 7 3 2 3 2" xfId="35552"/>
    <cellStyle name="Vérification 2 6 7 3 2 4" xfId="13076"/>
    <cellStyle name="Vérification 2 6 7 3 2 5" xfId="29297"/>
    <cellStyle name="Vérification 2 6 7 3 3" xfId="7705"/>
    <cellStyle name="Vérification 2 6 7 3 3 2" xfId="23929"/>
    <cellStyle name="Vérification 2 6 7 3 3 2 2" xfId="35936"/>
    <cellStyle name="Vérification 2 6 7 3 3 3" xfId="13712"/>
    <cellStyle name="Vérification 2 6 7 3 3 4" xfId="29933"/>
    <cellStyle name="Vérification 2 6 7 3 4" xfId="22438"/>
    <cellStyle name="Vérification 2 6 7 3 4 2" xfId="34511"/>
    <cellStyle name="Vérification 2 6 7 3 5" xfId="11060"/>
    <cellStyle name="Vérification 2 6 7 3 6" xfId="27281"/>
    <cellStyle name="Vérification 2 6 7 4" xfId="3815"/>
    <cellStyle name="Vérification 2 6 7 4 2" xfId="8651"/>
    <cellStyle name="Vérification 2 6 7 4 2 2" xfId="24875"/>
    <cellStyle name="Vérification 2 6 7 4 2 2 2" xfId="36882"/>
    <cellStyle name="Vérification 2 6 7 4 2 3" xfId="14658"/>
    <cellStyle name="Vérification 2 6 7 4 2 4" xfId="30879"/>
    <cellStyle name="Vérification 2 6 7 4 3" xfId="10039"/>
    <cellStyle name="Vérification 2 6 7 4 3 2" xfId="26263"/>
    <cellStyle name="Vérification 2 6 7 4 3 2 2" xfId="38270"/>
    <cellStyle name="Vérification 2 6 7 4 3 3" xfId="16046"/>
    <cellStyle name="Vérification 2 6 7 4 3 4" xfId="32267"/>
    <cellStyle name="Vérification 2 6 7 4 4" xfId="20043"/>
    <cellStyle name="Vérification 2 6 7 4 4 2" xfId="34157"/>
    <cellStyle name="Vérification 2 6 7 4 5" xfId="12206"/>
    <cellStyle name="Vérification 2 6 7 4 6" xfId="28427"/>
    <cellStyle name="Vérification 2 6 7 5" xfId="6684"/>
    <cellStyle name="Vérification 2 6 7 5 2" xfId="9038"/>
    <cellStyle name="Vérification 2 6 7 5 2 2" xfId="25262"/>
    <cellStyle name="Vérification 2 6 7 5 2 2 2" xfId="37269"/>
    <cellStyle name="Vérification 2 6 7 5 2 3" xfId="15045"/>
    <cellStyle name="Vérification 2 6 7 5 2 4" xfId="31266"/>
    <cellStyle name="Vérification 2 6 7 5 3" xfId="22908"/>
    <cellStyle name="Vérification 2 6 7 5 3 2" xfId="34915"/>
    <cellStyle name="Vérification 2 6 7 5 4" xfId="12742"/>
    <cellStyle name="Vérification 2 6 7 5 5" xfId="28963"/>
    <cellStyle name="Vérification 2 6 7 6" xfId="3776"/>
    <cellStyle name="Vérification 2 6 7 6 2" xfId="20004"/>
    <cellStyle name="Vérification 2 6 7 6 2 2" xfId="34118"/>
    <cellStyle name="Vérification 2 6 7 6 3" xfId="13527"/>
    <cellStyle name="Vérification 2 6 7 6 4" xfId="29748"/>
    <cellStyle name="Vérification 2 6 7 7" xfId="18754"/>
    <cellStyle name="Vérification 2 6 7 7 2" xfId="32934"/>
    <cellStyle name="Vérification 2 6 7 8" xfId="10708"/>
    <cellStyle name="Vérification 2 6 7 9" xfId="26931"/>
    <cellStyle name="Vérification 2 6 8" xfId="2613"/>
    <cellStyle name="Vérification 2 6 8 2" xfId="2946"/>
    <cellStyle name="Vérification 2 6 8 2 2" xfId="6634"/>
    <cellStyle name="Vérification 2 6 8 2 2 2" xfId="9015"/>
    <cellStyle name="Vérification 2 6 8 2 2 2 2" xfId="25239"/>
    <cellStyle name="Vérification 2 6 8 2 2 2 2 2" xfId="37246"/>
    <cellStyle name="Vérification 2 6 8 2 2 2 3" xfId="15022"/>
    <cellStyle name="Vérification 2 6 8 2 2 2 4" xfId="31243"/>
    <cellStyle name="Vérification 2 6 8 2 2 3" xfId="10393"/>
    <cellStyle name="Vérification 2 6 8 2 2 3 2" xfId="26617"/>
    <cellStyle name="Vérification 2 6 8 2 2 3 2 2" xfId="38624"/>
    <cellStyle name="Vérification 2 6 8 2 2 3 3" xfId="16400"/>
    <cellStyle name="Vérification 2 6 8 2 2 3 4" xfId="32621"/>
    <cellStyle name="Vérification 2 6 8 2 2 4" xfId="22858"/>
    <cellStyle name="Vérification 2 6 8 2 2 4 2" xfId="34865"/>
    <cellStyle name="Vérification 2 6 8 2 2 5" xfId="12719"/>
    <cellStyle name="Vérification 2 6 8 2 2 6" xfId="28940"/>
    <cellStyle name="Vérification 2 6 8 2 3" xfId="7682"/>
    <cellStyle name="Vérification 2 6 8 2 3 2" xfId="9726"/>
    <cellStyle name="Vérification 2 6 8 2 3 2 2" xfId="25950"/>
    <cellStyle name="Vérification 2 6 8 2 3 2 2 2" xfId="37957"/>
    <cellStyle name="Vérification 2 6 8 2 3 2 3" xfId="15733"/>
    <cellStyle name="Vérification 2 6 8 2 3 2 4" xfId="31954"/>
    <cellStyle name="Vérification 2 6 8 2 3 3" xfId="23906"/>
    <cellStyle name="Vérification 2 6 8 2 3 3 2" xfId="35913"/>
    <cellStyle name="Vérification 2 6 8 2 3 4" xfId="13430"/>
    <cellStyle name="Vérification 2 6 8 2 3 5" xfId="29651"/>
    <cellStyle name="Vérification 2 6 8 2 4" xfId="8059"/>
    <cellStyle name="Vérification 2 6 8 2 4 2" xfId="24283"/>
    <cellStyle name="Vérification 2 6 8 2 4 2 2" xfId="36290"/>
    <cellStyle name="Vérification 2 6 8 2 4 3" xfId="14066"/>
    <cellStyle name="Vérification 2 6 8 2 4 4" xfId="30287"/>
    <cellStyle name="Vérification 2 6 8 2 5" xfId="19174"/>
    <cellStyle name="Vérification 2 6 8 2 5 2" xfId="33288"/>
    <cellStyle name="Vérification 2 6 8 2 6" xfId="11415"/>
    <cellStyle name="Vérification 2 6 8 2 7" xfId="27636"/>
    <cellStyle name="Vérification 2 6 8 3" xfId="6301"/>
    <cellStyle name="Vérification 2 6 8 3 2" xfId="7349"/>
    <cellStyle name="Vérification 2 6 8 3 2 2" xfId="9393"/>
    <cellStyle name="Vérification 2 6 8 3 2 2 2" xfId="25617"/>
    <cellStyle name="Vérification 2 6 8 3 2 2 2 2" xfId="37624"/>
    <cellStyle name="Vérification 2 6 8 3 2 2 3" xfId="15400"/>
    <cellStyle name="Vérification 2 6 8 3 2 2 4" xfId="31621"/>
    <cellStyle name="Vérification 2 6 8 3 2 3" xfId="23573"/>
    <cellStyle name="Vérification 2 6 8 3 2 3 2" xfId="35580"/>
    <cellStyle name="Vérification 2 6 8 3 2 4" xfId="13097"/>
    <cellStyle name="Vérification 2 6 8 3 2 5" xfId="29318"/>
    <cellStyle name="Vérification 2 6 8 3 3" xfId="7726"/>
    <cellStyle name="Vérification 2 6 8 3 3 2" xfId="23950"/>
    <cellStyle name="Vérification 2 6 8 3 3 2 2" xfId="35957"/>
    <cellStyle name="Vérification 2 6 8 3 3 3" xfId="13733"/>
    <cellStyle name="Vérification 2 6 8 3 3 4" xfId="29954"/>
    <cellStyle name="Vérification 2 6 8 3 4" xfId="22525"/>
    <cellStyle name="Vérification 2 6 8 3 4 2" xfId="34532"/>
    <cellStyle name="Vérification 2 6 8 3 5" xfId="11082"/>
    <cellStyle name="Vérification 2 6 8 3 6" xfId="27303"/>
    <cellStyle name="Vérification 2 6 8 4" xfId="3856"/>
    <cellStyle name="Vérification 2 6 8 4 2" xfId="8682"/>
    <cellStyle name="Vérification 2 6 8 4 2 2" xfId="24906"/>
    <cellStyle name="Vérification 2 6 8 4 2 2 2" xfId="36913"/>
    <cellStyle name="Vérification 2 6 8 4 2 3" xfId="14689"/>
    <cellStyle name="Vérification 2 6 8 4 2 4" xfId="30910"/>
    <cellStyle name="Vérification 2 6 8 4 3" xfId="10060"/>
    <cellStyle name="Vérification 2 6 8 4 3 2" xfId="26284"/>
    <cellStyle name="Vérification 2 6 8 4 3 2 2" xfId="38291"/>
    <cellStyle name="Vérification 2 6 8 4 3 3" xfId="16067"/>
    <cellStyle name="Vérification 2 6 8 4 3 4" xfId="32288"/>
    <cellStyle name="Vérification 2 6 8 4 4" xfId="20084"/>
    <cellStyle name="Vérification 2 6 8 4 4 2" xfId="34198"/>
    <cellStyle name="Vérification 2 6 8 4 5" xfId="12237"/>
    <cellStyle name="Vérification 2 6 8 4 6" xfId="28458"/>
    <cellStyle name="Vérification 2 6 8 5" xfId="6713"/>
    <cellStyle name="Vérification 2 6 8 5 2" xfId="9059"/>
    <cellStyle name="Vérification 2 6 8 5 2 2" xfId="25283"/>
    <cellStyle name="Vérification 2 6 8 5 2 2 2" xfId="37290"/>
    <cellStyle name="Vérification 2 6 8 5 2 3" xfId="15066"/>
    <cellStyle name="Vérification 2 6 8 5 2 4" xfId="31287"/>
    <cellStyle name="Vérification 2 6 8 5 3" xfId="22937"/>
    <cellStyle name="Vérification 2 6 8 5 3 2" xfId="34944"/>
    <cellStyle name="Vérification 2 6 8 5 4" xfId="12763"/>
    <cellStyle name="Vérification 2 6 8 5 5" xfId="28984"/>
    <cellStyle name="Vérification 2 6 8 6" xfId="3074"/>
    <cellStyle name="Vérification 2 6 8 6 2" xfId="19302"/>
    <cellStyle name="Vérification 2 6 8 6 2 2" xfId="33416"/>
    <cellStyle name="Vérification 2 6 8 6 3" xfId="13483"/>
    <cellStyle name="Vérification 2 6 8 6 4" xfId="29704"/>
    <cellStyle name="Vérification 2 6 8 7" xfId="18841"/>
    <cellStyle name="Vérification 2 6 8 7 2" xfId="32955"/>
    <cellStyle name="Vérification 2 6 8 8" xfId="10729"/>
    <cellStyle name="Vérification 2 6 8 9" xfId="26952"/>
    <cellStyle name="Vérification 2 6 9" xfId="2635"/>
    <cellStyle name="Vérification 2 6 9 2" xfId="6323"/>
    <cellStyle name="Vérification 2 6 9 2 2" xfId="8704"/>
    <cellStyle name="Vérification 2 6 9 2 2 2" xfId="24928"/>
    <cellStyle name="Vérification 2 6 9 2 2 2 2" xfId="36935"/>
    <cellStyle name="Vérification 2 6 9 2 2 3" xfId="14711"/>
    <cellStyle name="Vérification 2 6 9 2 2 4" xfId="30932"/>
    <cellStyle name="Vérification 2 6 9 2 3" xfId="10082"/>
    <cellStyle name="Vérification 2 6 9 2 3 2" xfId="26306"/>
    <cellStyle name="Vérification 2 6 9 2 3 2 2" xfId="38313"/>
    <cellStyle name="Vérification 2 6 9 2 3 3" xfId="16089"/>
    <cellStyle name="Vérification 2 6 9 2 3 4" xfId="32310"/>
    <cellStyle name="Vérification 2 6 9 2 4" xfId="22547"/>
    <cellStyle name="Vérification 2 6 9 2 4 2" xfId="34554"/>
    <cellStyle name="Vérification 2 6 9 2 5" xfId="12408"/>
    <cellStyle name="Vérification 2 6 9 2 6" xfId="28629"/>
    <cellStyle name="Vérification 2 6 9 3" xfId="7371"/>
    <cellStyle name="Vérification 2 6 9 3 2" xfId="9415"/>
    <cellStyle name="Vérification 2 6 9 3 2 2" xfId="25639"/>
    <cellStyle name="Vérification 2 6 9 3 2 2 2" xfId="37646"/>
    <cellStyle name="Vérification 2 6 9 3 2 3" xfId="15422"/>
    <cellStyle name="Vérification 2 6 9 3 2 4" xfId="31643"/>
    <cellStyle name="Vérification 2 6 9 3 3" xfId="23595"/>
    <cellStyle name="Vérification 2 6 9 3 3 2" xfId="35602"/>
    <cellStyle name="Vérification 2 6 9 3 4" xfId="13119"/>
    <cellStyle name="Vérification 2 6 9 3 5" xfId="29340"/>
    <cellStyle name="Vérification 2 6 9 4" xfId="7748"/>
    <cellStyle name="Vérification 2 6 9 4 2" xfId="23972"/>
    <cellStyle name="Vérification 2 6 9 4 2 2" xfId="35979"/>
    <cellStyle name="Vérification 2 6 9 4 3" xfId="13755"/>
    <cellStyle name="Vérification 2 6 9 4 4" xfId="29976"/>
    <cellStyle name="Vérification 2 6 9 5" xfId="18863"/>
    <cellStyle name="Vérification 2 6 9 5 2" xfId="32977"/>
    <cellStyle name="Vérification 2 6 9 6" xfId="11104"/>
    <cellStyle name="Vérification 2 6 9 7" xfId="27325"/>
    <cellStyle name="Vérification 2 7" xfId="531"/>
    <cellStyle name="Vérification 2 7 10" xfId="10467"/>
    <cellStyle name="Vérification 2 7 11" xfId="26692"/>
    <cellStyle name="Vérification 2 7 2" xfId="1386"/>
    <cellStyle name="Vérification 2 7 2 2" xfId="2864"/>
    <cellStyle name="Vérification 2 7 2 2 2" xfId="6552"/>
    <cellStyle name="Vérification 2 7 2 2 2 2" xfId="8933"/>
    <cellStyle name="Vérification 2 7 2 2 2 2 2" xfId="25157"/>
    <cellStyle name="Vérification 2 7 2 2 2 2 2 2" xfId="37164"/>
    <cellStyle name="Vérification 2 7 2 2 2 2 3" xfId="14940"/>
    <cellStyle name="Vérification 2 7 2 2 2 2 4" xfId="31161"/>
    <cellStyle name="Vérification 2 7 2 2 2 3" xfId="10311"/>
    <cellStyle name="Vérification 2 7 2 2 2 3 2" xfId="26535"/>
    <cellStyle name="Vérification 2 7 2 2 2 3 2 2" xfId="38542"/>
    <cellStyle name="Vérification 2 7 2 2 2 3 3" xfId="16318"/>
    <cellStyle name="Vérification 2 7 2 2 2 3 4" xfId="32539"/>
    <cellStyle name="Vérification 2 7 2 2 2 4" xfId="22776"/>
    <cellStyle name="Vérification 2 7 2 2 2 4 2" xfId="34783"/>
    <cellStyle name="Vérification 2 7 2 2 2 5" xfId="12637"/>
    <cellStyle name="Vérification 2 7 2 2 2 6" xfId="28858"/>
    <cellStyle name="Vérification 2 7 2 2 3" xfId="7600"/>
    <cellStyle name="Vérification 2 7 2 2 3 2" xfId="9644"/>
    <cellStyle name="Vérification 2 7 2 2 3 2 2" xfId="25868"/>
    <cellStyle name="Vérification 2 7 2 2 3 2 2 2" xfId="37875"/>
    <cellStyle name="Vérification 2 7 2 2 3 2 3" xfId="15651"/>
    <cellStyle name="Vérification 2 7 2 2 3 2 4" xfId="31872"/>
    <cellStyle name="Vérification 2 7 2 2 3 3" xfId="23824"/>
    <cellStyle name="Vérification 2 7 2 2 3 3 2" xfId="35831"/>
    <cellStyle name="Vérification 2 7 2 2 3 4" xfId="13348"/>
    <cellStyle name="Vérification 2 7 2 2 3 5" xfId="29569"/>
    <cellStyle name="Vérification 2 7 2 2 4" xfId="7977"/>
    <cellStyle name="Vérification 2 7 2 2 4 2" xfId="24201"/>
    <cellStyle name="Vérification 2 7 2 2 4 2 2" xfId="36208"/>
    <cellStyle name="Vérification 2 7 2 2 4 3" xfId="13984"/>
    <cellStyle name="Vérification 2 7 2 2 4 4" xfId="30205"/>
    <cellStyle name="Vérification 2 7 2 2 5" xfId="19092"/>
    <cellStyle name="Vérification 2 7 2 2 5 2" xfId="33206"/>
    <cellStyle name="Vérification 2 7 2 2 6" xfId="11333"/>
    <cellStyle name="Vérification 2 7 2 2 7" xfId="27554"/>
    <cellStyle name="Vérification 2 7 2 3" xfId="5083"/>
    <cellStyle name="Vérification 2 7 2 3 2" xfId="7110"/>
    <cellStyle name="Vérification 2 7 2 3 2 2" xfId="9311"/>
    <cellStyle name="Vérification 2 7 2 3 2 2 2" xfId="25535"/>
    <cellStyle name="Vérification 2 7 2 3 2 2 2 2" xfId="37542"/>
    <cellStyle name="Vérification 2 7 2 3 2 2 3" xfId="15318"/>
    <cellStyle name="Vérification 2 7 2 3 2 2 4" xfId="31539"/>
    <cellStyle name="Vérification 2 7 2 3 2 3" xfId="23334"/>
    <cellStyle name="Vérification 2 7 2 3 2 3 2" xfId="35341"/>
    <cellStyle name="Vérification 2 7 2 3 2 4" xfId="13015"/>
    <cellStyle name="Vérification 2 7 2 3 2 5" xfId="29236"/>
    <cellStyle name="Vérification 2 7 2 3 3" xfId="3784"/>
    <cellStyle name="Vérification 2 7 2 3 3 2" xfId="20012"/>
    <cellStyle name="Vérification 2 7 2 3 3 2 2" xfId="34126"/>
    <cellStyle name="Vérification 2 7 2 3 3 3" xfId="12278"/>
    <cellStyle name="Vérification 2 7 2 3 3 4" xfId="28499"/>
    <cellStyle name="Vérification 2 7 2 3 4" xfId="21309"/>
    <cellStyle name="Vérification 2 7 2 3 4 2" xfId="34450"/>
    <cellStyle name="Vérification 2 7 2 3 5" xfId="10997"/>
    <cellStyle name="Vérification 2 7 2 3 6" xfId="27220"/>
    <cellStyle name="Vérification 2 7 2 4" xfId="3474"/>
    <cellStyle name="Vérification 2 7 2 4 2" xfId="8441"/>
    <cellStyle name="Vérification 2 7 2 4 2 2" xfId="24665"/>
    <cellStyle name="Vérification 2 7 2 4 2 2 2" xfId="36672"/>
    <cellStyle name="Vérification 2 7 2 4 2 3" xfId="14448"/>
    <cellStyle name="Vérification 2 7 2 4 2 4" xfId="30669"/>
    <cellStyle name="Vérification 2 7 2 4 3" xfId="9978"/>
    <cellStyle name="Vérification 2 7 2 4 3 2" xfId="26202"/>
    <cellStyle name="Vérification 2 7 2 4 3 2 2" xfId="38209"/>
    <cellStyle name="Vérification 2 7 2 4 3 3" xfId="15985"/>
    <cellStyle name="Vérification 2 7 2 4 3 4" xfId="32206"/>
    <cellStyle name="Vérification 2 7 2 4 4" xfId="19702"/>
    <cellStyle name="Vérification 2 7 2 4 4 2" xfId="33816"/>
    <cellStyle name="Vérification 2 7 2 4 5" xfId="11996"/>
    <cellStyle name="Vérification 2 7 2 4 6" xfId="28217"/>
    <cellStyle name="Vérification 2 7 2 5" xfId="3627"/>
    <cellStyle name="Vérification 2 7 2 5 2" xfId="8546"/>
    <cellStyle name="Vérification 2 7 2 5 2 2" xfId="24770"/>
    <cellStyle name="Vérification 2 7 2 5 2 2 2" xfId="36777"/>
    <cellStyle name="Vérification 2 7 2 5 2 3" xfId="14553"/>
    <cellStyle name="Vérification 2 7 2 5 2 4" xfId="30774"/>
    <cellStyle name="Vérification 2 7 2 5 3" xfId="19855"/>
    <cellStyle name="Vérification 2 7 2 5 3 2" xfId="33969"/>
    <cellStyle name="Vérification 2 7 2 5 4" xfId="12101"/>
    <cellStyle name="Vérification 2 7 2 5 5" xfId="28322"/>
    <cellStyle name="Vérification 2 7 2 6" xfId="6663"/>
    <cellStyle name="Vérification 2 7 2 6 2" xfId="22887"/>
    <cellStyle name="Vérification 2 7 2 6 2 2" xfId="34894"/>
    <cellStyle name="Vérification 2 7 2 6 3" xfId="11529"/>
    <cellStyle name="Vérification 2 7 2 6 4" xfId="27750"/>
    <cellStyle name="Vérification 2 7 2 7" xfId="17625"/>
    <cellStyle name="Vérification 2 7 2 7 2" xfId="32873"/>
    <cellStyle name="Vérification 2 7 2 8" xfId="10645"/>
    <cellStyle name="Vérification 2 7 2 9" xfId="26870"/>
    <cellStyle name="Vérification 2 7 3" xfId="1141"/>
    <cellStyle name="Vérification 2 7 3 2" xfId="2775"/>
    <cellStyle name="Vérification 2 7 3 2 2" xfId="6463"/>
    <cellStyle name="Vérification 2 7 3 2 2 2" xfId="8844"/>
    <cellStyle name="Vérification 2 7 3 2 2 2 2" xfId="25068"/>
    <cellStyle name="Vérification 2 7 3 2 2 2 2 2" xfId="37075"/>
    <cellStyle name="Vérification 2 7 3 2 2 2 3" xfId="14851"/>
    <cellStyle name="Vérification 2 7 3 2 2 2 4" xfId="31072"/>
    <cellStyle name="Vérification 2 7 3 2 2 3" xfId="10222"/>
    <cellStyle name="Vérification 2 7 3 2 2 3 2" xfId="26446"/>
    <cellStyle name="Vérification 2 7 3 2 2 3 2 2" xfId="38453"/>
    <cellStyle name="Vérification 2 7 3 2 2 3 3" xfId="16229"/>
    <cellStyle name="Vérification 2 7 3 2 2 3 4" xfId="32450"/>
    <cellStyle name="Vérification 2 7 3 2 2 4" xfId="22687"/>
    <cellStyle name="Vérification 2 7 3 2 2 4 2" xfId="34694"/>
    <cellStyle name="Vérification 2 7 3 2 2 5" xfId="12548"/>
    <cellStyle name="Vérification 2 7 3 2 2 6" xfId="28769"/>
    <cellStyle name="Vérification 2 7 3 2 3" xfId="7511"/>
    <cellStyle name="Vérification 2 7 3 2 3 2" xfId="9555"/>
    <cellStyle name="Vérification 2 7 3 2 3 2 2" xfId="25779"/>
    <cellStyle name="Vérification 2 7 3 2 3 2 2 2" xfId="37786"/>
    <cellStyle name="Vérification 2 7 3 2 3 2 3" xfId="15562"/>
    <cellStyle name="Vérification 2 7 3 2 3 2 4" xfId="31783"/>
    <cellStyle name="Vérification 2 7 3 2 3 3" xfId="23735"/>
    <cellStyle name="Vérification 2 7 3 2 3 3 2" xfId="35742"/>
    <cellStyle name="Vérification 2 7 3 2 3 4" xfId="13259"/>
    <cellStyle name="Vérification 2 7 3 2 3 5" xfId="29480"/>
    <cellStyle name="Vérification 2 7 3 2 4" xfId="7888"/>
    <cellStyle name="Vérification 2 7 3 2 4 2" xfId="24112"/>
    <cellStyle name="Vérification 2 7 3 2 4 2 2" xfId="36119"/>
    <cellStyle name="Vérification 2 7 3 2 4 3" xfId="13895"/>
    <cellStyle name="Vérification 2 7 3 2 4 4" xfId="30116"/>
    <cellStyle name="Vérification 2 7 3 2 5" xfId="19003"/>
    <cellStyle name="Vérification 2 7 3 2 5 2" xfId="33117"/>
    <cellStyle name="Vérification 2 7 3 2 6" xfId="11244"/>
    <cellStyle name="Vérification 2 7 3 2 7" xfId="27465"/>
    <cellStyle name="Vérification 2 7 3 3" xfId="4838"/>
    <cellStyle name="Vérification 2 7 3 3 2" xfId="7002"/>
    <cellStyle name="Vérification 2 7 3 3 2 2" xfId="9222"/>
    <cellStyle name="Vérification 2 7 3 3 2 2 2" xfId="25446"/>
    <cellStyle name="Vérification 2 7 3 3 2 2 2 2" xfId="37453"/>
    <cellStyle name="Vérification 2 7 3 3 2 2 3" xfId="15229"/>
    <cellStyle name="Vérification 2 7 3 3 2 2 4" xfId="31450"/>
    <cellStyle name="Vérification 2 7 3 3 2 3" xfId="23226"/>
    <cellStyle name="Vérification 2 7 3 3 2 3 2" xfId="35233"/>
    <cellStyle name="Vérification 2 7 3 3 2 4" xfId="12926"/>
    <cellStyle name="Vérification 2 7 3 3 2 5" xfId="29147"/>
    <cellStyle name="Vérification 2 7 3 3 3" xfId="6808"/>
    <cellStyle name="Vérification 2 7 3 3 3 2" xfId="23032"/>
    <cellStyle name="Vérification 2 7 3 3 3 2 2" xfId="35039"/>
    <cellStyle name="Vérification 2 7 3 3 3 3" xfId="11619"/>
    <cellStyle name="Vérification 2 7 3 3 3 4" xfId="27840"/>
    <cellStyle name="Vérification 2 7 3 3 4" xfId="21064"/>
    <cellStyle name="Vérification 2 7 3 3 4 2" xfId="34361"/>
    <cellStyle name="Vérification 2 7 3 3 5" xfId="10908"/>
    <cellStyle name="Vérification 2 7 3 3 6" xfId="27131"/>
    <cellStyle name="Vérification 2 7 3 4" xfId="3348"/>
    <cellStyle name="Vérification 2 7 3 4 2" xfId="8330"/>
    <cellStyle name="Vérification 2 7 3 4 2 2" xfId="24554"/>
    <cellStyle name="Vérification 2 7 3 4 2 2 2" xfId="36561"/>
    <cellStyle name="Vérification 2 7 3 4 2 3" xfId="14337"/>
    <cellStyle name="Vérification 2 7 3 4 2 4" xfId="30558"/>
    <cellStyle name="Vérification 2 7 3 4 3" xfId="9889"/>
    <cellStyle name="Vérification 2 7 3 4 3 2" xfId="26113"/>
    <cellStyle name="Vérification 2 7 3 4 3 2 2" xfId="38120"/>
    <cellStyle name="Vérification 2 7 3 4 3 3" xfId="15896"/>
    <cellStyle name="Vérification 2 7 3 4 3 4" xfId="32117"/>
    <cellStyle name="Vérification 2 7 3 4 4" xfId="19576"/>
    <cellStyle name="Vérification 2 7 3 4 4 2" xfId="33690"/>
    <cellStyle name="Vérification 2 7 3 4 5" xfId="11885"/>
    <cellStyle name="Vérification 2 7 3 4 6" xfId="28106"/>
    <cellStyle name="Vérification 2 7 3 5" xfId="3534"/>
    <cellStyle name="Vérification 2 7 3 5 2" xfId="8496"/>
    <cellStyle name="Vérification 2 7 3 5 2 2" xfId="24720"/>
    <cellStyle name="Vérification 2 7 3 5 2 2 2" xfId="36727"/>
    <cellStyle name="Vérification 2 7 3 5 2 3" xfId="14503"/>
    <cellStyle name="Vérification 2 7 3 5 2 4" xfId="30724"/>
    <cellStyle name="Vérification 2 7 3 5 3" xfId="19762"/>
    <cellStyle name="Vérification 2 7 3 5 3 2" xfId="33876"/>
    <cellStyle name="Vérification 2 7 3 5 4" xfId="12051"/>
    <cellStyle name="Vérification 2 7 3 5 5" xfId="28272"/>
    <cellStyle name="Vérification 2 7 3 6" xfId="6804"/>
    <cellStyle name="Vérification 2 7 3 6 2" xfId="23028"/>
    <cellStyle name="Vérification 2 7 3 6 2 2" xfId="35035"/>
    <cellStyle name="Vérification 2 7 3 6 3" xfId="11524"/>
    <cellStyle name="Vérification 2 7 3 6 4" xfId="27745"/>
    <cellStyle name="Vérification 2 7 3 7" xfId="17380"/>
    <cellStyle name="Vérification 2 7 3 7 2" xfId="32784"/>
    <cellStyle name="Vérification 2 7 3 8" xfId="10556"/>
    <cellStyle name="Vérification 2 7 3 9" xfId="26781"/>
    <cellStyle name="Vérification 2 7 4" xfId="2686"/>
    <cellStyle name="Vérification 2 7 4 2" xfId="6374"/>
    <cellStyle name="Vérification 2 7 4 2 2" xfId="8755"/>
    <cellStyle name="Vérification 2 7 4 2 2 2" xfId="24979"/>
    <cellStyle name="Vérification 2 7 4 2 2 2 2" xfId="36986"/>
    <cellStyle name="Vérification 2 7 4 2 2 3" xfId="14762"/>
    <cellStyle name="Vérification 2 7 4 2 2 4" xfId="30983"/>
    <cellStyle name="Vérification 2 7 4 2 3" xfId="10133"/>
    <cellStyle name="Vérification 2 7 4 2 3 2" xfId="26357"/>
    <cellStyle name="Vérification 2 7 4 2 3 2 2" xfId="38364"/>
    <cellStyle name="Vérification 2 7 4 2 3 3" xfId="16140"/>
    <cellStyle name="Vérification 2 7 4 2 3 4" xfId="32361"/>
    <cellStyle name="Vérification 2 7 4 2 4" xfId="22598"/>
    <cellStyle name="Vérification 2 7 4 2 4 2" xfId="34605"/>
    <cellStyle name="Vérification 2 7 4 2 5" xfId="12459"/>
    <cellStyle name="Vérification 2 7 4 2 6" xfId="28680"/>
    <cellStyle name="Vérification 2 7 4 3" xfId="7422"/>
    <cellStyle name="Vérification 2 7 4 3 2" xfId="9466"/>
    <cellStyle name="Vérification 2 7 4 3 2 2" xfId="25690"/>
    <cellStyle name="Vérification 2 7 4 3 2 2 2" xfId="37697"/>
    <cellStyle name="Vérification 2 7 4 3 2 3" xfId="15473"/>
    <cellStyle name="Vérification 2 7 4 3 2 4" xfId="31694"/>
    <cellStyle name="Vérification 2 7 4 3 3" xfId="23646"/>
    <cellStyle name="Vérification 2 7 4 3 3 2" xfId="35653"/>
    <cellStyle name="Vérification 2 7 4 3 4" xfId="13170"/>
    <cellStyle name="Vérification 2 7 4 3 5" xfId="29391"/>
    <cellStyle name="Vérification 2 7 4 4" xfId="7799"/>
    <cellStyle name="Vérification 2 7 4 4 2" xfId="24023"/>
    <cellStyle name="Vérification 2 7 4 4 2 2" xfId="36030"/>
    <cellStyle name="Vérification 2 7 4 4 3" xfId="13806"/>
    <cellStyle name="Vérification 2 7 4 4 4" xfId="30027"/>
    <cellStyle name="Vérification 2 7 4 5" xfId="18914"/>
    <cellStyle name="Vérification 2 7 4 5 2" xfId="33028"/>
    <cellStyle name="Vérification 2 7 4 6" xfId="11155"/>
    <cellStyle name="Vérification 2 7 4 7" xfId="27376"/>
    <cellStyle name="Vérification 2 7 5" xfId="4263"/>
    <cellStyle name="Vérification 2 7 5 2" xfId="6838"/>
    <cellStyle name="Vérification 2 7 5 2 2" xfId="9133"/>
    <cellStyle name="Vérification 2 7 5 2 2 2" xfId="25357"/>
    <cellStyle name="Vérification 2 7 5 2 2 2 2" xfId="37364"/>
    <cellStyle name="Vérification 2 7 5 2 2 3" xfId="15140"/>
    <cellStyle name="Vérification 2 7 5 2 2 4" xfId="31361"/>
    <cellStyle name="Vérification 2 7 5 2 3" xfId="23062"/>
    <cellStyle name="Vérification 2 7 5 2 3 2" xfId="35069"/>
    <cellStyle name="Vérification 2 7 5 2 4" xfId="12837"/>
    <cellStyle name="Vérification 2 7 5 2 5" xfId="29058"/>
    <cellStyle name="Vérification 2 7 5 3" xfId="6942"/>
    <cellStyle name="Vérification 2 7 5 3 2" xfId="23166"/>
    <cellStyle name="Vérification 2 7 5 3 2 2" xfId="35173"/>
    <cellStyle name="Vérification 2 7 5 3 3" xfId="11448"/>
    <cellStyle name="Vérification 2 7 5 3 4" xfId="27669"/>
    <cellStyle name="Vérification 2 7 5 4" xfId="20489"/>
    <cellStyle name="Vérification 2 7 5 4 2" xfId="34272"/>
    <cellStyle name="Vérification 2 7 5 5" xfId="10812"/>
    <cellStyle name="Vérification 2 7 5 6" xfId="27035"/>
    <cellStyle name="Vérification 2 7 6" xfId="3128"/>
    <cellStyle name="Vérification 2 7 6 2" xfId="8178"/>
    <cellStyle name="Vérification 2 7 6 2 2" xfId="24402"/>
    <cellStyle name="Vérification 2 7 6 2 2 2" xfId="36409"/>
    <cellStyle name="Vérification 2 7 6 2 3" xfId="14185"/>
    <cellStyle name="Vérification 2 7 6 2 4" xfId="30406"/>
    <cellStyle name="Vérification 2 7 6 3" xfId="9800"/>
    <cellStyle name="Vérification 2 7 6 3 2" xfId="26024"/>
    <cellStyle name="Vérification 2 7 6 3 2 2" xfId="38031"/>
    <cellStyle name="Vérification 2 7 6 3 3" xfId="15807"/>
    <cellStyle name="Vérification 2 7 6 3 4" xfId="32028"/>
    <cellStyle name="Vérification 2 7 6 4" xfId="19356"/>
    <cellStyle name="Vérification 2 7 6 4 2" xfId="33470"/>
    <cellStyle name="Vérification 2 7 6 5" xfId="11733"/>
    <cellStyle name="Vérification 2 7 6 6" xfId="27954"/>
    <cellStyle name="Vérification 2 7 7" xfId="3762"/>
    <cellStyle name="Vérification 2 7 7 2" xfId="8617"/>
    <cellStyle name="Vérification 2 7 7 2 2" xfId="24841"/>
    <cellStyle name="Vérification 2 7 7 2 2 2" xfId="36848"/>
    <cellStyle name="Vérification 2 7 7 2 3" xfId="14624"/>
    <cellStyle name="Vérification 2 7 7 2 4" xfId="30845"/>
    <cellStyle name="Vérification 2 7 7 3" xfId="19990"/>
    <cellStyle name="Vérification 2 7 7 3 2" xfId="34104"/>
    <cellStyle name="Vérification 2 7 7 4" xfId="12172"/>
    <cellStyle name="Vérification 2 7 7 5" xfId="28393"/>
    <cellStyle name="Vérification 2 7 8" xfId="3567"/>
    <cellStyle name="Vérification 2 7 8 2" xfId="19795"/>
    <cellStyle name="Vérification 2 7 8 2 2" xfId="33909"/>
    <cellStyle name="Vérification 2 7 8 3" xfId="10742"/>
    <cellStyle name="Vérification 2 7 8 4" xfId="26965"/>
    <cellStyle name="Vérification 2 7 9" xfId="16805"/>
    <cellStyle name="Vérification 2 7 9 2" xfId="32695"/>
    <cellStyle name="Vérification 2 8" xfId="3871"/>
    <cellStyle name="Vérification 2 8 2" xfId="6723"/>
    <cellStyle name="Vérification 2 8 2 2" xfId="9066"/>
    <cellStyle name="Vérification 2 8 2 2 2" xfId="25290"/>
    <cellStyle name="Vérification 2 8 2 2 2 2" xfId="37297"/>
    <cellStyle name="Vérification 2 8 2 2 3" xfId="15073"/>
    <cellStyle name="Vérification 2 8 2 2 4" xfId="31294"/>
    <cellStyle name="Vérification 2 8 2 3" xfId="22947"/>
    <cellStyle name="Vérification 2 8 2 3 2" xfId="34954"/>
    <cellStyle name="Vérification 2 8 2 4" xfId="12770"/>
    <cellStyle name="Vérification 2 8 2 5" xfId="28991"/>
    <cellStyle name="Vérification 2 8 3" xfId="3561"/>
    <cellStyle name="Vérification 2 8 3 2" xfId="19789"/>
    <cellStyle name="Vérification 2 8 3 2 2" xfId="33903"/>
    <cellStyle name="Vérification 2 8 3 3" xfId="12364"/>
    <cellStyle name="Vérification 2 8 3 4" xfId="28585"/>
    <cellStyle name="Vérification 2 8 4" xfId="20098"/>
    <cellStyle name="Vérification 2 8 4 2" xfId="34205"/>
    <cellStyle name="Vérification 2 8 5" xfId="10741"/>
    <cellStyle name="Vérification 2 8 6" xfId="26964"/>
    <cellStyle name="Vérification 2 9" xfId="2963"/>
    <cellStyle name="Vérification 2 9 2" xfId="8069"/>
    <cellStyle name="Vérification 2 9 2 2" xfId="24293"/>
    <cellStyle name="Vérification 2 9 2 2 2" xfId="36300"/>
    <cellStyle name="Vérification 2 9 2 3" xfId="14076"/>
    <cellStyle name="Vérification 2 9 2 4" xfId="30297"/>
    <cellStyle name="Vérification 2 9 3" xfId="9733"/>
    <cellStyle name="Vérification 2 9 3 2" xfId="25957"/>
    <cellStyle name="Vérification 2 9 3 2 2" xfId="37964"/>
    <cellStyle name="Vérification 2 9 3 3" xfId="15740"/>
    <cellStyle name="Vérification 2 9 3 4" xfId="31961"/>
    <cellStyle name="Vérification 2 9 4" xfId="19191"/>
    <cellStyle name="Vérification 2 9 4 2" xfId="33305"/>
    <cellStyle name="Vérification 2 9 5" xfId="11624"/>
    <cellStyle name="Vérification 2 9 6" xfId="27845"/>
  </cellStyles>
  <dxfs count="83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b/>
        <i val="0"/>
        <color auto="1"/>
      </font>
      <fill>
        <patternFill>
          <bgColor rgb="FFFFC7CE"/>
        </patternFill>
      </fill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theme="1"/>
        </patternFill>
      </fill>
    </dxf>
    <dxf>
      <fill>
        <patternFill>
          <bgColor rgb="FF66FF33"/>
        </patternFill>
      </fill>
    </dxf>
    <dxf>
      <fill>
        <patternFill>
          <bgColor rgb="FF00B0F0"/>
        </patternFill>
      </fill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00B0F0"/>
        </patternFill>
      </fill>
    </dxf>
    <dxf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rgb="FF00B0F0"/>
        </patternFill>
      </fill>
    </dxf>
    <dxf>
      <fill>
        <patternFill>
          <bgColor rgb="FF66FF33"/>
        </patternFill>
      </fill>
    </dxf>
    <dxf>
      <fill>
        <patternFill>
          <bgColor rgb="FF00B0F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66FF33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colors>
    <mruColors>
      <color rgb="FF6699FF"/>
      <color rgb="FF33CCFF"/>
      <color rgb="FF00B0F0"/>
      <color rgb="FF00FF00"/>
      <color rgb="FF66FF33"/>
      <color rgb="FFFF9900"/>
      <color rgb="FFFF66CC"/>
      <color rgb="FFFF99FF"/>
      <color rgb="FFCCECFF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47625</xdr:rowOff>
        </xdr:from>
        <xdr:to>
          <xdr:col>7</xdr:col>
          <xdr:colOff>142875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685800</xdr:colOff>
          <xdr:row>9</xdr:row>
          <xdr:rowOff>104775</xdr:rowOff>
        </xdr:from>
        <xdr:to>
          <xdr:col>7</xdr:col>
          <xdr:colOff>142875</xdr:colOff>
          <xdr:row>11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244929</xdr:colOff>
      <xdr:row>1</xdr:row>
      <xdr:rowOff>220437</xdr:rowOff>
    </xdr:from>
    <xdr:to>
      <xdr:col>0</xdr:col>
      <xdr:colOff>1134835</xdr:colOff>
      <xdr:row>2</xdr:row>
      <xdr:rowOff>258537</xdr:rowOff>
    </xdr:to>
    <xdr:sp macro="[0]!_xlnm.Extract" textlink="">
      <xdr:nvSpPr>
        <xdr:cNvPr id="3" name="AutoShape 3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244929" y="465366"/>
          <a:ext cx="889906" cy="351064"/>
        </a:xfrm>
        <a:prstGeom prst="rightArrow">
          <a:avLst>
            <a:gd name="adj1" fmla="val 50000"/>
            <a:gd name="adj2" fmla="val 37879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215314</xdr:colOff>
      <xdr:row>1</xdr:row>
      <xdr:rowOff>13607</xdr:rowOff>
    </xdr:from>
    <xdr:to>
      <xdr:col>7</xdr:col>
      <xdr:colOff>489857</xdr:colOff>
      <xdr:row>2</xdr:row>
      <xdr:rowOff>95250</xdr:rowOff>
    </xdr:to>
    <xdr:sp macro="[0]!DRB" textlink="">
      <xdr:nvSpPr>
        <xdr:cNvPr id="2" name="Flèche droit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8297957" y="258536"/>
          <a:ext cx="1036543" cy="394607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190499</xdr:colOff>
      <xdr:row>4</xdr:row>
      <xdr:rowOff>13606</xdr:rowOff>
    </xdr:from>
    <xdr:to>
      <xdr:col>7</xdr:col>
      <xdr:colOff>462643</xdr:colOff>
      <xdr:row>5</xdr:row>
      <xdr:rowOff>13607</xdr:rowOff>
    </xdr:to>
    <xdr:sp macro="[0]!DPAB" textlink="">
      <xdr:nvSpPr>
        <xdr:cNvPr id="6" name="Flèche droite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8273142" y="1197427"/>
          <a:ext cx="1034144" cy="421823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272142</xdr:colOff>
      <xdr:row>6</xdr:row>
      <xdr:rowOff>231323</xdr:rowOff>
    </xdr:from>
    <xdr:to>
      <xdr:col>7</xdr:col>
      <xdr:colOff>462643</xdr:colOff>
      <xdr:row>7</xdr:row>
      <xdr:rowOff>299359</xdr:rowOff>
    </xdr:to>
    <xdr:sp macro="[0]!DQAB" textlink="">
      <xdr:nvSpPr>
        <xdr:cNvPr id="7" name="Flèche droite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8354785" y="2245180"/>
          <a:ext cx="952501" cy="381000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456</xdr:col>
      <xdr:colOff>447985</xdr:colOff>
      <xdr:row>7</xdr:row>
      <xdr:rowOff>172704</xdr:rowOff>
    </xdr:from>
    <xdr:to>
      <xdr:col>457</xdr:col>
      <xdr:colOff>13608</xdr:colOff>
      <xdr:row>9</xdr:row>
      <xdr:rowOff>58613</xdr:rowOff>
    </xdr:to>
    <xdr:sp macro="[0]!RETOUR" textlink="">
      <xdr:nvSpPr>
        <xdr:cNvPr id="9" name="Flèche droite 8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 rot="10800000">
          <a:off x="247689771" y="2662811"/>
          <a:ext cx="1293730" cy="457409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276</xdr:col>
      <xdr:colOff>307729</xdr:colOff>
      <xdr:row>5</xdr:row>
      <xdr:rowOff>172705</xdr:rowOff>
    </xdr:from>
    <xdr:to>
      <xdr:col>277</xdr:col>
      <xdr:colOff>377858</xdr:colOff>
      <xdr:row>6</xdr:row>
      <xdr:rowOff>278423</xdr:rowOff>
    </xdr:to>
    <xdr:sp macro="[0]!RETOUR" textlink="">
      <xdr:nvSpPr>
        <xdr:cNvPr id="12" name="Flèche droite 11">
          <a:extLst>
            <a:ext uri="{FF2B5EF4-FFF2-40B4-BE49-F238E27FC236}">
              <a16:creationId xmlns="" xmlns:a16="http://schemas.microsoft.com/office/drawing/2014/main" id="{00000000-0008-0000-0000-00000C000000}"/>
            </a:ext>
          </a:extLst>
        </xdr:cNvPr>
        <xdr:cNvSpPr/>
      </xdr:nvSpPr>
      <xdr:spPr>
        <a:xfrm rot="10800000">
          <a:off x="156590998" y="1769974"/>
          <a:ext cx="1594129" cy="516026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144444</xdr:colOff>
      <xdr:row>7</xdr:row>
      <xdr:rowOff>172705</xdr:rowOff>
    </xdr:from>
    <xdr:to>
      <xdr:col>56</xdr:col>
      <xdr:colOff>214573</xdr:colOff>
      <xdr:row>9</xdr:row>
      <xdr:rowOff>838</xdr:rowOff>
    </xdr:to>
    <xdr:sp macro="[0]!RETOUR" textlink="">
      <xdr:nvSpPr>
        <xdr:cNvPr id="13" name="Flèche droite 12">
          <a:extLst>
            <a:ext uri="{FF2B5EF4-FFF2-40B4-BE49-F238E27FC236}">
              <a16:creationId xmlns="" xmlns:a16="http://schemas.microsoft.com/office/drawing/2014/main" id="{00000000-0008-0000-0000-00000D000000}"/>
            </a:ext>
          </a:extLst>
        </xdr:cNvPr>
        <xdr:cNvSpPr/>
      </xdr:nvSpPr>
      <xdr:spPr>
        <a:xfrm rot="10800000">
          <a:off x="45946087" y="2499526"/>
          <a:ext cx="859343" cy="399633"/>
        </a:xfrm>
        <a:prstGeom prst="rightArrow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460</xdr:col>
      <xdr:colOff>217712</xdr:colOff>
      <xdr:row>6</xdr:row>
      <xdr:rowOff>149678</xdr:rowOff>
    </xdr:from>
    <xdr:to>
      <xdr:col>464</xdr:col>
      <xdr:colOff>299357</xdr:colOff>
      <xdr:row>8</xdr:row>
      <xdr:rowOff>163286</xdr:rowOff>
    </xdr:to>
    <xdr:sp macro="" textlink="">
      <xdr:nvSpPr>
        <xdr:cNvPr id="4" name="Rectangle à coins arrondis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55215569" y="2326821"/>
          <a:ext cx="1755324" cy="639536"/>
        </a:xfrm>
        <a:prstGeom prst="wedgeRoundRectCallout">
          <a:avLst>
            <a:gd name="adj1" fmla="val -134626"/>
            <a:gd name="adj2" fmla="val 172668"/>
            <a:gd name="adj3" fmla="val 16667"/>
          </a:avLst>
        </a:prstGeom>
        <a:solidFill>
          <a:schemeClr val="accent1">
            <a:alpha val="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Définir</a:t>
          </a:r>
          <a:r>
            <a:rPr lang="fr-FR" sz="14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le cut-off le plus approprié</a:t>
          </a:r>
          <a:endParaRPr lang="fr-FR" sz="14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274</xdr:col>
      <xdr:colOff>312964</xdr:colOff>
      <xdr:row>9</xdr:row>
      <xdr:rowOff>68036</xdr:rowOff>
    </xdr:from>
    <xdr:to>
      <xdr:col>276</xdr:col>
      <xdr:colOff>272143</xdr:colOff>
      <xdr:row>10</xdr:row>
      <xdr:rowOff>422148</xdr:rowOff>
    </xdr:to>
    <xdr:sp macro="" textlink="">
      <xdr:nvSpPr>
        <xdr:cNvPr id="5" name="Rectangle à coins arrondis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6290393" y="3129643"/>
          <a:ext cx="1741714" cy="612648"/>
        </a:xfrm>
        <a:prstGeom prst="wedgeRoundRectCallout">
          <a:avLst>
            <a:gd name="adj1" fmla="val 116257"/>
            <a:gd name="adj2" fmla="val 104700"/>
            <a:gd name="adj3" fmla="val 16667"/>
          </a:avLst>
        </a:prstGeom>
        <a:solidFill>
          <a:schemeClr val="accent1">
            <a:alpha val="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Définir le cut-off</a:t>
          </a:r>
        </a:p>
        <a:p>
          <a:pPr algn="l"/>
          <a:r>
            <a:rPr lang="fr-FR" sz="1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 plus approprié</a:t>
          </a:r>
        </a:p>
        <a:p>
          <a:pPr algn="l"/>
          <a:endParaRPr lang="fr-FR" sz="14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27</xdr:col>
      <xdr:colOff>244928</xdr:colOff>
      <xdr:row>8</xdr:row>
      <xdr:rowOff>176893</xdr:rowOff>
    </xdr:from>
    <xdr:to>
      <xdr:col>29</xdr:col>
      <xdr:colOff>179614</xdr:colOff>
      <xdr:row>10</xdr:row>
      <xdr:rowOff>272469</xdr:rowOff>
    </xdr:to>
    <xdr:sp macro="" textlink="">
      <xdr:nvSpPr>
        <xdr:cNvPr id="10" name="Rectangle à coins arrondis 9">
          <a:extLst>
            <a:ext uri="{FF2B5EF4-FFF2-40B4-BE49-F238E27FC236}">
              <a16:creationId xmlns="" xmlns:a16="http://schemas.microsoft.com/office/drawing/2014/main" id="{00000000-0008-0000-0000-00000A000000}"/>
            </a:ext>
          </a:extLst>
        </xdr:cNvPr>
        <xdr:cNvSpPr/>
      </xdr:nvSpPr>
      <xdr:spPr>
        <a:xfrm>
          <a:off x="27527249" y="2979964"/>
          <a:ext cx="1703615" cy="612648"/>
        </a:xfrm>
        <a:prstGeom prst="wedgeRoundRectCallout">
          <a:avLst>
            <a:gd name="adj1" fmla="val -59847"/>
            <a:gd name="adj2" fmla="val 126910"/>
            <a:gd name="adj3" fmla="val 16667"/>
          </a:avLst>
        </a:prstGeom>
        <a:solidFill>
          <a:schemeClr val="accent1">
            <a:alpha val="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Définir le cutt-off</a:t>
          </a:r>
        </a:p>
        <a:p>
          <a:pPr algn="l"/>
          <a:r>
            <a:rPr lang="fr-FR" sz="14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le plus approprié</a:t>
          </a:r>
        </a:p>
      </xdr:txBody>
    </xdr:sp>
    <xdr:clientData/>
  </xdr:twoCellAnchor>
  <xdr:twoCellAnchor>
    <xdr:from>
      <xdr:col>25</xdr:col>
      <xdr:colOff>18554</xdr:colOff>
      <xdr:row>42</xdr:row>
      <xdr:rowOff>19794</xdr:rowOff>
    </xdr:from>
    <xdr:to>
      <xdr:col>26</xdr:col>
      <xdr:colOff>562840</xdr:colOff>
      <xdr:row>44</xdr:row>
      <xdr:rowOff>60616</xdr:rowOff>
    </xdr:to>
    <xdr:sp macro="" textlink="">
      <xdr:nvSpPr>
        <xdr:cNvPr id="15" name="Rectangle à coins arrondis 14">
          <a:extLst>
            <a:ext uri="{FF2B5EF4-FFF2-40B4-BE49-F238E27FC236}">
              <a16:creationId xmlns="" xmlns:a16="http://schemas.microsoft.com/office/drawing/2014/main" id="{00000000-0008-0000-0000-00000F000000}"/>
            </a:ext>
          </a:extLst>
        </xdr:cNvPr>
        <xdr:cNvSpPr/>
      </xdr:nvSpPr>
      <xdr:spPr>
        <a:xfrm>
          <a:off x="21112099" y="11848112"/>
          <a:ext cx="1306286" cy="577686"/>
        </a:xfrm>
        <a:prstGeom prst="wedgeRoundRectCallout">
          <a:avLst>
            <a:gd name="adj1" fmla="val 64962"/>
            <a:gd name="adj2" fmla="val 9670"/>
            <a:gd name="adj3" fmla="val 16667"/>
          </a:avLst>
        </a:prstGeom>
        <a:solidFill>
          <a:schemeClr val="accent1">
            <a:alpha val="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Saisir l'allèle</a:t>
          </a:r>
        </a:p>
        <a:p>
          <a:pPr algn="l"/>
          <a:r>
            <a:rPr lang="fr-FR" sz="1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immunisant</a:t>
          </a:r>
        </a:p>
        <a:p>
          <a:pPr algn="l"/>
          <a:endParaRPr lang="fr-FR" sz="12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274</xdr:col>
      <xdr:colOff>13607</xdr:colOff>
      <xdr:row>45</xdr:row>
      <xdr:rowOff>108857</xdr:rowOff>
    </xdr:from>
    <xdr:to>
      <xdr:col>275</xdr:col>
      <xdr:colOff>789215</xdr:colOff>
      <xdr:row>48</xdr:row>
      <xdr:rowOff>190501</xdr:rowOff>
    </xdr:to>
    <xdr:sp macro="" textlink="">
      <xdr:nvSpPr>
        <xdr:cNvPr id="19" name="Rectangle à coins arrondis 18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SpPr/>
      </xdr:nvSpPr>
      <xdr:spPr>
        <a:xfrm>
          <a:off x="145991036" y="13049250"/>
          <a:ext cx="1306286" cy="898072"/>
        </a:xfrm>
        <a:prstGeom prst="wedgeRoundRectCallout">
          <a:avLst>
            <a:gd name="adj1" fmla="val 81250"/>
            <a:gd name="adj2" fmla="val -28168"/>
            <a:gd name="adj3" fmla="val 16667"/>
          </a:avLst>
        </a:prstGeom>
        <a:solidFill>
          <a:schemeClr val="accent1">
            <a:alpha val="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Saisir l'allèle</a:t>
          </a:r>
        </a:p>
        <a:p>
          <a:pPr algn="l"/>
          <a:r>
            <a:rPr lang="fr-F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immunisant</a:t>
          </a:r>
        </a:p>
        <a:p>
          <a:pPr algn="l"/>
          <a:endParaRPr lang="fr-FR" sz="14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456</xdr:col>
      <xdr:colOff>612322</xdr:colOff>
      <xdr:row>58</xdr:row>
      <xdr:rowOff>68038</xdr:rowOff>
    </xdr:from>
    <xdr:to>
      <xdr:col>458</xdr:col>
      <xdr:colOff>176892</xdr:colOff>
      <xdr:row>60</xdr:row>
      <xdr:rowOff>204107</xdr:rowOff>
    </xdr:to>
    <xdr:sp macro="" textlink="">
      <xdr:nvSpPr>
        <xdr:cNvPr id="20" name="Rectangle à coins arrondis 19">
          <a:extLst>
            <a:ext uri="{FF2B5EF4-FFF2-40B4-BE49-F238E27FC236}">
              <a16:creationId xmlns="" xmlns:a16="http://schemas.microsoft.com/office/drawing/2014/main" id="{00000000-0008-0000-0000-000014000000}"/>
            </a:ext>
          </a:extLst>
        </xdr:cNvPr>
        <xdr:cNvSpPr/>
      </xdr:nvSpPr>
      <xdr:spPr>
        <a:xfrm>
          <a:off x="252820715" y="16464645"/>
          <a:ext cx="1592034" cy="680355"/>
        </a:xfrm>
        <a:prstGeom prst="wedgeRoundRectCallout">
          <a:avLst>
            <a:gd name="adj1" fmla="val 2805"/>
            <a:gd name="adj2" fmla="val -242711"/>
            <a:gd name="adj3" fmla="val 16667"/>
          </a:avLst>
        </a:prstGeom>
        <a:solidFill>
          <a:schemeClr val="accent1">
            <a:alpha val="0"/>
          </a:schemeClr>
        </a:solidFill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Saisir l'allèle</a:t>
          </a:r>
        </a:p>
        <a:p>
          <a:pPr algn="ctr"/>
          <a:r>
            <a:rPr lang="fr-F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immunisant</a:t>
          </a:r>
        </a:p>
        <a:p>
          <a:pPr algn="l"/>
          <a:endParaRPr lang="fr-FR" sz="12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303</xdr:col>
      <xdr:colOff>693964</xdr:colOff>
      <xdr:row>51</xdr:row>
      <xdr:rowOff>40821</xdr:rowOff>
    </xdr:from>
    <xdr:to>
      <xdr:col>305</xdr:col>
      <xdr:colOff>258536</xdr:colOff>
      <xdr:row>53</xdr:row>
      <xdr:rowOff>40821</xdr:rowOff>
    </xdr:to>
    <xdr:sp macro="" textlink="">
      <xdr:nvSpPr>
        <xdr:cNvPr id="21" name="Rectangle à coins arrondis 20">
          <a:extLst>
            <a:ext uri="{FF2B5EF4-FFF2-40B4-BE49-F238E27FC236}">
              <a16:creationId xmlns="" xmlns:a16="http://schemas.microsoft.com/office/drawing/2014/main" id="{00000000-0008-0000-0000-000015000000}"/>
            </a:ext>
          </a:extLst>
        </xdr:cNvPr>
        <xdr:cNvSpPr/>
      </xdr:nvSpPr>
      <xdr:spPr>
        <a:xfrm>
          <a:off x="162455678" y="14586857"/>
          <a:ext cx="1374322" cy="571500"/>
        </a:xfrm>
        <a:prstGeom prst="wedgeRoundRectCallout">
          <a:avLst>
            <a:gd name="adj1" fmla="val 46495"/>
            <a:gd name="adj2" fmla="val -114140"/>
            <a:gd name="adj3" fmla="val 16667"/>
          </a:avLst>
        </a:prstGeom>
        <a:solidFill>
          <a:schemeClr val="accent1">
            <a:alpha val="0"/>
          </a:schemeClr>
        </a:solidFill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Saisir l'allèle</a:t>
          </a:r>
        </a:p>
        <a:p>
          <a:pPr algn="l"/>
          <a:r>
            <a:rPr lang="fr-FR" sz="14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immunisant</a:t>
          </a:r>
        </a:p>
        <a:p>
          <a:pPr algn="l"/>
          <a:endParaRPr lang="fr-FR" sz="12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843642</xdr:colOff>
      <xdr:row>7</xdr:row>
      <xdr:rowOff>27213</xdr:rowOff>
    </xdr:from>
    <xdr:to>
      <xdr:col>2</xdr:col>
      <xdr:colOff>966107</xdr:colOff>
      <xdr:row>9</xdr:row>
      <xdr:rowOff>95250</xdr:rowOff>
    </xdr:to>
    <xdr:sp macro="" textlink="">
      <xdr:nvSpPr>
        <xdr:cNvPr id="8" name="Rectangle à coins arrondis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136321" y="2517320"/>
          <a:ext cx="1510393" cy="639537"/>
        </a:xfrm>
        <a:prstGeom prst="wedgeRoundRectCallout">
          <a:avLst>
            <a:gd name="adj1" fmla="val -98224"/>
            <a:gd name="adj2" fmla="val -206389"/>
            <a:gd name="adj3" fmla="val 16667"/>
          </a:avLst>
        </a:prstGeom>
        <a:solidFill>
          <a:schemeClr val="accent1">
            <a:alpha val="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PERMET</a:t>
          </a:r>
          <a:r>
            <a:rPr lang="fr-F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l'extraction</a:t>
          </a:r>
        </a:p>
        <a:p>
          <a:pPr algn="ctr"/>
          <a:r>
            <a:rPr lang="fr-F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de la BASE</a:t>
          </a:r>
          <a:endParaRPr lang="fr-F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1</xdr:row>
      <xdr:rowOff>57150</xdr:rowOff>
    </xdr:from>
    <xdr:to>
      <xdr:col>6</xdr:col>
      <xdr:colOff>1273683</xdr:colOff>
      <xdr:row>2</xdr:row>
      <xdr:rowOff>171450</xdr:rowOff>
    </xdr:to>
    <xdr:sp macro="[0]!TRANSFERERMFI" textlink="">
      <xdr:nvSpPr>
        <xdr:cNvPr id="2" name="Flèche droite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5715000" y="257175"/>
          <a:ext cx="978408" cy="323850"/>
        </a:xfrm>
        <a:prstGeom prst="rightArrow">
          <a:avLst/>
        </a:prstGeom>
        <a:solidFill>
          <a:srgbClr val="66FF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1</xdr:row>
      <xdr:rowOff>57150</xdr:rowOff>
    </xdr:from>
    <xdr:to>
      <xdr:col>6</xdr:col>
      <xdr:colOff>1273683</xdr:colOff>
      <xdr:row>2</xdr:row>
      <xdr:rowOff>171450</xdr:rowOff>
    </xdr:to>
    <xdr:sp macro="[0]!TRANSFERERMFI" textlink="">
      <xdr:nvSpPr>
        <xdr:cNvPr id="2" name="Flèche droite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/>
      </xdr:nvSpPr>
      <xdr:spPr>
        <a:xfrm>
          <a:off x="3343275" y="257175"/>
          <a:ext cx="978408" cy="314325"/>
        </a:xfrm>
        <a:prstGeom prst="rightArrow">
          <a:avLst/>
        </a:prstGeom>
        <a:solidFill>
          <a:srgbClr val="66FF3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2:E9"/>
  <sheetViews>
    <sheetView showGridLines="0" workbookViewId="0">
      <selection activeCell="I19" sqref="I19"/>
    </sheetView>
  </sheetViews>
  <sheetFormatPr baseColWidth="10" defaultRowHeight="15" x14ac:dyDescent="0.25"/>
  <cols>
    <col min="5" max="5" width="14" bestFit="1" customWidth="1"/>
  </cols>
  <sheetData>
    <row r="2" spans="1:5" ht="15.75" thickBot="1" x14ac:dyDescent="0.3"/>
    <row r="3" spans="1:5" ht="24" thickBot="1" x14ac:dyDescent="0.4">
      <c r="E3" s="477" t="s">
        <v>425</v>
      </c>
    </row>
    <row r="7" spans="1:5" x14ac:dyDescent="0.25">
      <c r="A7" t="s">
        <v>426</v>
      </c>
    </row>
    <row r="8" spans="1:5" x14ac:dyDescent="0.25">
      <c r="A8" t="s">
        <v>427</v>
      </c>
    </row>
    <row r="9" spans="1:5" x14ac:dyDescent="0.25">
      <c r="A9" t="s">
        <v>428</v>
      </c>
    </row>
  </sheetData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outon1_Cliquer">
                <anchor moveWithCells="1" sizeWithCells="1">
                  <from>
                    <xdr:col>5</xdr:col>
                    <xdr:colOff>657225</xdr:colOff>
                    <xdr:row>6</xdr:row>
                    <xdr:rowOff>47625</xdr:rowOff>
                  </from>
                  <to>
                    <xdr:col>7</xdr:col>
                    <xdr:colOff>142875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outon2_Cliquer">
                <anchor moveWithCells="1" sizeWithCells="1">
                  <from>
                    <xdr:col>5</xdr:col>
                    <xdr:colOff>685800</xdr:colOff>
                    <xdr:row>9</xdr:row>
                    <xdr:rowOff>104775</xdr:rowOff>
                  </from>
                  <to>
                    <xdr:col>7</xdr:col>
                    <xdr:colOff>142875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GA438"/>
  <sheetViews>
    <sheetView tabSelected="1" zoomScale="70" zoomScaleNormal="70" workbookViewId="0">
      <selection activeCell="K19" sqref="K19"/>
    </sheetView>
  </sheetViews>
  <sheetFormatPr baseColWidth="10" defaultRowHeight="15" x14ac:dyDescent="0.25"/>
  <cols>
    <col min="1" max="1" width="19.28515625" style="24" customWidth="1"/>
    <col min="2" max="2" width="20.85546875" style="2" customWidth="1"/>
    <col min="3" max="3" width="20.7109375" style="2" customWidth="1"/>
    <col min="4" max="4" width="6.7109375" style="2" customWidth="1"/>
    <col min="5" max="5" width="6" style="2" customWidth="1"/>
    <col min="6" max="6" width="13.28515625" style="2" customWidth="1"/>
    <col min="7" max="8" width="11.42578125" style="2"/>
    <col min="9" max="20" width="11.42578125" style="27"/>
    <col min="21" max="21" width="23.42578125" style="27" customWidth="1"/>
    <col min="22" max="22" width="35.5703125" style="27" customWidth="1"/>
    <col min="23" max="23" width="29.140625" style="27" customWidth="1"/>
    <col min="24" max="24" width="31.28515625" style="26" customWidth="1"/>
    <col min="25" max="25" width="20" customWidth="1"/>
    <col min="26" max="26" width="11.42578125" customWidth="1"/>
    <col min="28" max="28" width="20.7109375" customWidth="1"/>
    <col min="29" max="38" width="5.7109375" customWidth="1"/>
    <col min="39" max="39" width="9.140625" customWidth="1"/>
    <col min="40" max="40" width="10.140625" customWidth="1"/>
    <col min="41" max="41" width="6.5703125" customWidth="1"/>
    <col min="42" max="42" width="10.5703125" customWidth="1"/>
    <col min="43" max="43" width="9.7109375" customWidth="1"/>
    <col min="44" max="44" width="11.140625" customWidth="1"/>
    <col min="45" max="46" width="5.7109375" customWidth="1"/>
    <col min="47" max="47" width="8" customWidth="1"/>
    <col min="48" max="49" width="5.7109375" customWidth="1"/>
    <col min="50" max="50" width="11" customWidth="1"/>
    <col min="51" max="51" width="11.42578125" customWidth="1"/>
    <col min="52" max="55" width="5.7109375" customWidth="1"/>
    <col min="56" max="56" width="11.85546875" customWidth="1"/>
    <col min="57" max="63" width="5.7109375" customWidth="1"/>
    <col min="64" max="64" width="11" customWidth="1"/>
    <col min="65" max="66" width="5.7109375" customWidth="1"/>
    <col min="67" max="67" width="6.140625" style="24" customWidth="1"/>
    <col min="68" max="68" width="8.85546875" customWidth="1"/>
    <col min="69" max="69" width="19.28515625" customWidth="1"/>
    <col min="70" max="70" width="4.28515625" customWidth="1"/>
    <col min="71" max="71" width="4.7109375" customWidth="1"/>
    <col min="72" max="72" width="6" customWidth="1"/>
    <col min="73" max="73" width="9.140625" customWidth="1"/>
    <col min="74" max="74" width="5.7109375" customWidth="1"/>
    <col min="75" max="75" width="8.28515625" customWidth="1"/>
    <col min="76" max="76" width="11.7109375" customWidth="1"/>
    <col min="77" max="77" width="8.42578125" customWidth="1"/>
    <col min="78" max="78" width="4.28515625" customWidth="1"/>
    <col min="79" max="79" width="5.140625" customWidth="1"/>
    <col min="80" max="81" width="5" customWidth="1"/>
    <col min="82" max="82" width="9.7109375" customWidth="1"/>
    <col min="83" max="83" width="5" customWidth="1"/>
    <col min="84" max="84" width="6" customWidth="1"/>
    <col min="85" max="85" width="5.7109375" customWidth="1"/>
    <col min="86" max="86" width="5.7109375" style="24" customWidth="1"/>
    <col min="90" max="90" width="13.85546875" customWidth="1"/>
    <col min="111" max="111" width="4" style="18" customWidth="1"/>
    <col min="115" max="152" width="4.7109375" customWidth="1"/>
    <col min="153" max="153" width="14.7109375" customWidth="1"/>
    <col min="154" max="174" width="4.7109375" customWidth="1"/>
    <col min="195" max="195" width="2.85546875" style="18" customWidth="1"/>
    <col min="199" max="236" width="5.7109375" customWidth="1"/>
    <col min="237" max="237" width="16.7109375" customWidth="1"/>
    <col min="238" max="255" width="5.7109375" customWidth="1"/>
    <col min="274" max="274" width="4.7109375" style="18" customWidth="1"/>
    <col min="275" max="275" width="7.85546875" style="6" customWidth="1"/>
    <col min="276" max="276" width="18.7109375" customWidth="1"/>
    <col min="277" max="277" width="22.85546875" customWidth="1"/>
    <col min="278" max="278" width="11.42578125" style="24"/>
    <col min="279" max="280" width="5.7109375" customWidth="1"/>
    <col min="281" max="281" width="5.7109375" style="6" customWidth="1"/>
    <col min="282" max="282" width="5.7109375" customWidth="1"/>
    <col min="283" max="283" width="8" customWidth="1"/>
    <col min="284" max="285" width="5.7109375" customWidth="1"/>
    <col min="286" max="286" width="5.85546875" customWidth="1"/>
    <col min="287" max="287" width="9.28515625" customWidth="1"/>
    <col min="288" max="288" width="9" customWidth="1"/>
    <col min="289" max="289" width="6.5703125" customWidth="1"/>
    <col min="290" max="290" width="5.7109375" customWidth="1"/>
    <col min="291" max="291" width="7" customWidth="1"/>
    <col min="292" max="292" width="5.7109375" customWidth="1"/>
    <col min="293" max="293" width="8.140625" customWidth="1"/>
    <col min="294" max="294" width="12.85546875" customWidth="1"/>
    <col min="295" max="301" width="5.7109375" customWidth="1"/>
    <col min="304" max="304" width="26.28515625" style="24" customWidth="1"/>
    <col min="305" max="308" width="5.7109375" customWidth="1"/>
    <col min="309" max="309" width="10.5703125" customWidth="1"/>
    <col min="310" max="317" width="5.7109375" customWidth="1"/>
    <col min="319" max="319" width="16.28515625" style="24" customWidth="1"/>
    <col min="320" max="320" width="4.7109375" customWidth="1"/>
    <col min="335" max="335" width="6.7109375" customWidth="1"/>
    <col min="336" max="336" width="16.5703125" style="24" customWidth="1"/>
    <col min="337" max="337" width="16.7109375" style="24" customWidth="1"/>
    <col min="338" max="376" width="5.7109375" customWidth="1"/>
    <col min="377" max="377" width="8" customWidth="1"/>
    <col min="381" max="381" width="19.140625" customWidth="1"/>
    <col min="385" max="385" width="16.5703125" customWidth="1"/>
    <col min="386" max="386" width="3.140625" style="18" customWidth="1"/>
    <col min="387" max="387" width="11" customWidth="1"/>
    <col min="388" max="391" width="5.7109375" customWidth="1"/>
    <col min="392" max="392" width="7.5703125" customWidth="1"/>
    <col min="393" max="410" width="5.7109375" customWidth="1"/>
    <col min="411" max="411" width="13.42578125" customWidth="1"/>
    <col min="412" max="412" width="18.42578125" customWidth="1"/>
    <col min="413" max="416" width="5.7109375" customWidth="1"/>
    <col min="417" max="417" width="9.5703125" customWidth="1"/>
    <col min="418" max="426" width="5.7109375" customWidth="1"/>
    <col min="429" max="429" width="20.140625" customWidth="1"/>
    <col min="432" max="432" width="20.85546875" customWidth="1"/>
    <col min="433" max="433" width="23.7109375" customWidth="1"/>
    <col min="456" max="456" width="4.140625" style="18" customWidth="1"/>
    <col min="457" max="457" width="22.7109375" customWidth="1"/>
    <col min="458" max="458" width="7.7109375" customWidth="1"/>
    <col min="459" max="460" width="5.7109375" customWidth="1"/>
    <col min="461" max="461" width="8" customWidth="1"/>
    <col min="462" max="465" width="5.7109375" customWidth="1"/>
    <col min="466" max="466" width="11.42578125" customWidth="1"/>
    <col min="467" max="469" width="5.7109375" customWidth="1"/>
    <col min="470" max="470" width="10.140625" customWidth="1"/>
    <col min="471" max="475" width="5.7109375" customWidth="1"/>
    <col min="476" max="476" width="10.85546875" customWidth="1"/>
    <col min="477" max="477" width="8.140625" customWidth="1"/>
    <col min="478" max="480" width="5.7109375" customWidth="1"/>
    <col min="481" max="481" width="7" customWidth="1"/>
    <col min="482" max="482" width="8.140625" customWidth="1"/>
    <col min="483" max="483" width="7.5703125" customWidth="1"/>
    <col min="484" max="491" width="5.7109375" customWidth="1"/>
    <col min="492" max="492" width="10.42578125" customWidth="1"/>
    <col min="493" max="494" width="5.7109375" customWidth="1"/>
    <col min="495" max="495" width="9.140625" customWidth="1"/>
    <col min="496" max="500" width="5.7109375" customWidth="1"/>
    <col min="501" max="501" width="10.5703125" customWidth="1"/>
    <col min="502" max="503" width="5.7109375" customWidth="1"/>
    <col min="505" max="505" width="15.5703125" customWidth="1"/>
    <col min="507" max="507" width="6.42578125" customWidth="1"/>
    <col min="509" max="509" width="16.28515625" customWidth="1"/>
    <col min="536" max="536" width="2.85546875" style="18" customWidth="1"/>
    <col min="537" max="537" width="16.7109375" customWidth="1"/>
    <col min="538" max="584" width="4.7109375" customWidth="1"/>
    <col min="616" max="616" width="2.5703125" style="18" customWidth="1"/>
    <col min="617" max="617" width="21.42578125" customWidth="1"/>
    <col min="618" max="620" width="4.7109375" customWidth="1"/>
    <col min="621" max="621" width="8.7109375" customWidth="1"/>
    <col min="622" max="625" width="4.7109375" customWidth="1"/>
    <col min="626" max="626" width="6.7109375" customWidth="1"/>
    <col min="627" max="635" width="4.7109375" customWidth="1"/>
    <col min="636" max="636" width="7.140625" customWidth="1"/>
    <col min="637" max="637" width="7.42578125" customWidth="1"/>
    <col min="638" max="640" width="4.7109375" customWidth="1"/>
    <col min="641" max="642" width="7.42578125" customWidth="1"/>
    <col min="643" max="643" width="8.5703125" customWidth="1"/>
    <col min="644" max="647" width="4.7109375" customWidth="1"/>
    <col min="648" max="648" width="6" customWidth="1"/>
    <col min="649" max="651" width="4.7109375" customWidth="1"/>
    <col min="652" max="652" width="8.140625" customWidth="1"/>
    <col min="653" max="655" width="4.7109375" customWidth="1"/>
    <col min="656" max="656" width="6.7109375" customWidth="1"/>
    <col min="657" max="657" width="7.140625" customWidth="1"/>
    <col min="658" max="658" width="7" customWidth="1"/>
    <col min="659" max="659" width="6.7109375" customWidth="1"/>
    <col min="660" max="660" width="6.5703125" customWidth="1"/>
    <col min="661" max="661" width="4.7109375" customWidth="1"/>
    <col min="662" max="662" width="7" customWidth="1"/>
    <col min="663" max="663" width="6.5703125" customWidth="1"/>
    <col min="664" max="664" width="8.140625" customWidth="1"/>
    <col min="858" max="858" width="11.42578125" style="6"/>
    <col min="859" max="859" width="13.85546875" bestFit="1" customWidth="1"/>
  </cols>
  <sheetData>
    <row r="1" spans="1:859" ht="32.25" customHeight="1" thickBot="1" x14ac:dyDescent="0.6">
      <c r="A1" s="48"/>
      <c r="B1" s="47"/>
      <c r="C1" s="47"/>
      <c r="D1" s="47"/>
      <c r="E1" s="47"/>
      <c r="F1" s="47"/>
      <c r="G1" s="47"/>
      <c r="H1" s="47"/>
      <c r="I1" s="299" t="s">
        <v>288</v>
      </c>
      <c r="J1" s="300" t="s">
        <v>289</v>
      </c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S1" s="2"/>
      <c r="JT1" s="27"/>
      <c r="JU1" s="27"/>
      <c r="JV1" s="27"/>
      <c r="JW1" s="27"/>
      <c r="JX1" s="27"/>
      <c r="JY1" s="27"/>
      <c r="JZ1" s="27"/>
      <c r="KA1" s="27"/>
      <c r="KB1" s="27"/>
      <c r="KC1" s="27"/>
      <c r="KD1" s="27"/>
      <c r="KE1" s="27"/>
      <c r="KF1" s="27"/>
      <c r="KG1" s="27"/>
      <c r="KH1" s="27"/>
      <c r="KI1" s="27"/>
      <c r="KJ1" s="27"/>
      <c r="KK1" s="27"/>
      <c r="KL1" s="27"/>
      <c r="KM1" s="27"/>
      <c r="KN1" s="27"/>
      <c r="KO1" s="27"/>
      <c r="KP1" s="27"/>
      <c r="KQ1" s="27"/>
      <c r="KS1" s="27"/>
      <c r="KT1" s="27"/>
      <c r="KU1" s="27"/>
      <c r="KV1" s="27"/>
      <c r="KW1" s="27"/>
      <c r="KX1" s="27"/>
      <c r="KY1" s="27"/>
      <c r="KZ1" s="27"/>
      <c r="LA1" s="27"/>
      <c r="LB1" s="27"/>
      <c r="LC1" s="27"/>
      <c r="LD1" s="27"/>
      <c r="LE1" s="27"/>
      <c r="LF1" s="27"/>
      <c r="LH1" s="27"/>
      <c r="LI1" s="27"/>
      <c r="LJ1" s="27"/>
      <c r="LL1" s="27"/>
      <c r="LM1" s="27"/>
      <c r="LN1" s="27"/>
      <c r="LO1" s="27"/>
      <c r="LP1" s="27"/>
      <c r="LQ1" s="27"/>
      <c r="LR1" s="27"/>
      <c r="LS1" s="27"/>
      <c r="LT1" s="27"/>
      <c r="LU1" s="27"/>
      <c r="LV1" s="27"/>
      <c r="LW1" s="27"/>
      <c r="LZ1" s="27"/>
      <c r="MA1" s="27"/>
      <c r="MB1" s="27"/>
      <c r="MC1" s="27"/>
      <c r="MD1" s="27"/>
      <c r="ME1" s="27"/>
      <c r="MF1" s="27"/>
      <c r="MG1" s="27"/>
      <c r="MH1" s="27"/>
      <c r="MI1" s="27"/>
      <c r="MJ1" s="27"/>
      <c r="MK1" s="27"/>
      <c r="ML1" s="27"/>
      <c r="MM1" s="27"/>
      <c r="MN1" s="27"/>
      <c r="MO1" s="27"/>
      <c r="MP1" s="27"/>
      <c r="MQ1" s="27"/>
      <c r="MR1" s="27"/>
      <c r="MS1" s="27"/>
      <c r="MT1" s="27"/>
      <c r="MU1" s="27"/>
      <c r="MV1" s="27"/>
      <c r="MW1" s="27"/>
      <c r="MX1" s="27"/>
      <c r="MY1" s="27"/>
      <c r="MZ1" s="27"/>
      <c r="NA1" s="27"/>
      <c r="NB1" s="27"/>
      <c r="NC1" s="27"/>
      <c r="ND1" s="27"/>
      <c r="NE1" s="27"/>
      <c r="NF1" s="27"/>
      <c r="NG1" s="27"/>
      <c r="NH1" s="27"/>
      <c r="NI1" s="27"/>
      <c r="NJ1" s="27"/>
      <c r="NK1" s="27"/>
      <c r="NL1" s="27"/>
      <c r="NM1" s="27"/>
      <c r="NN1" s="27"/>
      <c r="NO1" s="27"/>
      <c r="NP1" s="27"/>
      <c r="NQ1" s="27"/>
      <c r="NR1" s="27"/>
      <c r="NS1" s="27"/>
      <c r="NT1" s="27"/>
      <c r="NU1" s="27"/>
      <c r="NW1" s="27"/>
      <c r="NX1" s="27"/>
      <c r="NY1" s="27"/>
      <c r="NZ1" s="27"/>
      <c r="OA1" s="27"/>
      <c r="OB1" s="27"/>
      <c r="OC1" s="27"/>
      <c r="OD1" s="27"/>
      <c r="OE1" s="27"/>
      <c r="OF1" s="27"/>
      <c r="OG1" s="27"/>
      <c r="OH1" s="27"/>
      <c r="OI1" s="27"/>
      <c r="OJ1" s="27"/>
      <c r="OK1" s="27"/>
      <c r="OL1" s="27"/>
      <c r="OM1" s="27"/>
      <c r="ON1" s="27"/>
      <c r="OO1" s="27"/>
      <c r="OP1" s="27"/>
      <c r="OQ1" s="27"/>
      <c r="OR1" s="27"/>
      <c r="OS1" s="27"/>
      <c r="OT1" s="27"/>
      <c r="OU1" s="27"/>
      <c r="OV1" s="27"/>
      <c r="OW1" s="27"/>
      <c r="OX1" s="27"/>
      <c r="OY1" s="27"/>
      <c r="OZ1" s="27"/>
      <c r="PA1" s="27"/>
      <c r="PB1" s="27"/>
      <c r="PC1" s="27"/>
      <c r="PD1" s="27"/>
      <c r="PE1" s="27"/>
      <c r="PF1" s="27"/>
      <c r="PG1" s="27"/>
      <c r="PH1" s="27"/>
      <c r="PI1" s="27"/>
      <c r="PJ1" s="27"/>
      <c r="PK1" s="27"/>
      <c r="PL1" s="27"/>
      <c r="PM1" s="27"/>
      <c r="PN1" s="27"/>
      <c r="PO1" s="27"/>
      <c r="PP1" s="27"/>
      <c r="PQ1" s="27"/>
      <c r="PR1" s="27"/>
      <c r="PS1" s="27"/>
      <c r="PT1" s="27"/>
      <c r="PU1" s="27"/>
      <c r="PV1" s="27"/>
      <c r="PW1" s="27"/>
      <c r="PX1" s="27"/>
      <c r="PY1" s="27"/>
      <c r="PZ1" s="27"/>
      <c r="QA1" s="27"/>
      <c r="QB1" s="27"/>
      <c r="QC1" s="27"/>
      <c r="QD1" s="27"/>
      <c r="QE1" s="27"/>
      <c r="QF1" s="27"/>
      <c r="QG1" s="27"/>
      <c r="QH1" s="27"/>
      <c r="QI1" s="27"/>
      <c r="QJ1" s="27"/>
      <c r="QK1" s="27"/>
      <c r="QL1" s="27"/>
      <c r="QM1" s="27"/>
      <c r="QO1" s="27"/>
      <c r="QP1" s="27"/>
      <c r="QQ1" s="27"/>
      <c r="QR1" s="27"/>
      <c r="QS1" s="27"/>
      <c r="QT1" s="27"/>
      <c r="QU1" s="27"/>
      <c r="QV1" s="27"/>
      <c r="QW1" s="27"/>
      <c r="QX1" s="27"/>
      <c r="QY1" s="27"/>
      <c r="QZ1" s="27"/>
      <c r="RA1" s="27"/>
      <c r="RB1" s="27"/>
      <c r="RC1" s="27"/>
      <c r="RD1" s="27"/>
      <c r="RE1" s="27"/>
      <c r="RF1" s="27"/>
      <c r="RG1" s="27"/>
      <c r="RH1" s="27"/>
      <c r="RI1" s="27"/>
      <c r="RJ1" s="27"/>
      <c r="RK1" s="27"/>
      <c r="RL1" s="27"/>
      <c r="RM1" s="27"/>
      <c r="RN1" s="27"/>
      <c r="RO1" s="27"/>
      <c r="RP1" s="27"/>
      <c r="RQ1" s="27"/>
      <c r="RR1" s="27"/>
      <c r="RS1" s="27"/>
      <c r="RT1" s="27"/>
      <c r="RU1" s="27"/>
      <c r="RV1" s="27"/>
      <c r="RW1" s="27"/>
      <c r="RX1" s="27"/>
      <c r="RY1" s="27"/>
      <c r="RZ1" s="27"/>
      <c r="SA1" s="27"/>
      <c r="SB1" s="27"/>
      <c r="SC1" s="27"/>
      <c r="SD1" s="27"/>
      <c r="SE1" s="27"/>
      <c r="SF1" s="27"/>
      <c r="SG1" s="27"/>
      <c r="SH1" s="27"/>
      <c r="SI1" s="27"/>
      <c r="SJ1" s="27"/>
      <c r="SK1" s="27"/>
      <c r="SL1" s="27"/>
      <c r="SM1" s="27"/>
      <c r="SN1" s="27"/>
      <c r="SO1" s="27"/>
      <c r="SP1" s="27"/>
      <c r="SQ1" s="27"/>
      <c r="SR1" s="27"/>
      <c r="SS1" s="27"/>
      <c r="ST1" s="27"/>
      <c r="SU1" s="27"/>
      <c r="SV1" s="27"/>
      <c r="SW1" s="27"/>
      <c r="SX1" s="27"/>
      <c r="SY1" s="27"/>
      <c r="SZ1" s="27"/>
      <c r="TA1" s="27"/>
      <c r="TB1" s="27"/>
      <c r="TC1" s="27"/>
      <c r="TD1" s="27"/>
      <c r="TE1" s="27"/>
      <c r="TF1" s="27"/>
      <c r="TG1" s="27"/>
      <c r="TH1" s="27"/>
      <c r="TI1" s="27"/>
      <c r="TJ1" s="27"/>
      <c r="TK1" s="27"/>
      <c r="TL1" s="27"/>
      <c r="TM1" s="27"/>
      <c r="TN1" s="27"/>
      <c r="TO1" s="27"/>
      <c r="TQ1" s="27"/>
      <c r="TR1" s="27"/>
      <c r="TS1" s="27"/>
      <c r="TT1" s="27"/>
      <c r="TU1" s="27"/>
      <c r="TV1" s="27"/>
      <c r="TW1" s="27"/>
      <c r="TX1" s="27"/>
      <c r="TY1" s="27"/>
      <c r="TZ1" s="27"/>
      <c r="UA1" s="27"/>
      <c r="UB1" s="27"/>
      <c r="UC1" s="27"/>
      <c r="UD1" s="27"/>
      <c r="UE1" s="27"/>
      <c r="UF1" s="27"/>
      <c r="UG1" s="27"/>
      <c r="UH1" s="27"/>
      <c r="UI1" s="27"/>
      <c r="UJ1" s="27"/>
      <c r="UK1" s="27"/>
      <c r="UL1" s="27"/>
      <c r="UM1" s="27"/>
      <c r="UN1" s="27"/>
      <c r="UO1" s="27"/>
      <c r="UP1" s="27"/>
      <c r="UQ1" s="27"/>
      <c r="UR1" s="27"/>
      <c r="US1" s="27"/>
      <c r="UT1" s="27"/>
      <c r="UU1" s="27"/>
      <c r="UV1" s="27"/>
      <c r="UW1" s="27"/>
      <c r="UX1" s="27"/>
      <c r="UY1" s="27"/>
      <c r="UZ1" s="27"/>
      <c r="VA1" s="27"/>
      <c r="VB1" s="27"/>
      <c r="VC1" s="27"/>
      <c r="VD1" s="27"/>
      <c r="VE1" s="27"/>
      <c r="VF1" s="27"/>
      <c r="VG1" s="27"/>
      <c r="VH1" s="27"/>
      <c r="VI1" s="27"/>
      <c r="VJ1" s="27"/>
      <c r="VK1" s="27"/>
      <c r="VL1" s="27"/>
      <c r="VM1" s="27"/>
      <c r="VN1" s="27"/>
      <c r="VO1" s="27"/>
      <c r="VP1" s="27"/>
      <c r="VQ1" s="27"/>
      <c r="VR1" s="27"/>
      <c r="VS1" s="27"/>
      <c r="VT1" s="27"/>
      <c r="VU1" s="27"/>
      <c r="VV1" s="27"/>
      <c r="VW1" s="27"/>
      <c r="VX1" s="27"/>
      <c r="VY1" s="27"/>
      <c r="VZ1" s="27"/>
      <c r="WA1" s="27"/>
      <c r="WB1" s="27"/>
      <c r="WC1" s="27"/>
      <c r="WD1" s="27"/>
      <c r="WE1" s="27"/>
      <c r="WF1" s="27"/>
      <c r="WG1" s="27"/>
      <c r="WH1" s="27"/>
      <c r="WI1" s="27"/>
      <c r="WJ1" s="27"/>
      <c r="WK1" s="27"/>
      <c r="WL1" s="27"/>
      <c r="WM1" s="27"/>
      <c r="WN1" s="27"/>
      <c r="WO1" s="27"/>
      <c r="WP1" s="27"/>
      <c r="WQ1" s="27"/>
      <c r="WS1" s="27"/>
      <c r="WT1" s="27"/>
      <c r="WU1" s="27"/>
      <c r="WV1" s="27"/>
      <c r="WW1" s="27"/>
      <c r="WX1" s="27"/>
      <c r="WY1" s="27"/>
      <c r="WZ1" s="27"/>
      <c r="XA1" s="27"/>
      <c r="XB1" s="27"/>
      <c r="XC1" s="27"/>
      <c r="XD1" s="27"/>
      <c r="XE1" s="27"/>
      <c r="XF1" s="27"/>
      <c r="XG1" s="27"/>
      <c r="XH1" s="27"/>
      <c r="XI1" s="27"/>
      <c r="XJ1" s="27"/>
      <c r="XK1" s="27"/>
      <c r="XL1" s="27"/>
      <c r="XM1" s="27"/>
      <c r="XN1" s="27"/>
      <c r="XO1" s="27"/>
      <c r="XP1" s="27"/>
      <c r="XQ1" s="27"/>
      <c r="XR1" s="27"/>
      <c r="XS1" s="27"/>
      <c r="XT1" s="27"/>
    </row>
    <row r="2" spans="1:859" ht="24.95" customHeight="1" thickTop="1" thickBot="1" x14ac:dyDescent="0.5">
      <c r="A2" s="296" t="s">
        <v>79</v>
      </c>
      <c r="B2" s="68"/>
      <c r="C2" s="218" t="s">
        <v>80</v>
      </c>
      <c r="D2" s="218">
        <f>+COUNTIF(FP14:FP41,"&gt;0")</f>
        <v>21</v>
      </c>
      <c r="E2" s="68"/>
      <c r="F2" s="169" t="s">
        <v>183</v>
      </c>
      <c r="G2" s="38"/>
      <c r="H2" s="39"/>
      <c r="I2" s="298">
        <f>+QO13</f>
        <v>14000</v>
      </c>
      <c r="J2" s="287"/>
      <c r="K2" s="287"/>
      <c r="L2" s="287"/>
      <c r="M2" s="287"/>
      <c r="N2" s="287"/>
      <c r="O2" s="287"/>
      <c r="P2" s="287"/>
      <c r="Q2" s="287"/>
      <c r="R2" s="287"/>
      <c r="S2" s="287"/>
      <c r="T2" s="287"/>
      <c r="U2" s="287"/>
      <c r="V2" s="287"/>
      <c r="W2" s="287"/>
    </row>
    <row r="3" spans="1:859" ht="24.95" customHeight="1" thickTop="1" thickBot="1" x14ac:dyDescent="0.5">
      <c r="A3" s="248"/>
      <c r="B3" s="68"/>
      <c r="C3" s="218" t="s">
        <v>180</v>
      </c>
      <c r="D3" s="218">
        <f>+COUNTIF(FQ14:FQ41,"&gt;0")</f>
        <v>20</v>
      </c>
      <c r="E3" s="68"/>
      <c r="F3" s="219"/>
      <c r="G3" s="40"/>
      <c r="H3" s="41"/>
      <c r="I3" s="297"/>
      <c r="J3" s="287"/>
      <c r="K3" s="287"/>
      <c r="L3" s="287"/>
      <c r="M3" s="287"/>
      <c r="N3" s="287"/>
      <c r="O3" s="287"/>
      <c r="P3" s="287"/>
      <c r="Q3" s="287"/>
      <c r="R3" s="287"/>
      <c r="S3" s="287"/>
      <c r="T3" s="287"/>
      <c r="U3" s="287"/>
      <c r="V3" s="287"/>
      <c r="W3" s="287"/>
      <c r="Y3" s="27"/>
    </row>
    <row r="4" spans="1:859" s="2" customFormat="1" ht="24.95" customHeight="1" thickTop="1" thickBot="1" x14ac:dyDescent="0.5">
      <c r="A4" s="186">
        <f>+INDEX(BASE!A31:A5000,MATCH(A5,BASE!D31:D5000,0))</f>
        <v>0</v>
      </c>
      <c r="B4" s="68"/>
      <c r="C4" s="218" t="s">
        <v>181</v>
      </c>
      <c r="D4" s="218">
        <f>+COUNTIF(NN14:NN44,"&gt;0")</f>
        <v>0</v>
      </c>
      <c r="E4" s="68"/>
      <c r="F4" s="249"/>
      <c r="G4" s="40"/>
      <c r="H4" s="41"/>
      <c r="I4" s="297"/>
      <c r="J4" s="287"/>
      <c r="K4" s="287"/>
      <c r="L4" s="287"/>
      <c r="M4" s="287"/>
      <c r="N4" s="287"/>
      <c r="O4" s="287"/>
      <c r="P4" s="287"/>
      <c r="Q4" s="287"/>
      <c r="R4" s="287"/>
      <c r="S4" s="287"/>
      <c r="T4" s="287"/>
      <c r="U4" s="287"/>
      <c r="V4" s="287"/>
      <c r="W4" s="287"/>
      <c r="BO4" s="24"/>
      <c r="CH4" s="24"/>
      <c r="DG4" s="18"/>
      <c r="GM4" s="18"/>
      <c r="JN4" s="18"/>
      <c r="JO4" s="6"/>
      <c r="JR4" s="24"/>
      <c r="JU4" s="6"/>
      <c r="KR4" s="24"/>
      <c r="LG4" s="24"/>
      <c r="LK4"/>
      <c r="LX4" s="24"/>
      <c r="LY4" s="24"/>
      <c r="NV4" s="18"/>
      <c r="QN4" s="18"/>
      <c r="TP4" s="18"/>
      <c r="WR4" s="18"/>
      <c r="AFZ4" s="6"/>
      <c r="AGA4"/>
    </row>
    <row r="5" spans="1:859" s="2" customFormat="1" ht="33" customHeight="1" thickTop="1" thickBot="1" x14ac:dyDescent="0.5">
      <c r="A5" s="64">
        <v>33878480</v>
      </c>
      <c r="B5" s="68"/>
      <c r="C5" s="218" t="s">
        <v>182</v>
      </c>
      <c r="D5" s="218">
        <f>+COUNTIF(NO14:NO44,"&gt;0")</f>
        <v>0</v>
      </c>
      <c r="E5" s="68"/>
      <c r="F5" s="188" t="s">
        <v>222</v>
      </c>
      <c r="G5" s="40"/>
      <c r="H5" s="41"/>
      <c r="I5" s="298">
        <f>+JR13</f>
        <v>15000</v>
      </c>
      <c r="J5" s="287"/>
      <c r="K5" s="287"/>
      <c r="L5" s="287"/>
      <c r="M5" s="287"/>
      <c r="N5" s="287"/>
      <c r="O5" s="287"/>
      <c r="P5" s="287"/>
      <c r="Q5" s="287"/>
      <c r="R5" s="287"/>
      <c r="S5" s="287"/>
      <c r="T5" s="287"/>
      <c r="U5" s="287"/>
      <c r="V5" s="287"/>
      <c r="W5" s="287"/>
      <c r="BO5" s="24"/>
      <c r="CH5" s="24"/>
      <c r="DG5" s="18"/>
      <c r="DK5"/>
      <c r="GM5" s="18"/>
      <c r="JN5" s="18"/>
      <c r="JO5" s="6"/>
      <c r="JR5" s="24"/>
      <c r="JU5" s="6"/>
      <c r="KR5" s="24"/>
      <c r="LG5" s="24"/>
      <c r="LK5"/>
      <c r="LX5" s="24"/>
      <c r="LY5" s="24"/>
      <c r="NV5" s="18"/>
      <c r="QN5" s="18"/>
      <c r="TP5" s="18"/>
      <c r="WR5" s="18"/>
      <c r="AFZ5" s="6"/>
      <c r="AGA5"/>
    </row>
    <row r="6" spans="1:859" s="2" customFormat="1" ht="32.25" customHeight="1" thickTop="1" thickBot="1" x14ac:dyDescent="0.5">
      <c r="A6" s="186">
        <f>+INDEX(BASE!B31:B5000,MATCH(A5,BASE!D31:D5000,0))</f>
        <v>0</v>
      </c>
      <c r="B6" s="68"/>
      <c r="C6" s="218" t="s">
        <v>183</v>
      </c>
      <c r="D6" s="218">
        <f>+COUNTIF(VN14:VN49,"&gt;0")</f>
        <v>0</v>
      </c>
      <c r="E6" s="68"/>
      <c r="F6" s="219"/>
      <c r="G6" s="40"/>
      <c r="H6" s="41"/>
      <c r="I6" s="297"/>
      <c r="J6" s="287"/>
      <c r="K6" s="287"/>
      <c r="L6" s="287"/>
      <c r="M6" s="287"/>
      <c r="N6" s="287"/>
      <c r="O6" s="287"/>
      <c r="P6" s="287"/>
      <c r="Q6" s="287"/>
      <c r="R6" s="287"/>
      <c r="S6" s="287"/>
      <c r="T6" s="287"/>
      <c r="U6" s="287"/>
      <c r="V6" s="287"/>
      <c r="W6" s="287"/>
      <c r="BO6" s="24"/>
      <c r="CH6" s="24"/>
      <c r="DG6" s="18"/>
      <c r="GM6" s="18"/>
      <c r="JN6" s="18"/>
      <c r="JO6" s="6"/>
      <c r="JQ6" s="281"/>
      <c r="JR6" s="282"/>
      <c r="JU6" s="6"/>
      <c r="KR6" s="24"/>
      <c r="LG6" s="24"/>
      <c r="LK6"/>
      <c r="LX6" s="24"/>
      <c r="LY6" s="24"/>
      <c r="NV6" s="18"/>
      <c r="QN6" s="18"/>
      <c r="TP6" s="18"/>
      <c r="WR6" s="18"/>
      <c r="AFZ6" s="6"/>
      <c r="AGA6"/>
    </row>
    <row r="7" spans="1:859" s="2" customFormat="1" ht="24.95" customHeight="1" thickTop="1" thickBot="1" x14ac:dyDescent="0.5">
      <c r="A7" s="186">
        <f>+INDEX(BASE!C31:C5000,MATCH(A5,BASE!D31:D5000,0))</f>
        <v>0</v>
      </c>
      <c r="B7" s="68"/>
      <c r="C7" s="68"/>
      <c r="D7" s="68"/>
      <c r="E7" s="68"/>
      <c r="F7" s="249"/>
      <c r="G7" s="40"/>
      <c r="H7" s="41"/>
      <c r="I7" s="297"/>
      <c r="J7" s="287"/>
      <c r="K7" s="287"/>
      <c r="L7" s="287"/>
      <c r="M7" s="287"/>
      <c r="N7" s="287"/>
      <c r="O7" s="287"/>
      <c r="P7" s="287"/>
      <c r="Q7" s="287"/>
      <c r="R7" s="287"/>
      <c r="S7" s="287"/>
      <c r="T7" s="287"/>
      <c r="U7" s="287"/>
      <c r="V7" s="287"/>
      <c r="W7" s="287"/>
      <c r="AP7" s="482" t="s">
        <v>276</v>
      </c>
      <c r="AQ7" s="483"/>
      <c r="AR7" s="484"/>
      <c r="AV7" s="26"/>
      <c r="BO7" s="24"/>
      <c r="CH7" s="24"/>
      <c r="DG7" s="18"/>
      <c r="GM7" s="18"/>
      <c r="JN7" s="18"/>
      <c r="JO7" s="6"/>
      <c r="JQ7" s="283"/>
      <c r="JR7" s="284"/>
      <c r="JU7" s="6"/>
      <c r="KA7" s="485" t="s">
        <v>276</v>
      </c>
      <c r="KB7" s="486"/>
      <c r="KC7" s="487"/>
      <c r="LG7" s="24"/>
      <c r="LK7"/>
      <c r="LX7" s="24"/>
      <c r="LY7" s="24"/>
      <c r="NV7" s="18"/>
      <c r="QN7" s="18"/>
      <c r="RH7" s="482" t="s">
        <v>276</v>
      </c>
      <c r="RI7" s="483"/>
      <c r="RJ7" s="484"/>
      <c r="TP7" s="18"/>
      <c r="WR7" s="18"/>
      <c r="AFZ7" s="6"/>
      <c r="AGA7"/>
    </row>
    <row r="8" spans="1:859" s="2" customFormat="1" ht="24.95" customHeight="1" thickTop="1" thickBot="1" x14ac:dyDescent="0.35">
      <c r="A8" s="48"/>
      <c r="B8" s="47"/>
      <c r="C8" s="47"/>
      <c r="D8" s="47"/>
      <c r="E8" s="47"/>
      <c r="F8" s="153" t="s">
        <v>223</v>
      </c>
      <c r="G8" s="42"/>
      <c r="H8" s="43"/>
      <c r="I8" s="298">
        <f>+AA13</f>
        <v>2000</v>
      </c>
      <c r="J8" s="287"/>
      <c r="K8" s="287"/>
      <c r="L8" s="287"/>
      <c r="M8" s="287"/>
      <c r="N8" s="287"/>
      <c r="O8" s="287"/>
      <c r="P8" s="287"/>
      <c r="Q8" s="287"/>
      <c r="R8" s="287"/>
      <c r="S8" s="287"/>
      <c r="T8" s="287"/>
      <c r="U8" s="287"/>
      <c r="V8" s="287"/>
      <c r="W8" s="287"/>
      <c r="AP8" s="288">
        <f>+INDEX(AC13:BN13,MATCH(CJ12,AC46:BN46,0))</f>
        <v>3</v>
      </c>
      <c r="AQ8" s="289" t="str">
        <f>+INDEX(AC44:BN44,MATCH(CJ12,AC46:BN46,0))</f>
        <v>S</v>
      </c>
      <c r="AR8" s="290" t="s">
        <v>281</v>
      </c>
      <c r="AU8" s="286">
        <f>+IF(ISERROR(CJ12/COUNTIF(BP14:BP41,"&gt;"&amp;AA13)),"",CJ12/COUNTIF(BP14:BP41,"&gt;"&amp;AA13))</f>
        <v>0</v>
      </c>
      <c r="BD8" s="281"/>
      <c r="BE8" s="282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H8" s="24"/>
      <c r="DG8" s="18"/>
      <c r="GM8" s="18"/>
      <c r="JN8" s="18"/>
      <c r="JO8" s="6"/>
      <c r="JQ8" s="478" t="s">
        <v>275</v>
      </c>
      <c r="JR8" s="479"/>
      <c r="JS8" s="68"/>
      <c r="JT8" s="68"/>
      <c r="JU8" s="180"/>
      <c r="JV8" s="68"/>
      <c r="JW8" s="68"/>
      <c r="JX8" s="68"/>
      <c r="JY8" s="68"/>
      <c r="JZ8" s="68"/>
      <c r="KA8" s="278">
        <f>+INDEX(JS12:KO12,MATCH(LH12,JS49:KO49,0))</f>
        <v>8</v>
      </c>
      <c r="KB8" s="156" t="str">
        <f>+INDEX(JS47:KO47,MATCH(LH12,JS49:KO49,0))</f>
        <v>L</v>
      </c>
      <c r="KC8" s="277" t="s">
        <v>282</v>
      </c>
      <c r="KD8" s="68"/>
      <c r="KE8" s="68"/>
      <c r="KF8" s="277" t="s">
        <v>283</v>
      </c>
      <c r="KG8" s="291" t="str">
        <f>++IF(ISERROR(LH12/LH13),"",LH12/LH13)</f>
        <v/>
      </c>
      <c r="KH8" s="68"/>
      <c r="KI8" s="68"/>
      <c r="KJ8" s="68"/>
      <c r="KK8" s="68"/>
      <c r="KL8" s="68"/>
      <c r="KM8" s="68"/>
      <c r="KN8" s="68"/>
      <c r="KO8" s="68"/>
      <c r="KP8" s="68"/>
      <c r="KQ8" s="68"/>
      <c r="KR8"/>
      <c r="KS8" s="68"/>
      <c r="KT8" s="68"/>
      <c r="KU8" s="68"/>
      <c r="KV8" s="68"/>
      <c r="KW8" s="68"/>
      <c r="KX8" s="68"/>
      <c r="KY8" s="68"/>
      <c r="KZ8" s="68"/>
      <c r="LA8" s="68"/>
      <c r="LB8" s="68"/>
      <c r="LC8" s="68"/>
      <c r="LD8" s="68"/>
      <c r="LE8" s="68"/>
      <c r="LF8" s="68"/>
      <c r="LG8" s="214"/>
      <c r="LK8"/>
      <c r="LX8" s="24"/>
      <c r="LY8" s="24"/>
      <c r="NV8" s="18"/>
      <c r="QN8" s="18"/>
      <c r="QO8" s="281"/>
      <c r="QP8" s="282"/>
      <c r="RH8" s="293" t="str">
        <f>+INDEX(QP12:SJ12,MATCH(SM13,QP54:SJ54,0))</f>
        <v>Ep</v>
      </c>
      <c r="RI8" s="295" t="str">
        <f>+INDEX(QP52:SJ52,MATCH(SM13,QP54:SJ54,0))</f>
        <v>4R</v>
      </c>
      <c r="RJ8" s="294"/>
      <c r="RK8" s="136" t="s">
        <v>280</v>
      </c>
      <c r="RL8" s="292"/>
      <c r="RM8" s="292"/>
      <c r="RN8" s="291" t="str">
        <f>+IF(ISERROR(SM13/SM12),"",SM13/SM12)</f>
        <v/>
      </c>
      <c r="TP8" s="18"/>
      <c r="WR8" s="18"/>
      <c r="AFZ8" s="6"/>
      <c r="AGA8"/>
    </row>
    <row r="9" spans="1:859" s="2" customFormat="1" ht="20.25" thickTop="1" thickBot="1" x14ac:dyDescent="0.35">
      <c r="A9" s="48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26"/>
      <c r="BD9" s="283"/>
      <c r="BE9" s="284"/>
      <c r="BO9" s="24"/>
      <c r="CH9" s="24"/>
      <c r="DG9" s="18"/>
      <c r="GM9" s="18"/>
      <c r="JN9" s="18"/>
      <c r="JO9" s="6"/>
      <c r="JQ9" s="68"/>
      <c r="JR9" s="214"/>
      <c r="JS9" s="68"/>
      <c r="JT9" s="68"/>
      <c r="JU9" s="180"/>
      <c r="JV9" s="68"/>
      <c r="JW9" s="68"/>
      <c r="JX9" s="68"/>
      <c r="KF9" s="68"/>
      <c r="KG9" s="68"/>
      <c r="KH9" s="68"/>
      <c r="KI9" s="68"/>
      <c r="KJ9" s="68"/>
      <c r="KK9" s="68"/>
      <c r="KL9" s="68"/>
      <c r="KM9" s="68"/>
      <c r="KN9" s="68"/>
      <c r="KO9" s="68"/>
      <c r="KP9" s="68"/>
      <c r="KQ9" s="68"/>
      <c r="KR9"/>
      <c r="KS9" s="68"/>
      <c r="KT9" s="68"/>
      <c r="KU9" s="68"/>
      <c r="KV9" s="488" t="s">
        <v>241</v>
      </c>
      <c r="KW9" s="489"/>
      <c r="KX9" s="489"/>
      <c r="KY9" s="489"/>
      <c r="KZ9" s="489"/>
      <c r="LA9" s="489"/>
      <c r="LB9" s="490"/>
      <c r="LC9" s="68"/>
      <c r="LD9" s="68"/>
      <c r="LE9" s="68"/>
      <c r="LF9" s="68"/>
      <c r="LG9" s="214"/>
      <c r="LK9"/>
      <c r="LX9" s="24"/>
      <c r="LY9" s="24"/>
      <c r="NV9" s="18"/>
      <c r="QN9" s="18"/>
      <c r="QO9" s="283"/>
      <c r="QP9" s="284"/>
      <c r="TP9" s="18"/>
      <c r="WR9" s="18"/>
      <c r="AFZ9" s="6"/>
      <c r="AGA9"/>
    </row>
    <row r="10" spans="1:859" s="2" customFormat="1" ht="20.25" thickTop="1" thickBot="1" x14ac:dyDescent="0.35">
      <c r="A10" s="48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26"/>
      <c r="BD10" s="480" t="s">
        <v>275</v>
      </c>
      <c r="BE10" s="481"/>
      <c r="BO10" s="24"/>
      <c r="CH10" s="24"/>
      <c r="DG10" s="18"/>
      <c r="GM10" s="18"/>
      <c r="JN10" s="18"/>
      <c r="JO10" s="6"/>
      <c r="JP10" s="27"/>
      <c r="JQ10" s="68"/>
      <c r="JR10" s="214"/>
      <c r="JS10" s="68"/>
      <c r="JT10" s="68"/>
      <c r="JU10" s="68"/>
      <c r="JV10" s="68"/>
      <c r="JW10" s="68"/>
      <c r="JX10" s="68"/>
      <c r="JY10" s="488" t="s">
        <v>240</v>
      </c>
      <c r="JZ10" s="489"/>
      <c r="KA10" s="489"/>
      <c r="KB10" s="489"/>
      <c r="KC10" s="489"/>
      <c r="KD10" s="489"/>
      <c r="KE10" s="490"/>
      <c r="KF10" s="68"/>
      <c r="KG10" s="68"/>
      <c r="KH10" s="68"/>
      <c r="KI10" s="68"/>
      <c r="KJ10" s="68"/>
      <c r="KK10" s="68"/>
      <c r="KL10" s="68"/>
      <c r="KM10" s="68"/>
      <c r="KN10" s="68"/>
      <c r="KO10" s="68"/>
      <c r="KP10" s="68"/>
      <c r="KQ10" s="68"/>
      <c r="KR10"/>
      <c r="KS10" s="68"/>
      <c r="KT10" s="68"/>
      <c r="KU10" s="68"/>
      <c r="KV10" s="68"/>
      <c r="KW10" s="68"/>
      <c r="KX10" s="68"/>
      <c r="KY10" s="68"/>
      <c r="KZ10" s="68"/>
      <c r="LA10" s="68"/>
      <c r="LB10" s="68"/>
      <c r="LC10" s="68"/>
      <c r="LD10" s="68"/>
      <c r="LE10" s="68"/>
      <c r="LF10" s="68"/>
      <c r="LG10" s="214"/>
      <c r="LK10"/>
      <c r="LX10" s="24"/>
      <c r="LY10" s="24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NV10" s="18"/>
      <c r="QN10" s="18"/>
      <c r="QO10" s="478" t="s">
        <v>275</v>
      </c>
      <c r="QP10" s="479"/>
      <c r="TP10" s="18"/>
      <c r="WR10" s="18"/>
      <c r="AFZ10" s="6"/>
      <c r="AGA10"/>
    </row>
    <row r="11" spans="1:859" ht="36" customHeight="1" thickTop="1" thickBot="1" x14ac:dyDescent="0.35">
      <c r="A11" s="49" t="s">
        <v>227</v>
      </c>
      <c r="B11" s="50" t="s">
        <v>224</v>
      </c>
      <c r="C11" s="51" t="s">
        <v>225</v>
      </c>
      <c r="D11" s="50"/>
      <c r="E11" s="50" t="s">
        <v>80</v>
      </c>
      <c r="F11" s="50" t="s">
        <v>179</v>
      </c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AC11" s="68"/>
      <c r="AD11" s="68"/>
      <c r="AE11" s="68"/>
      <c r="AF11" s="68"/>
      <c r="AG11" s="68"/>
      <c r="AH11" s="68"/>
      <c r="AI11" s="68"/>
      <c r="AJ11" s="68"/>
      <c r="AK11" s="68"/>
      <c r="AL11" s="68"/>
      <c r="AM11" s="68"/>
      <c r="AN11" s="68"/>
      <c r="AO11" s="68"/>
      <c r="AP11" s="68"/>
      <c r="AQ11" s="488" t="s">
        <v>240</v>
      </c>
      <c r="AR11" s="489"/>
      <c r="AS11" s="489"/>
      <c r="AT11" s="489"/>
      <c r="AU11" s="489"/>
      <c r="AV11" s="489"/>
      <c r="AW11" s="490"/>
      <c r="AX11" s="68"/>
      <c r="AY11" s="68"/>
      <c r="AZ11" s="68"/>
      <c r="BA11" s="68"/>
      <c r="BB11" s="68"/>
      <c r="BC11" s="68"/>
      <c r="BD11" s="68"/>
      <c r="BE11" s="68"/>
      <c r="BF11" s="68"/>
      <c r="BG11" s="68"/>
      <c r="BH11" s="68"/>
      <c r="BI11" s="68"/>
      <c r="BJ11" s="68"/>
      <c r="BK11" s="68"/>
      <c r="BL11" s="68"/>
      <c r="BM11" s="68"/>
      <c r="BN11" s="68"/>
      <c r="BO11" s="165" t="s">
        <v>219</v>
      </c>
      <c r="BP11" s="68"/>
      <c r="BQ11" s="68"/>
      <c r="BR11" s="68"/>
      <c r="BS11" s="68"/>
      <c r="BT11" s="68"/>
      <c r="BU11" s="68"/>
      <c r="BV11" s="488" t="s">
        <v>241</v>
      </c>
      <c r="BW11" s="489"/>
      <c r="BX11" s="489"/>
      <c r="BY11" s="489"/>
      <c r="BZ11" s="489"/>
      <c r="CA11" s="490"/>
      <c r="CB11" s="68"/>
      <c r="CC11" s="68"/>
      <c r="CD11" s="68"/>
      <c r="CE11" s="68"/>
      <c r="CF11" s="68"/>
      <c r="CG11" s="68"/>
      <c r="CH11" s="214"/>
      <c r="CI11" s="68"/>
      <c r="JQ11" s="68"/>
      <c r="JR11" s="214"/>
      <c r="JS11" s="68"/>
      <c r="JT11" s="68"/>
      <c r="JU11" s="180"/>
      <c r="JV11" s="68"/>
      <c r="JW11" s="68"/>
      <c r="JX11" s="68"/>
      <c r="JY11" s="68"/>
      <c r="JZ11" s="68"/>
      <c r="KA11" s="68"/>
      <c r="KB11" s="68"/>
      <c r="KC11" s="68"/>
      <c r="KD11" s="68"/>
      <c r="KE11" s="68"/>
      <c r="KF11" s="68"/>
      <c r="KG11" s="68"/>
      <c r="KH11" s="68"/>
      <c r="KI11" s="68"/>
      <c r="KJ11" s="68"/>
      <c r="KK11" s="68"/>
      <c r="KL11" s="68"/>
      <c r="KM11" s="68"/>
      <c r="KN11" s="68"/>
      <c r="KO11" s="68"/>
      <c r="KP11" s="68"/>
      <c r="KQ11" s="68"/>
      <c r="KR11"/>
      <c r="KS11" s="68"/>
      <c r="KT11" s="68"/>
      <c r="KU11" s="68"/>
      <c r="KV11" s="68"/>
      <c r="KW11" s="68"/>
      <c r="KX11" s="68"/>
      <c r="KY11" s="68"/>
      <c r="KZ11" s="68"/>
      <c r="LA11" s="68"/>
      <c r="LB11" s="68"/>
      <c r="LC11" s="68"/>
      <c r="LD11" s="68"/>
      <c r="LE11" s="68"/>
      <c r="LF11" s="68"/>
      <c r="LG11" s="214"/>
    </row>
    <row r="12" spans="1:859" s="306" customFormat="1" ht="19.5" thickTop="1" thickBot="1" x14ac:dyDescent="0.3">
      <c r="A12" s="70">
        <v>3</v>
      </c>
      <c r="B12" s="305"/>
      <c r="C12" s="45" t="s">
        <v>81</v>
      </c>
      <c r="D12" s="305" t="s">
        <v>82</v>
      </c>
      <c r="E12" s="305"/>
      <c r="F12" s="128">
        <v>0.87964613713729989</v>
      </c>
      <c r="X12" s="355"/>
      <c r="AA12" s="142" t="s">
        <v>57</v>
      </c>
      <c r="AC12" s="244" t="s">
        <v>39</v>
      </c>
      <c r="AD12" s="244" t="s">
        <v>40</v>
      </c>
      <c r="AE12" s="244" t="s">
        <v>40</v>
      </c>
      <c r="AF12" s="244" t="s">
        <v>40</v>
      </c>
      <c r="AG12" s="244" t="s">
        <v>39</v>
      </c>
      <c r="AH12" s="244" t="s">
        <v>40</v>
      </c>
      <c r="AI12" s="244" t="s">
        <v>40</v>
      </c>
      <c r="AJ12" s="244" t="s">
        <v>41</v>
      </c>
      <c r="AK12" s="244" t="s">
        <v>41</v>
      </c>
      <c r="AL12" s="244" t="s">
        <v>41</v>
      </c>
      <c r="AM12" s="307"/>
      <c r="AN12" s="307"/>
      <c r="AO12" s="145" t="s">
        <v>42</v>
      </c>
      <c r="AP12" s="307"/>
      <c r="AQ12" s="307"/>
      <c r="AR12" s="244"/>
      <c r="AS12" s="244" t="s">
        <v>39</v>
      </c>
      <c r="AT12" s="244" t="s">
        <v>39</v>
      </c>
      <c r="AU12" s="145" t="s">
        <v>42</v>
      </c>
      <c r="AV12" s="145" t="s">
        <v>42</v>
      </c>
      <c r="AW12" s="244" t="s">
        <v>39</v>
      </c>
      <c r="AX12" s="244" t="s">
        <v>39</v>
      </c>
      <c r="AY12" s="244" t="s">
        <v>39</v>
      </c>
      <c r="AZ12" s="244" t="s">
        <v>39</v>
      </c>
      <c r="BA12" s="244" t="s">
        <v>39</v>
      </c>
      <c r="BB12" s="244" t="s">
        <v>41</v>
      </c>
      <c r="BC12" s="307"/>
      <c r="BD12" s="307"/>
      <c r="BE12" s="244" t="s">
        <v>41</v>
      </c>
      <c r="BF12" s="244" t="s">
        <v>39</v>
      </c>
      <c r="BG12" s="244" t="s">
        <v>39</v>
      </c>
      <c r="BH12" s="244" t="s">
        <v>39</v>
      </c>
      <c r="BI12" s="244" t="s">
        <v>39</v>
      </c>
      <c r="BJ12" s="244" t="s">
        <v>39</v>
      </c>
      <c r="BK12" s="244" t="s">
        <v>39</v>
      </c>
      <c r="BL12" s="308"/>
      <c r="BM12" s="145" t="s">
        <v>42</v>
      </c>
      <c r="BN12" s="244" t="s">
        <v>39</v>
      </c>
      <c r="BO12" s="237" t="s">
        <v>39</v>
      </c>
      <c r="BR12" s="173" t="s">
        <v>41</v>
      </c>
      <c r="BS12" s="173" t="s">
        <v>40</v>
      </c>
      <c r="BT12" s="173" t="s">
        <v>40</v>
      </c>
      <c r="BU12" s="173"/>
      <c r="BV12" s="173" t="s">
        <v>39</v>
      </c>
      <c r="BW12" s="173" t="s">
        <v>39</v>
      </c>
      <c r="BX12" s="173"/>
      <c r="BY12" s="173" t="s">
        <v>39</v>
      </c>
      <c r="BZ12" s="173" t="s">
        <v>39</v>
      </c>
      <c r="CA12" s="173" t="s">
        <v>39</v>
      </c>
      <c r="CB12" s="173" t="s">
        <v>39</v>
      </c>
      <c r="CC12" s="173" t="s">
        <v>40</v>
      </c>
      <c r="CD12" s="173" t="s">
        <v>39</v>
      </c>
      <c r="CE12" s="173" t="s">
        <v>41</v>
      </c>
      <c r="CF12" s="173" t="s">
        <v>41</v>
      </c>
      <c r="CG12" s="173" t="s">
        <v>39</v>
      </c>
      <c r="CH12" s="173" t="s">
        <v>39</v>
      </c>
      <c r="CI12" s="173" t="s">
        <v>39</v>
      </c>
      <c r="CJ12" s="356">
        <f>+MAX(AC46:BN46)</f>
        <v>0</v>
      </c>
      <c r="DG12" s="357"/>
      <c r="DK12" s="244" t="s">
        <v>39</v>
      </c>
      <c r="DL12" s="244" t="s">
        <v>40</v>
      </c>
      <c r="DM12" s="244" t="s">
        <v>40</v>
      </c>
      <c r="DN12" s="244" t="s">
        <v>40</v>
      </c>
      <c r="DO12" s="244" t="s">
        <v>39</v>
      </c>
      <c r="DP12" s="244" t="s">
        <v>40</v>
      </c>
      <c r="DQ12" s="244" t="s">
        <v>40</v>
      </c>
      <c r="DR12" s="244" t="s">
        <v>41</v>
      </c>
      <c r="DS12" s="244" t="s">
        <v>41</v>
      </c>
      <c r="DT12" s="244" t="s">
        <v>41</v>
      </c>
      <c r="DU12" s="307"/>
      <c r="DV12" s="307"/>
      <c r="DW12" s="145" t="s">
        <v>42</v>
      </c>
      <c r="DX12" s="307"/>
      <c r="DY12" s="307"/>
      <c r="DZ12" s="244"/>
      <c r="EA12" s="244" t="s">
        <v>39</v>
      </c>
      <c r="EB12" s="244" t="s">
        <v>39</v>
      </c>
      <c r="EC12" s="145" t="s">
        <v>42</v>
      </c>
      <c r="ED12" s="145" t="s">
        <v>42</v>
      </c>
      <c r="EE12" s="244" t="s">
        <v>39</v>
      </c>
      <c r="EF12" s="244" t="s">
        <v>39</v>
      </c>
      <c r="EG12" s="244" t="s">
        <v>39</v>
      </c>
      <c r="EH12" s="244" t="s">
        <v>39</v>
      </c>
      <c r="EI12" s="244" t="s">
        <v>39</v>
      </c>
      <c r="EJ12" s="244" t="s">
        <v>41</v>
      </c>
      <c r="EK12" s="307"/>
      <c r="EL12" s="307"/>
      <c r="EM12" s="244" t="s">
        <v>41</v>
      </c>
      <c r="EN12" s="244" t="s">
        <v>39</v>
      </c>
      <c r="EO12" s="244" t="s">
        <v>39</v>
      </c>
      <c r="EP12" s="244" t="s">
        <v>39</v>
      </c>
      <c r="EQ12" s="244" t="s">
        <v>39</v>
      </c>
      <c r="ER12" s="244" t="s">
        <v>39</v>
      </c>
      <c r="ES12" s="244" t="s">
        <v>39</v>
      </c>
      <c r="ET12" s="308"/>
      <c r="EU12" s="145" t="s">
        <v>42</v>
      </c>
      <c r="EV12" s="244" t="s">
        <v>39</v>
      </c>
      <c r="EX12" s="173" t="s">
        <v>41</v>
      </c>
      <c r="EY12" s="173" t="s">
        <v>40</v>
      </c>
      <c r="EZ12" s="173" t="s">
        <v>40</v>
      </c>
      <c r="FA12" s="173"/>
      <c r="FB12" s="173" t="s">
        <v>39</v>
      </c>
      <c r="FC12" s="173" t="s">
        <v>39</v>
      </c>
      <c r="FD12" s="173"/>
      <c r="FE12" s="173" t="s">
        <v>39</v>
      </c>
      <c r="FF12" s="173" t="s">
        <v>39</v>
      </c>
      <c r="FG12" s="173" t="s">
        <v>39</v>
      </c>
      <c r="FH12" s="173" t="s">
        <v>39</v>
      </c>
      <c r="FI12" s="173" t="s">
        <v>40</v>
      </c>
      <c r="FJ12" s="173" t="s">
        <v>39</v>
      </c>
      <c r="FK12" s="173" t="s">
        <v>41</v>
      </c>
      <c r="FL12" s="173" t="s">
        <v>41</v>
      </c>
      <c r="FM12" s="173" t="s">
        <v>39</v>
      </c>
      <c r="FN12" s="173" t="s">
        <v>39</v>
      </c>
      <c r="FO12" s="173" t="s">
        <v>39</v>
      </c>
      <c r="GM12" s="357"/>
      <c r="GQ12" s="244" t="s">
        <v>39</v>
      </c>
      <c r="GR12" s="244" t="s">
        <v>40</v>
      </c>
      <c r="GS12" s="244" t="s">
        <v>40</v>
      </c>
      <c r="GT12" s="244" t="s">
        <v>40</v>
      </c>
      <c r="GU12" s="244" t="s">
        <v>39</v>
      </c>
      <c r="GV12" s="244" t="s">
        <v>40</v>
      </c>
      <c r="GW12" s="244" t="s">
        <v>40</v>
      </c>
      <c r="GX12" s="244" t="s">
        <v>41</v>
      </c>
      <c r="GY12" s="244" t="s">
        <v>41</v>
      </c>
      <c r="GZ12" s="244" t="s">
        <v>41</v>
      </c>
      <c r="HA12" s="307"/>
      <c r="HB12" s="307"/>
      <c r="HC12" s="145" t="s">
        <v>42</v>
      </c>
      <c r="HD12" s="307"/>
      <c r="HE12" s="307"/>
      <c r="HF12" s="244"/>
      <c r="HG12" s="244" t="s">
        <v>39</v>
      </c>
      <c r="HH12" s="244" t="s">
        <v>39</v>
      </c>
      <c r="HI12" s="145" t="s">
        <v>42</v>
      </c>
      <c r="HJ12" s="145" t="s">
        <v>42</v>
      </c>
      <c r="HK12" s="244" t="s">
        <v>39</v>
      </c>
      <c r="HL12" s="244" t="s">
        <v>39</v>
      </c>
      <c r="HM12" s="244" t="s">
        <v>39</v>
      </c>
      <c r="HN12" s="244" t="s">
        <v>39</v>
      </c>
      <c r="HO12" s="244" t="s">
        <v>39</v>
      </c>
      <c r="HP12" s="244" t="s">
        <v>41</v>
      </c>
      <c r="HQ12" s="307"/>
      <c r="HR12" s="307"/>
      <c r="HS12" s="244" t="s">
        <v>41</v>
      </c>
      <c r="HT12" s="244" t="s">
        <v>39</v>
      </c>
      <c r="HU12" s="244" t="s">
        <v>39</v>
      </c>
      <c r="HV12" s="244" t="s">
        <v>39</v>
      </c>
      <c r="HW12" s="244" t="s">
        <v>39</v>
      </c>
      <c r="HX12" s="244" t="s">
        <v>39</v>
      </c>
      <c r="HY12" s="244" t="s">
        <v>39</v>
      </c>
      <c r="HZ12" s="308"/>
      <c r="IA12" s="145" t="s">
        <v>42</v>
      </c>
      <c r="IB12" s="244" t="s">
        <v>39</v>
      </c>
      <c r="ID12" s="173" t="s">
        <v>41</v>
      </c>
      <c r="IE12" s="173" t="s">
        <v>40</v>
      </c>
      <c r="IF12" s="173" t="s">
        <v>40</v>
      </c>
      <c r="IG12" s="173"/>
      <c r="IH12" s="173" t="s">
        <v>39</v>
      </c>
      <c r="II12" s="173" t="s">
        <v>39</v>
      </c>
      <c r="IJ12" s="173"/>
      <c r="IK12" s="173" t="s">
        <v>39</v>
      </c>
      <c r="IL12" s="173" t="s">
        <v>39</v>
      </c>
      <c r="IM12" s="173" t="s">
        <v>39</v>
      </c>
      <c r="IN12" s="173" t="s">
        <v>39</v>
      </c>
      <c r="IO12" s="173" t="s">
        <v>40</v>
      </c>
      <c r="IP12" s="173" t="s">
        <v>39</v>
      </c>
      <c r="IQ12" s="173" t="s">
        <v>41</v>
      </c>
      <c r="IR12" s="173" t="s">
        <v>41</v>
      </c>
      <c r="IS12" s="173" t="s">
        <v>39</v>
      </c>
      <c r="IT12" s="173" t="s">
        <v>39</v>
      </c>
      <c r="IU12" s="173" t="s">
        <v>39</v>
      </c>
      <c r="JN12" s="357"/>
      <c r="JO12" s="307"/>
      <c r="JR12" s="142" t="s">
        <v>57</v>
      </c>
      <c r="JS12" s="246">
        <v>8</v>
      </c>
      <c r="JT12" s="246">
        <v>9</v>
      </c>
      <c r="JU12" s="246">
        <v>11</v>
      </c>
      <c r="JV12" s="246">
        <v>33</v>
      </c>
      <c r="JW12" s="266" t="s">
        <v>38</v>
      </c>
      <c r="JX12" s="246">
        <v>35</v>
      </c>
      <c r="JY12" s="246">
        <v>36</v>
      </c>
      <c r="JZ12" s="246">
        <v>38</v>
      </c>
      <c r="KA12" s="266" t="s">
        <v>38</v>
      </c>
      <c r="KB12" s="266" t="s">
        <v>38</v>
      </c>
      <c r="KC12" s="246">
        <v>55</v>
      </c>
      <c r="KD12" s="246">
        <v>57</v>
      </c>
      <c r="KE12" s="246">
        <v>65</v>
      </c>
      <c r="KF12" s="246">
        <v>69</v>
      </c>
      <c r="KG12" s="246">
        <v>76</v>
      </c>
      <c r="KH12" s="263" t="s">
        <v>38</v>
      </c>
      <c r="KI12" s="246">
        <v>84</v>
      </c>
      <c r="KJ12" s="246" t="s">
        <v>38</v>
      </c>
      <c r="KK12" s="246">
        <v>96</v>
      </c>
      <c r="KL12" s="246">
        <v>170</v>
      </c>
      <c r="KM12" s="246">
        <v>172</v>
      </c>
      <c r="KN12" s="246">
        <v>178</v>
      </c>
      <c r="KO12" s="246">
        <v>194</v>
      </c>
      <c r="KP12" s="152" t="s">
        <v>179</v>
      </c>
      <c r="KR12" s="309"/>
      <c r="KS12" s="246">
        <v>11</v>
      </c>
      <c r="KT12" s="246">
        <v>18</v>
      </c>
      <c r="KU12" s="246">
        <v>28</v>
      </c>
      <c r="KV12" s="246">
        <v>31</v>
      </c>
      <c r="KW12" s="246">
        <v>50</v>
      </c>
      <c r="KX12" s="246">
        <v>66</v>
      </c>
      <c r="KY12" s="246">
        <v>72</v>
      </c>
      <c r="KZ12" s="246">
        <v>73</v>
      </c>
      <c r="LA12" s="246">
        <v>83</v>
      </c>
      <c r="LB12" s="246">
        <v>96</v>
      </c>
      <c r="LC12" s="246">
        <v>111</v>
      </c>
      <c r="LD12" s="246">
        <v>127</v>
      </c>
      <c r="LE12" s="246">
        <v>160</v>
      </c>
      <c r="LF12" s="246">
        <v>190</v>
      </c>
      <c r="LG12" s="310" t="s">
        <v>232</v>
      </c>
      <c r="LH12" s="358">
        <f>+MAX(JS49:KO49)</f>
        <v>0</v>
      </c>
      <c r="LX12" s="309"/>
      <c r="LY12" s="309"/>
      <c r="LZ12" s="246">
        <v>8</v>
      </c>
      <c r="MA12" s="246">
        <v>9</v>
      </c>
      <c r="MB12" s="246">
        <v>11</v>
      </c>
      <c r="MC12" s="246">
        <v>33</v>
      </c>
      <c r="MD12" s="66" t="s">
        <v>38</v>
      </c>
      <c r="ME12" s="246">
        <v>35</v>
      </c>
      <c r="MF12" s="246">
        <v>36</v>
      </c>
      <c r="MG12" s="246">
        <v>38</v>
      </c>
      <c r="MH12" s="66" t="s">
        <v>38</v>
      </c>
      <c r="MI12" s="66" t="s">
        <v>38</v>
      </c>
      <c r="MJ12" s="246">
        <v>55</v>
      </c>
      <c r="MK12" s="246">
        <v>57</v>
      </c>
      <c r="ML12" s="246">
        <v>65</v>
      </c>
      <c r="MM12" s="246">
        <v>69</v>
      </c>
      <c r="MN12" s="246">
        <v>76</v>
      </c>
      <c r="MO12" s="246" t="s">
        <v>38</v>
      </c>
      <c r="MP12" s="246">
        <v>84</v>
      </c>
      <c r="MQ12" s="246" t="s">
        <v>38</v>
      </c>
      <c r="MR12" s="246">
        <v>96</v>
      </c>
      <c r="MS12" s="246">
        <v>170</v>
      </c>
      <c r="MT12" s="246">
        <v>172</v>
      </c>
      <c r="MU12" s="246">
        <v>178</v>
      </c>
      <c r="MV12" s="246">
        <v>194</v>
      </c>
      <c r="MY12" s="246">
        <v>11</v>
      </c>
      <c r="MZ12" s="246">
        <v>18</v>
      </c>
      <c r="NA12" s="246">
        <v>28</v>
      </c>
      <c r="NB12" s="246">
        <v>31</v>
      </c>
      <c r="NC12" s="246">
        <v>50</v>
      </c>
      <c r="ND12" s="246">
        <v>66</v>
      </c>
      <c r="NE12" s="246">
        <v>72</v>
      </c>
      <c r="NF12" s="246">
        <v>73</v>
      </c>
      <c r="NG12" s="246">
        <v>83</v>
      </c>
      <c r="NH12" s="246">
        <v>96</v>
      </c>
      <c r="NI12" s="246">
        <v>111</v>
      </c>
      <c r="NJ12" s="246">
        <v>127</v>
      </c>
      <c r="NK12" s="246">
        <v>160</v>
      </c>
      <c r="NL12" s="246">
        <v>190</v>
      </c>
      <c r="NM12" s="359" t="s">
        <v>232</v>
      </c>
      <c r="NV12" s="357"/>
      <c r="NW12" s="314" t="s">
        <v>57</v>
      </c>
      <c r="NX12" s="246">
        <v>8</v>
      </c>
      <c r="NY12" s="246">
        <v>9</v>
      </c>
      <c r="NZ12" s="246">
        <v>11</v>
      </c>
      <c r="OA12" s="246">
        <v>33</v>
      </c>
      <c r="OB12" s="66" t="s">
        <v>38</v>
      </c>
      <c r="OC12" s="246">
        <v>35</v>
      </c>
      <c r="OD12" s="246">
        <v>36</v>
      </c>
      <c r="OE12" s="246">
        <v>38</v>
      </c>
      <c r="OF12" s="66" t="s">
        <v>38</v>
      </c>
      <c r="OG12" s="66" t="s">
        <v>38</v>
      </c>
      <c r="OH12" s="246">
        <v>55</v>
      </c>
      <c r="OI12" s="246">
        <v>57</v>
      </c>
      <c r="OJ12" s="246">
        <v>65</v>
      </c>
      <c r="OK12" s="246">
        <v>69</v>
      </c>
      <c r="OL12" s="246">
        <v>76</v>
      </c>
      <c r="OM12" s="246" t="s">
        <v>38</v>
      </c>
      <c r="ON12" s="246">
        <v>84</v>
      </c>
      <c r="OO12" s="246" t="s">
        <v>38</v>
      </c>
      <c r="OP12" s="246">
        <v>96</v>
      </c>
      <c r="OQ12" s="246">
        <v>170</v>
      </c>
      <c r="OR12" s="246">
        <v>172</v>
      </c>
      <c r="OS12" s="246">
        <v>178</v>
      </c>
      <c r="OT12" s="246">
        <v>194</v>
      </c>
      <c r="OW12" s="246">
        <v>11</v>
      </c>
      <c r="OX12" s="246">
        <v>18</v>
      </c>
      <c r="OY12" s="246">
        <v>28</v>
      </c>
      <c r="OZ12" s="246">
        <v>31</v>
      </c>
      <c r="PA12" s="246">
        <v>50</v>
      </c>
      <c r="PB12" s="246">
        <v>66</v>
      </c>
      <c r="PC12" s="246">
        <v>72</v>
      </c>
      <c r="PD12" s="246">
        <v>73</v>
      </c>
      <c r="PE12" s="246">
        <v>83</v>
      </c>
      <c r="PF12" s="246">
        <v>96</v>
      </c>
      <c r="PG12" s="246">
        <v>111</v>
      </c>
      <c r="PH12" s="246">
        <v>127</v>
      </c>
      <c r="PI12" s="246">
        <v>160</v>
      </c>
      <c r="PJ12" s="246">
        <v>190</v>
      </c>
      <c r="PM12"/>
      <c r="PN12"/>
      <c r="PO12"/>
      <c r="PP12"/>
      <c r="PQ12"/>
      <c r="PR12"/>
      <c r="PS12"/>
      <c r="PT12"/>
      <c r="QN12" s="357"/>
      <c r="QO12" s="142" t="s">
        <v>57</v>
      </c>
      <c r="QP12" s="263" t="s">
        <v>38</v>
      </c>
      <c r="QQ12" s="246">
        <v>9</v>
      </c>
      <c r="QR12" s="246">
        <v>10</v>
      </c>
      <c r="QS12" s="311" t="s">
        <v>38</v>
      </c>
      <c r="QT12" s="246">
        <v>11</v>
      </c>
      <c r="QU12" s="246">
        <v>12</v>
      </c>
      <c r="QV12" s="246">
        <v>13</v>
      </c>
      <c r="QW12" s="246">
        <v>16</v>
      </c>
      <c r="QX12" s="263" t="s">
        <v>38</v>
      </c>
      <c r="QY12" s="246">
        <v>26</v>
      </c>
      <c r="QZ12" s="246">
        <v>28</v>
      </c>
      <c r="RA12" s="246">
        <v>30</v>
      </c>
      <c r="RB12" s="246" t="s">
        <v>38</v>
      </c>
      <c r="RC12" s="246">
        <v>31</v>
      </c>
      <c r="RD12" s="246">
        <v>32</v>
      </c>
      <c r="RE12" s="246">
        <v>37</v>
      </c>
      <c r="RF12" s="246">
        <v>38</v>
      </c>
      <c r="RG12" s="246">
        <v>40</v>
      </c>
      <c r="RH12" s="263" t="s">
        <v>38</v>
      </c>
      <c r="RI12" s="263" t="s">
        <v>38</v>
      </c>
      <c r="RJ12" s="246">
        <v>57</v>
      </c>
      <c r="RK12" s="246">
        <v>60</v>
      </c>
      <c r="RL12" s="246">
        <v>67</v>
      </c>
      <c r="RM12" s="263" t="s">
        <v>38</v>
      </c>
      <c r="RN12" s="311" t="s">
        <v>38</v>
      </c>
      <c r="RO12" s="312" t="s">
        <v>38</v>
      </c>
      <c r="RP12" s="246">
        <v>70</v>
      </c>
      <c r="RQ12" s="246">
        <v>71</v>
      </c>
      <c r="RR12" s="246">
        <v>73</v>
      </c>
      <c r="RS12" s="246">
        <v>74</v>
      </c>
      <c r="RT12" s="263" t="s">
        <v>38</v>
      </c>
      <c r="RU12" s="246">
        <v>78</v>
      </c>
      <c r="RV12" s="246">
        <v>85</v>
      </c>
      <c r="RW12" s="246">
        <v>86</v>
      </c>
      <c r="RX12" s="263" t="s">
        <v>38</v>
      </c>
      <c r="RY12" s="246">
        <v>96</v>
      </c>
      <c r="RZ12" s="246">
        <v>98</v>
      </c>
      <c r="SA12" s="263" t="s">
        <v>38</v>
      </c>
      <c r="SB12" s="246">
        <v>104</v>
      </c>
      <c r="SC12" s="246">
        <v>120</v>
      </c>
      <c r="SD12" s="246">
        <v>140</v>
      </c>
      <c r="SE12" s="246">
        <v>149</v>
      </c>
      <c r="SF12" s="246">
        <v>180</v>
      </c>
      <c r="SG12" s="263" t="s">
        <v>38</v>
      </c>
      <c r="SH12" s="246">
        <v>181</v>
      </c>
      <c r="SI12" s="246">
        <v>189</v>
      </c>
      <c r="SJ12" s="313" t="s">
        <v>262</v>
      </c>
      <c r="SM12" s="360">
        <f>+COUNTIF(SK14:SK49,"&gt;"&amp;QO13)</f>
        <v>0</v>
      </c>
      <c r="TP12" s="357"/>
      <c r="TQ12" s="314" t="s">
        <v>57</v>
      </c>
      <c r="TR12" s="234" t="s">
        <v>38</v>
      </c>
      <c r="TS12" s="234">
        <v>9</v>
      </c>
      <c r="TT12" s="234">
        <v>10</v>
      </c>
      <c r="TU12" s="137" t="s">
        <v>38</v>
      </c>
      <c r="TV12" s="234">
        <v>11</v>
      </c>
      <c r="TW12" s="234">
        <v>12</v>
      </c>
      <c r="TX12" s="234">
        <v>13</v>
      </c>
      <c r="TY12" s="234">
        <v>16</v>
      </c>
      <c r="TZ12" s="234" t="s">
        <v>38</v>
      </c>
      <c r="UA12" s="234">
        <v>26</v>
      </c>
      <c r="UB12" s="234">
        <v>28</v>
      </c>
      <c r="UC12" s="234">
        <v>30</v>
      </c>
      <c r="UD12" s="234" t="s">
        <v>38</v>
      </c>
      <c r="UE12" s="234">
        <v>31</v>
      </c>
      <c r="UF12" s="234">
        <v>32</v>
      </c>
      <c r="UG12" s="234">
        <v>37</v>
      </c>
      <c r="UH12" s="234">
        <v>38</v>
      </c>
      <c r="UI12" s="234">
        <v>40</v>
      </c>
      <c r="UJ12" s="234" t="s">
        <v>38</v>
      </c>
      <c r="UK12" s="234" t="s">
        <v>38</v>
      </c>
      <c r="UL12" s="234">
        <v>57</v>
      </c>
      <c r="UM12" s="234">
        <v>60</v>
      </c>
      <c r="UN12" s="234">
        <v>67</v>
      </c>
      <c r="UO12" s="234" t="s">
        <v>38</v>
      </c>
      <c r="UP12" s="187" t="s">
        <v>38</v>
      </c>
      <c r="UQ12" s="187" t="s">
        <v>38</v>
      </c>
      <c r="UR12" s="234">
        <v>70</v>
      </c>
      <c r="US12" s="234">
        <v>71</v>
      </c>
      <c r="UT12" s="234">
        <v>73</v>
      </c>
      <c r="UU12" s="234">
        <v>74</v>
      </c>
      <c r="UV12" s="234" t="s">
        <v>38</v>
      </c>
      <c r="UW12" s="234">
        <v>78</v>
      </c>
      <c r="UX12" s="234">
        <v>85</v>
      </c>
      <c r="UY12" s="234">
        <v>86</v>
      </c>
      <c r="UZ12" s="234" t="s">
        <v>38</v>
      </c>
      <c r="VA12" s="234">
        <v>96</v>
      </c>
      <c r="VB12" s="234">
        <v>98</v>
      </c>
      <c r="VC12" s="234" t="s">
        <v>38</v>
      </c>
      <c r="VD12" s="234">
        <v>104</v>
      </c>
      <c r="VE12" s="234">
        <v>120</v>
      </c>
      <c r="VF12" s="234">
        <v>140</v>
      </c>
      <c r="VG12" s="234">
        <v>149</v>
      </c>
      <c r="VH12" s="234">
        <v>180</v>
      </c>
      <c r="VI12" s="234" t="s">
        <v>38</v>
      </c>
      <c r="VJ12" s="234">
        <v>181</v>
      </c>
      <c r="VK12" s="234">
        <v>189</v>
      </c>
      <c r="VL12" s="306" t="s">
        <v>221</v>
      </c>
      <c r="WR12" s="357"/>
      <c r="WS12" s="314" t="s">
        <v>57</v>
      </c>
      <c r="WT12" s="234" t="s">
        <v>38</v>
      </c>
      <c r="WU12" s="234">
        <v>9</v>
      </c>
      <c r="WV12" s="234">
        <v>10</v>
      </c>
      <c r="WW12" s="137" t="s">
        <v>38</v>
      </c>
      <c r="WX12" s="234">
        <v>11</v>
      </c>
      <c r="WY12" s="234">
        <v>12</v>
      </c>
      <c r="WZ12" s="234">
        <v>13</v>
      </c>
      <c r="XA12" s="234">
        <v>16</v>
      </c>
      <c r="XB12" s="234" t="s">
        <v>38</v>
      </c>
      <c r="XC12" s="234">
        <v>26</v>
      </c>
      <c r="XD12" s="234">
        <v>28</v>
      </c>
      <c r="XE12" s="234">
        <v>30</v>
      </c>
      <c r="XF12" s="234" t="s">
        <v>38</v>
      </c>
      <c r="XG12" s="234">
        <v>31</v>
      </c>
      <c r="XH12" s="234">
        <v>32</v>
      </c>
      <c r="XI12" s="234">
        <v>37</v>
      </c>
      <c r="XJ12" s="234">
        <v>38</v>
      </c>
      <c r="XK12" s="234">
        <v>40</v>
      </c>
      <c r="XL12" s="234" t="s">
        <v>38</v>
      </c>
      <c r="XM12" s="234" t="s">
        <v>38</v>
      </c>
      <c r="XN12" s="234">
        <v>57</v>
      </c>
      <c r="XO12" s="234">
        <v>60</v>
      </c>
      <c r="XP12" s="234">
        <v>67</v>
      </c>
      <c r="XQ12" s="234" t="s">
        <v>38</v>
      </c>
      <c r="XR12" s="187" t="s">
        <v>38</v>
      </c>
      <c r="XS12" s="187" t="s">
        <v>38</v>
      </c>
      <c r="XT12" s="234">
        <v>70</v>
      </c>
      <c r="XU12" s="234">
        <v>71</v>
      </c>
      <c r="XV12" s="234">
        <v>73</v>
      </c>
      <c r="XW12" s="234">
        <v>74</v>
      </c>
      <c r="XX12" s="234" t="s">
        <v>38</v>
      </c>
      <c r="XY12" s="234">
        <v>78</v>
      </c>
      <c r="XZ12" s="234">
        <v>85</v>
      </c>
      <c r="YA12" s="234">
        <v>86</v>
      </c>
      <c r="YB12" s="234" t="s">
        <v>38</v>
      </c>
      <c r="YC12" s="234">
        <v>96</v>
      </c>
      <c r="YD12" s="234">
        <v>98</v>
      </c>
      <c r="YE12" s="234" t="s">
        <v>38</v>
      </c>
      <c r="YF12" s="234">
        <v>104</v>
      </c>
      <c r="YG12" s="234">
        <v>120</v>
      </c>
      <c r="YH12" s="234">
        <v>140</v>
      </c>
      <c r="YI12" s="234">
        <v>149</v>
      </c>
      <c r="YJ12" s="234">
        <v>180</v>
      </c>
      <c r="YK12" s="234" t="s">
        <v>38</v>
      </c>
      <c r="YL12" s="234">
        <v>181</v>
      </c>
      <c r="YM12" s="234">
        <v>189</v>
      </c>
      <c r="YN12" s="306" t="s">
        <v>262</v>
      </c>
      <c r="AFZ12" s="307"/>
    </row>
    <row r="13" spans="1:859" s="306" customFormat="1" ht="19.5" thickTop="1" thickBot="1" x14ac:dyDescent="0.3">
      <c r="A13" s="70">
        <v>4</v>
      </c>
      <c r="B13" s="305"/>
      <c r="C13" s="45" t="s">
        <v>83</v>
      </c>
      <c r="D13" s="305" t="s">
        <v>82</v>
      </c>
      <c r="E13" s="305"/>
      <c r="F13" s="128">
        <v>-1.9773825958784954</v>
      </c>
      <c r="X13" s="355"/>
      <c r="AA13" s="285">
        <v>2000</v>
      </c>
      <c r="AC13" s="244">
        <v>3</v>
      </c>
      <c r="AD13" s="244">
        <v>9</v>
      </c>
      <c r="AE13" s="244">
        <v>13</v>
      </c>
      <c r="AF13" s="244">
        <v>14</v>
      </c>
      <c r="AG13" s="244">
        <v>23</v>
      </c>
      <c r="AH13" s="244">
        <v>26</v>
      </c>
      <c r="AI13" s="244">
        <v>30</v>
      </c>
      <c r="AJ13" s="244">
        <v>37</v>
      </c>
      <c r="AK13" s="244">
        <v>38</v>
      </c>
      <c r="AL13" s="223">
        <v>40</v>
      </c>
      <c r="AM13" s="264" t="s">
        <v>38</v>
      </c>
      <c r="AN13" s="264" t="s">
        <v>38</v>
      </c>
      <c r="AO13" s="244">
        <v>45</v>
      </c>
      <c r="AP13" s="264" t="s">
        <v>38</v>
      </c>
      <c r="AQ13" s="264" t="s">
        <v>38</v>
      </c>
      <c r="AR13" s="264" t="s">
        <v>38</v>
      </c>
      <c r="AS13" s="244">
        <v>56</v>
      </c>
      <c r="AT13" s="244">
        <v>57</v>
      </c>
      <c r="AU13" s="244">
        <v>66</v>
      </c>
      <c r="AV13" s="244">
        <v>67</v>
      </c>
      <c r="AW13" s="244">
        <v>70</v>
      </c>
      <c r="AX13" s="207" t="s">
        <v>38</v>
      </c>
      <c r="AY13" s="223" t="s">
        <v>38</v>
      </c>
      <c r="AZ13" s="244">
        <v>71</v>
      </c>
      <c r="BA13" s="244">
        <v>74</v>
      </c>
      <c r="BB13" s="244">
        <v>75</v>
      </c>
      <c r="BC13" s="264" t="s">
        <v>38</v>
      </c>
      <c r="BD13" s="223" t="s">
        <v>38</v>
      </c>
      <c r="BE13" s="244">
        <v>86</v>
      </c>
      <c r="BF13" s="244">
        <v>87</v>
      </c>
      <c r="BG13" s="244">
        <v>116</v>
      </c>
      <c r="BH13" s="244">
        <v>125</v>
      </c>
      <c r="BI13" s="244">
        <v>126</v>
      </c>
      <c r="BJ13" s="244">
        <v>130</v>
      </c>
      <c r="BK13" s="244">
        <v>135</v>
      </c>
      <c r="BL13" s="264" t="s">
        <v>38</v>
      </c>
      <c r="BM13" s="244">
        <v>167</v>
      </c>
      <c r="BN13" s="244">
        <v>185</v>
      </c>
      <c r="BO13" s="315" t="s">
        <v>220</v>
      </c>
      <c r="BP13" s="152" t="s">
        <v>179</v>
      </c>
      <c r="BR13" s="173" t="s">
        <v>49</v>
      </c>
      <c r="BS13" s="173">
        <v>26</v>
      </c>
      <c r="BT13" s="173">
        <v>34</v>
      </c>
      <c r="BU13" s="265" t="s">
        <v>38</v>
      </c>
      <c r="BV13" s="173">
        <v>40</v>
      </c>
      <c r="BW13" s="173">
        <v>45</v>
      </c>
      <c r="BX13" s="265" t="s">
        <v>38</v>
      </c>
      <c r="BY13" s="173">
        <v>50</v>
      </c>
      <c r="BZ13" s="173">
        <v>51</v>
      </c>
      <c r="CA13" s="173">
        <v>52</v>
      </c>
      <c r="CB13" s="173">
        <v>54</v>
      </c>
      <c r="CC13" s="173">
        <v>69</v>
      </c>
      <c r="CD13" s="173">
        <v>75</v>
      </c>
      <c r="CE13" s="173">
        <v>76</v>
      </c>
      <c r="CF13" s="173">
        <v>129</v>
      </c>
      <c r="CG13" s="173">
        <v>160</v>
      </c>
      <c r="CH13" s="173">
        <v>175</v>
      </c>
      <c r="CI13" s="173">
        <v>187</v>
      </c>
      <c r="DG13" s="357"/>
      <c r="DK13" s="244">
        <v>3</v>
      </c>
      <c r="DL13" s="244">
        <v>9</v>
      </c>
      <c r="DM13" s="244">
        <v>13</v>
      </c>
      <c r="DN13" s="244">
        <v>14</v>
      </c>
      <c r="DO13" s="244">
        <v>23</v>
      </c>
      <c r="DP13" s="244">
        <v>26</v>
      </c>
      <c r="DQ13" s="244">
        <v>30</v>
      </c>
      <c r="DR13" s="244">
        <v>37</v>
      </c>
      <c r="DS13" s="244">
        <v>38</v>
      </c>
      <c r="DT13" s="223">
        <v>40</v>
      </c>
      <c r="DU13" s="223" t="s">
        <v>38</v>
      </c>
      <c r="DV13" s="223" t="s">
        <v>38</v>
      </c>
      <c r="DW13" s="244">
        <v>45</v>
      </c>
      <c r="DX13" s="223" t="s">
        <v>38</v>
      </c>
      <c r="DY13" s="223" t="s">
        <v>38</v>
      </c>
      <c r="DZ13" s="361"/>
      <c r="EA13" s="244">
        <v>56</v>
      </c>
      <c r="EB13" s="244">
        <v>57</v>
      </c>
      <c r="EC13" s="244">
        <v>66</v>
      </c>
      <c r="ED13" s="244">
        <v>67</v>
      </c>
      <c r="EE13" s="244">
        <v>70</v>
      </c>
      <c r="EF13" s="223" t="s">
        <v>38</v>
      </c>
      <c r="EG13" s="223" t="s">
        <v>38</v>
      </c>
      <c r="EH13" s="244">
        <v>71</v>
      </c>
      <c r="EI13" s="244">
        <v>74</v>
      </c>
      <c r="EJ13" s="244">
        <v>75</v>
      </c>
      <c r="EK13" s="223" t="s">
        <v>38</v>
      </c>
      <c r="EL13" s="223" t="s">
        <v>38</v>
      </c>
      <c r="EM13" s="244">
        <v>86</v>
      </c>
      <c r="EN13" s="244">
        <v>87</v>
      </c>
      <c r="EO13" s="244">
        <v>116</v>
      </c>
      <c r="EP13" s="244">
        <v>125</v>
      </c>
      <c r="EQ13" s="244">
        <v>126</v>
      </c>
      <c r="ER13" s="244">
        <v>130</v>
      </c>
      <c r="ES13" s="244">
        <v>135</v>
      </c>
      <c r="ET13" s="223" t="s">
        <v>38</v>
      </c>
      <c r="EU13" s="244">
        <v>167</v>
      </c>
      <c r="EV13" s="244">
        <v>185</v>
      </c>
      <c r="EX13" s="173" t="s">
        <v>49</v>
      </c>
      <c r="EY13" s="173">
        <v>26</v>
      </c>
      <c r="EZ13" s="173">
        <v>34</v>
      </c>
      <c r="FA13" s="173" t="s">
        <v>38</v>
      </c>
      <c r="FB13" s="173">
        <v>40</v>
      </c>
      <c r="FC13" s="173">
        <v>45</v>
      </c>
      <c r="FD13" s="173" t="s">
        <v>38</v>
      </c>
      <c r="FE13" s="173">
        <v>50</v>
      </c>
      <c r="FF13" s="173">
        <v>51</v>
      </c>
      <c r="FG13" s="173">
        <v>52</v>
      </c>
      <c r="FH13" s="173">
        <v>54</v>
      </c>
      <c r="FI13" s="173">
        <v>69</v>
      </c>
      <c r="FJ13" s="173">
        <v>75</v>
      </c>
      <c r="FK13" s="173">
        <v>76</v>
      </c>
      <c r="FL13" s="173">
        <v>129</v>
      </c>
      <c r="FM13" s="173">
        <v>160</v>
      </c>
      <c r="FN13" s="173">
        <v>175</v>
      </c>
      <c r="FO13" s="173">
        <v>187</v>
      </c>
      <c r="GM13" s="357"/>
      <c r="GQ13" s="244">
        <v>3</v>
      </c>
      <c r="GR13" s="244">
        <v>9</v>
      </c>
      <c r="GS13" s="244">
        <v>13</v>
      </c>
      <c r="GT13" s="244">
        <v>14</v>
      </c>
      <c r="GU13" s="244">
        <v>23</v>
      </c>
      <c r="GV13" s="244">
        <v>26</v>
      </c>
      <c r="GW13" s="244">
        <v>30</v>
      </c>
      <c r="GX13" s="244">
        <v>37</v>
      </c>
      <c r="GY13" s="244">
        <v>38</v>
      </c>
      <c r="GZ13" s="223">
        <v>40</v>
      </c>
      <c r="HA13" s="223" t="s">
        <v>38</v>
      </c>
      <c r="HB13" s="223" t="s">
        <v>38</v>
      </c>
      <c r="HC13" s="244">
        <v>45</v>
      </c>
      <c r="HD13" s="223" t="s">
        <v>38</v>
      </c>
      <c r="HE13" s="223" t="s">
        <v>38</v>
      </c>
      <c r="HF13" s="361"/>
      <c r="HG13" s="244">
        <v>56</v>
      </c>
      <c r="HH13" s="244">
        <v>57</v>
      </c>
      <c r="HI13" s="244">
        <v>66</v>
      </c>
      <c r="HJ13" s="244">
        <v>67</v>
      </c>
      <c r="HK13" s="244">
        <v>70</v>
      </c>
      <c r="HL13" s="223" t="s">
        <v>38</v>
      </c>
      <c r="HM13" s="223" t="s">
        <v>38</v>
      </c>
      <c r="HN13" s="244">
        <v>71</v>
      </c>
      <c r="HO13" s="244">
        <v>74</v>
      </c>
      <c r="HP13" s="244">
        <v>75</v>
      </c>
      <c r="HQ13" s="223" t="s">
        <v>38</v>
      </c>
      <c r="HR13" s="223" t="s">
        <v>38</v>
      </c>
      <c r="HS13" s="244">
        <v>86</v>
      </c>
      <c r="HT13" s="244">
        <v>87</v>
      </c>
      <c r="HU13" s="244">
        <v>116</v>
      </c>
      <c r="HV13" s="244">
        <v>125</v>
      </c>
      <c r="HW13" s="244">
        <v>126</v>
      </c>
      <c r="HX13" s="244">
        <v>130</v>
      </c>
      <c r="HY13" s="244">
        <v>135</v>
      </c>
      <c r="HZ13" s="223" t="s">
        <v>38</v>
      </c>
      <c r="IA13" s="244">
        <v>167</v>
      </c>
      <c r="IB13" s="244">
        <v>185</v>
      </c>
      <c r="ID13" s="173" t="s">
        <v>49</v>
      </c>
      <c r="IE13" s="173">
        <v>26</v>
      </c>
      <c r="IF13" s="173">
        <v>34</v>
      </c>
      <c r="IG13" s="173" t="s">
        <v>38</v>
      </c>
      <c r="IH13" s="173">
        <v>40</v>
      </c>
      <c r="II13" s="173">
        <v>45</v>
      </c>
      <c r="IJ13" s="173" t="s">
        <v>38</v>
      </c>
      <c r="IK13" s="173">
        <v>50</v>
      </c>
      <c r="IL13" s="173">
        <v>51</v>
      </c>
      <c r="IM13" s="173">
        <v>52</v>
      </c>
      <c r="IN13" s="173">
        <v>54</v>
      </c>
      <c r="IO13" s="173">
        <v>69</v>
      </c>
      <c r="IP13" s="173">
        <v>75</v>
      </c>
      <c r="IQ13" s="173">
        <v>76</v>
      </c>
      <c r="IR13" s="173">
        <v>129</v>
      </c>
      <c r="IS13" s="173">
        <v>160</v>
      </c>
      <c r="IT13" s="173">
        <v>175</v>
      </c>
      <c r="IU13" s="173">
        <v>187</v>
      </c>
      <c r="JN13" s="357"/>
      <c r="JO13" s="307"/>
      <c r="JR13" s="285">
        <v>15000</v>
      </c>
      <c r="JS13" s="227" t="s">
        <v>39</v>
      </c>
      <c r="JT13" s="246" t="s">
        <v>40</v>
      </c>
      <c r="JU13" s="246" t="s">
        <v>40</v>
      </c>
      <c r="JV13" s="227" t="s">
        <v>39</v>
      </c>
      <c r="JW13" s="316"/>
      <c r="JX13" s="227" t="s">
        <v>39</v>
      </c>
      <c r="JY13" s="227" t="s">
        <v>39</v>
      </c>
      <c r="JZ13" s="227" t="s">
        <v>41</v>
      </c>
      <c r="KA13" s="316"/>
      <c r="KB13" s="316"/>
      <c r="KC13" s="227" t="s">
        <v>41</v>
      </c>
      <c r="KD13" s="227" t="s">
        <v>42</v>
      </c>
      <c r="KE13" s="227" t="s">
        <v>42</v>
      </c>
      <c r="KF13" s="227" t="s">
        <v>42</v>
      </c>
      <c r="KG13" s="227" t="s">
        <v>39</v>
      </c>
      <c r="KH13" s="316"/>
      <c r="KI13" s="227" t="s">
        <v>39</v>
      </c>
      <c r="KJ13" s="316"/>
      <c r="KK13" s="227" t="s">
        <v>39</v>
      </c>
      <c r="KL13" s="227" t="s">
        <v>42</v>
      </c>
      <c r="KM13" s="227" t="s">
        <v>39</v>
      </c>
      <c r="KN13" s="227" t="s">
        <v>39</v>
      </c>
      <c r="KO13" s="227" t="s">
        <v>39</v>
      </c>
      <c r="KR13" s="317"/>
      <c r="KS13" s="227" t="s">
        <v>40</v>
      </c>
      <c r="KT13" s="227" t="s">
        <v>40</v>
      </c>
      <c r="KU13" s="227" t="s">
        <v>41</v>
      </c>
      <c r="KV13" s="227" t="s">
        <v>40</v>
      </c>
      <c r="KW13" s="267" t="s">
        <v>38</v>
      </c>
      <c r="KX13" s="227" t="s">
        <v>40</v>
      </c>
      <c r="KY13" s="227" t="s">
        <v>39</v>
      </c>
      <c r="KZ13" s="227" t="s">
        <v>40</v>
      </c>
      <c r="LA13" s="227" t="s">
        <v>39</v>
      </c>
      <c r="LB13" s="227" t="s">
        <v>39</v>
      </c>
      <c r="LC13" s="227" t="s">
        <v>39</v>
      </c>
      <c r="LD13" s="227" t="s">
        <v>39</v>
      </c>
      <c r="LE13" s="227" t="s">
        <v>39</v>
      </c>
      <c r="LF13" s="227" t="s">
        <v>39</v>
      </c>
      <c r="LG13" s="309"/>
      <c r="LH13" s="358">
        <f>+COUNTIF(KP14:KP44,"&gt;"&amp;JR13)</f>
        <v>0</v>
      </c>
      <c r="LX13" s="309"/>
      <c r="LY13" s="309"/>
      <c r="LZ13" s="227" t="s">
        <v>39</v>
      </c>
      <c r="MA13" s="246" t="s">
        <v>40</v>
      </c>
      <c r="MB13" s="246" t="s">
        <v>40</v>
      </c>
      <c r="MC13" s="227" t="s">
        <v>39</v>
      </c>
      <c r="MD13" s="316"/>
      <c r="ME13" s="227" t="s">
        <v>39</v>
      </c>
      <c r="MF13" s="227" t="s">
        <v>39</v>
      </c>
      <c r="MG13" s="227" t="s">
        <v>41</v>
      </c>
      <c r="MH13" s="316"/>
      <c r="MI13" s="316"/>
      <c r="MJ13" s="227" t="s">
        <v>41</v>
      </c>
      <c r="MK13" s="227" t="s">
        <v>42</v>
      </c>
      <c r="ML13" s="227" t="s">
        <v>42</v>
      </c>
      <c r="MM13" s="227" t="s">
        <v>42</v>
      </c>
      <c r="MN13" s="227" t="s">
        <v>39</v>
      </c>
      <c r="MO13" s="316"/>
      <c r="MP13" s="227" t="s">
        <v>39</v>
      </c>
      <c r="MQ13" s="316"/>
      <c r="MR13" s="227" t="s">
        <v>39</v>
      </c>
      <c r="MS13" s="227" t="s">
        <v>42</v>
      </c>
      <c r="MT13" s="227" t="s">
        <v>39</v>
      </c>
      <c r="MU13" s="227" t="s">
        <v>39</v>
      </c>
      <c r="MV13" s="227" t="s">
        <v>39</v>
      </c>
      <c r="MY13" s="227" t="s">
        <v>40</v>
      </c>
      <c r="MZ13" s="227" t="s">
        <v>40</v>
      </c>
      <c r="NA13" s="227" t="s">
        <v>41</v>
      </c>
      <c r="NB13" s="227" t="s">
        <v>40</v>
      </c>
      <c r="NC13" s="227" t="s">
        <v>38</v>
      </c>
      <c r="ND13" s="227" t="s">
        <v>40</v>
      </c>
      <c r="NE13" s="227" t="s">
        <v>39</v>
      </c>
      <c r="NF13" s="227" t="s">
        <v>40</v>
      </c>
      <c r="NG13" s="227" t="s">
        <v>39</v>
      </c>
      <c r="NH13" s="227" t="s">
        <v>39</v>
      </c>
      <c r="NI13" s="227" t="s">
        <v>39</v>
      </c>
      <c r="NJ13" s="227" t="s">
        <v>39</v>
      </c>
      <c r="NK13" s="227" t="s">
        <v>39</v>
      </c>
      <c r="NL13" s="227" t="s">
        <v>39</v>
      </c>
      <c r="NM13" s="227" t="s">
        <v>242</v>
      </c>
      <c r="NV13" s="357"/>
      <c r="NW13" s="152"/>
      <c r="NX13" s="227" t="s">
        <v>39</v>
      </c>
      <c r="NY13" s="246" t="s">
        <v>40</v>
      </c>
      <c r="NZ13" s="246" t="s">
        <v>40</v>
      </c>
      <c r="OA13" s="227" t="s">
        <v>39</v>
      </c>
      <c r="OB13" s="316"/>
      <c r="OC13" s="227" t="s">
        <v>39</v>
      </c>
      <c r="OD13" s="227" t="s">
        <v>39</v>
      </c>
      <c r="OE13" s="227" t="s">
        <v>41</v>
      </c>
      <c r="OF13" s="316"/>
      <c r="OG13" s="316"/>
      <c r="OH13" s="227" t="s">
        <v>41</v>
      </c>
      <c r="OI13" s="227" t="s">
        <v>42</v>
      </c>
      <c r="OJ13" s="227" t="s">
        <v>42</v>
      </c>
      <c r="OK13" s="227" t="s">
        <v>42</v>
      </c>
      <c r="OL13" s="227" t="s">
        <v>39</v>
      </c>
      <c r="OM13" s="316"/>
      <c r="ON13" s="227" t="s">
        <v>39</v>
      </c>
      <c r="OO13" s="316"/>
      <c r="OP13" s="227" t="s">
        <v>39</v>
      </c>
      <c r="OQ13" s="227" t="s">
        <v>42</v>
      </c>
      <c r="OR13" s="227" t="s">
        <v>39</v>
      </c>
      <c r="OS13" s="227" t="s">
        <v>39</v>
      </c>
      <c r="OT13" s="227" t="s">
        <v>39</v>
      </c>
      <c r="OW13" s="227" t="s">
        <v>40</v>
      </c>
      <c r="OX13" s="227" t="s">
        <v>40</v>
      </c>
      <c r="OY13" s="227" t="s">
        <v>41</v>
      </c>
      <c r="OZ13" s="227" t="s">
        <v>40</v>
      </c>
      <c r="PA13" s="227" t="s">
        <v>38</v>
      </c>
      <c r="PB13" s="227" t="s">
        <v>40</v>
      </c>
      <c r="PC13" s="227" t="s">
        <v>39</v>
      </c>
      <c r="PD13" s="227" t="s">
        <v>40</v>
      </c>
      <c r="PE13" s="227" t="s">
        <v>39</v>
      </c>
      <c r="PF13" s="227" t="s">
        <v>39</v>
      </c>
      <c r="PG13" s="227" t="s">
        <v>39</v>
      </c>
      <c r="PH13" s="227" t="s">
        <v>39</v>
      </c>
      <c r="PI13" s="227" t="s">
        <v>39</v>
      </c>
      <c r="PJ13" s="227" t="s">
        <v>39</v>
      </c>
      <c r="PM13"/>
      <c r="PN13"/>
      <c r="PO13"/>
      <c r="PP13"/>
      <c r="PQ13"/>
      <c r="PR13"/>
      <c r="PS13"/>
      <c r="PT13"/>
      <c r="QN13" s="357"/>
      <c r="QO13" s="285">
        <v>14000</v>
      </c>
      <c r="QQ13" s="246" t="s">
        <v>40</v>
      </c>
      <c r="QR13" s="246" t="s">
        <v>40</v>
      </c>
      <c r="QT13" s="246" t="s">
        <v>40</v>
      </c>
      <c r="QU13" s="246" t="s">
        <v>40</v>
      </c>
      <c r="QV13" s="246" t="s">
        <v>40</v>
      </c>
      <c r="QW13" s="229" t="s">
        <v>39</v>
      </c>
      <c r="QY13" s="229" t="s">
        <v>41</v>
      </c>
      <c r="QZ13" s="229" t="s">
        <v>41</v>
      </c>
      <c r="RA13" s="246" t="s">
        <v>40</v>
      </c>
      <c r="RB13" s="246"/>
      <c r="RC13" s="229" t="s">
        <v>41</v>
      </c>
      <c r="RD13" s="229" t="s">
        <v>39</v>
      </c>
      <c r="RE13" s="246" t="s">
        <v>40</v>
      </c>
      <c r="RF13" s="229" t="s">
        <v>41</v>
      </c>
      <c r="RG13" s="229" t="s">
        <v>39</v>
      </c>
      <c r="RJ13" s="229" t="s">
        <v>41</v>
      </c>
      <c r="RK13" s="227" t="s">
        <v>42</v>
      </c>
      <c r="RL13" s="227" t="s">
        <v>42</v>
      </c>
      <c r="RO13" s="312"/>
      <c r="RP13" s="227" t="s">
        <v>42</v>
      </c>
      <c r="RQ13" s="229" t="s">
        <v>39</v>
      </c>
      <c r="RR13" s="227" t="s">
        <v>42</v>
      </c>
      <c r="RS13" s="229" t="s">
        <v>39</v>
      </c>
      <c r="RT13" s="246"/>
      <c r="RU13" s="229" t="s">
        <v>39</v>
      </c>
      <c r="RV13" s="229" t="s">
        <v>39</v>
      </c>
      <c r="RW13" s="229" t="s">
        <v>41</v>
      </c>
      <c r="RY13" s="227" t="s">
        <v>42</v>
      </c>
      <c r="RZ13" s="227" t="s">
        <v>42</v>
      </c>
      <c r="SB13" s="229" t="s">
        <v>39</v>
      </c>
      <c r="SC13" s="229" t="s">
        <v>39</v>
      </c>
      <c r="SD13" s="227" t="s">
        <v>42</v>
      </c>
      <c r="SE13" s="227" t="s">
        <v>42</v>
      </c>
      <c r="SF13" s="229" t="s">
        <v>39</v>
      </c>
      <c r="SH13" s="227" t="s">
        <v>42</v>
      </c>
      <c r="SI13" s="227" t="s">
        <v>42</v>
      </c>
      <c r="SK13" s="152" t="s">
        <v>179</v>
      </c>
      <c r="SM13" s="362">
        <f>+MAX(QP54:SJ54)</f>
        <v>0</v>
      </c>
      <c r="TP13" s="357"/>
      <c r="TQ13" s="152"/>
      <c r="TR13" s="234"/>
      <c r="TS13" s="234" t="s">
        <v>40</v>
      </c>
      <c r="TT13" s="234" t="s">
        <v>40</v>
      </c>
      <c r="TU13" s="137"/>
      <c r="TV13" s="234" t="s">
        <v>40</v>
      </c>
      <c r="TW13" s="234" t="s">
        <v>40</v>
      </c>
      <c r="TX13" s="234" t="s">
        <v>40</v>
      </c>
      <c r="TY13" s="244" t="s">
        <v>39</v>
      </c>
      <c r="TZ13" s="234"/>
      <c r="UA13" s="244" t="s">
        <v>41</v>
      </c>
      <c r="UB13" s="244" t="s">
        <v>41</v>
      </c>
      <c r="UC13" s="234" t="s">
        <v>40</v>
      </c>
      <c r="UD13" s="234"/>
      <c r="UE13" s="244" t="s">
        <v>41</v>
      </c>
      <c r="UF13" s="244" t="s">
        <v>39</v>
      </c>
      <c r="UG13" s="234" t="s">
        <v>40</v>
      </c>
      <c r="UH13" s="244" t="s">
        <v>41</v>
      </c>
      <c r="UI13" s="244" t="s">
        <v>39</v>
      </c>
      <c r="UJ13" s="234"/>
      <c r="UK13" s="234"/>
      <c r="UL13" s="244" t="s">
        <v>41</v>
      </c>
      <c r="UM13" s="173" t="s">
        <v>42</v>
      </c>
      <c r="UN13" s="173" t="s">
        <v>42</v>
      </c>
      <c r="UO13" s="234"/>
      <c r="UP13" s="187"/>
      <c r="UQ13" s="187"/>
      <c r="UR13" s="173" t="s">
        <v>42</v>
      </c>
      <c r="US13" s="244" t="s">
        <v>39</v>
      </c>
      <c r="UT13" s="173" t="s">
        <v>42</v>
      </c>
      <c r="UU13" s="244" t="s">
        <v>39</v>
      </c>
      <c r="UV13" s="234"/>
      <c r="UW13" s="244" t="s">
        <v>39</v>
      </c>
      <c r="UX13" s="244" t="s">
        <v>39</v>
      </c>
      <c r="UY13" s="244" t="s">
        <v>41</v>
      </c>
      <c r="UZ13" s="234"/>
      <c r="VA13" s="173" t="s">
        <v>42</v>
      </c>
      <c r="VB13" s="173" t="s">
        <v>42</v>
      </c>
      <c r="VC13" s="234"/>
      <c r="VD13" s="244" t="s">
        <v>39</v>
      </c>
      <c r="VE13" s="244" t="s">
        <v>39</v>
      </c>
      <c r="VF13" s="173" t="s">
        <v>42</v>
      </c>
      <c r="VG13" s="173" t="s">
        <v>42</v>
      </c>
      <c r="VH13" s="244" t="s">
        <v>39</v>
      </c>
      <c r="VI13" s="234"/>
      <c r="VJ13" s="173" t="s">
        <v>42</v>
      </c>
      <c r="VK13" s="173" t="s">
        <v>42</v>
      </c>
      <c r="WR13" s="357"/>
      <c r="WS13" s="152"/>
      <c r="WT13" s="234"/>
      <c r="WU13" s="234" t="s">
        <v>40</v>
      </c>
      <c r="WV13" s="234" t="s">
        <v>40</v>
      </c>
      <c r="WW13" s="137"/>
      <c r="WX13" s="234" t="s">
        <v>40</v>
      </c>
      <c r="WY13" s="234" t="s">
        <v>40</v>
      </c>
      <c r="WZ13" s="234" t="s">
        <v>40</v>
      </c>
      <c r="XA13" s="244" t="s">
        <v>39</v>
      </c>
      <c r="XB13" s="234"/>
      <c r="XC13" s="244" t="s">
        <v>41</v>
      </c>
      <c r="XD13" s="244" t="s">
        <v>41</v>
      </c>
      <c r="XE13" s="234" t="s">
        <v>40</v>
      </c>
      <c r="XF13" s="234"/>
      <c r="XG13" s="244" t="s">
        <v>41</v>
      </c>
      <c r="XH13" s="244" t="s">
        <v>39</v>
      </c>
      <c r="XI13" s="234" t="s">
        <v>40</v>
      </c>
      <c r="XJ13" s="244" t="s">
        <v>41</v>
      </c>
      <c r="XK13" s="244" t="s">
        <v>39</v>
      </c>
      <c r="XL13" s="234"/>
      <c r="XM13" s="234"/>
      <c r="XN13" s="244" t="s">
        <v>41</v>
      </c>
      <c r="XO13" s="173" t="s">
        <v>42</v>
      </c>
      <c r="XP13" s="173" t="s">
        <v>42</v>
      </c>
      <c r="XQ13" s="234"/>
      <c r="XR13" s="187"/>
      <c r="XS13" s="187"/>
      <c r="XT13" s="173" t="s">
        <v>42</v>
      </c>
      <c r="XU13" s="244" t="s">
        <v>39</v>
      </c>
      <c r="XV13" s="173" t="s">
        <v>42</v>
      </c>
      <c r="XW13" s="244" t="s">
        <v>39</v>
      </c>
      <c r="XX13" s="234"/>
      <c r="XY13" s="244" t="s">
        <v>39</v>
      </c>
      <c r="XZ13" s="244" t="s">
        <v>39</v>
      </c>
      <c r="YA13" s="244" t="s">
        <v>41</v>
      </c>
      <c r="YB13" s="234"/>
      <c r="YC13" s="173" t="s">
        <v>42</v>
      </c>
      <c r="YD13" s="173" t="s">
        <v>42</v>
      </c>
      <c r="YE13" s="234"/>
      <c r="YF13" s="244" t="s">
        <v>39</v>
      </c>
      <c r="YG13" s="244" t="s">
        <v>39</v>
      </c>
      <c r="YH13" s="173" t="s">
        <v>42</v>
      </c>
      <c r="YI13" s="173" t="s">
        <v>42</v>
      </c>
      <c r="YJ13" s="244" t="s">
        <v>39</v>
      </c>
      <c r="YK13" s="234"/>
      <c r="YL13" s="173" t="s">
        <v>42</v>
      </c>
      <c r="YM13" s="173" t="s">
        <v>42</v>
      </c>
      <c r="AFZ13" s="307"/>
    </row>
    <row r="14" spans="1:859" s="306" customFormat="1" ht="21" thickTop="1" x14ac:dyDescent="0.5">
      <c r="A14" s="70">
        <v>5</v>
      </c>
      <c r="B14" s="305"/>
      <c r="C14" s="45" t="s">
        <v>84</v>
      </c>
      <c r="D14" s="45" t="s">
        <v>85</v>
      </c>
      <c r="E14" s="305"/>
      <c r="F14" s="128">
        <v>44.168487767411705</v>
      </c>
      <c r="X14" s="355"/>
      <c r="AA14" s="52" t="s">
        <v>50</v>
      </c>
      <c r="AB14" s="305" t="s">
        <v>0</v>
      </c>
      <c r="AC14" s="183" t="s">
        <v>1</v>
      </c>
      <c r="AD14" s="147" t="s">
        <v>2</v>
      </c>
      <c r="AE14" s="132" t="s">
        <v>3</v>
      </c>
      <c r="AF14" s="203" t="s">
        <v>4</v>
      </c>
      <c r="AG14" s="258" t="s">
        <v>5</v>
      </c>
      <c r="AH14" s="196" t="s">
        <v>6</v>
      </c>
      <c r="AI14" s="229" t="s">
        <v>43</v>
      </c>
      <c r="AJ14" s="318" t="s">
        <v>43</v>
      </c>
      <c r="AK14" s="215" t="s">
        <v>7</v>
      </c>
      <c r="AL14" s="245" t="s">
        <v>8</v>
      </c>
      <c r="AM14" s="181" t="s">
        <v>243</v>
      </c>
      <c r="AN14" s="318" t="s">
        <v>43</v>
      </c>
      <c r="AO14" s="183" t="s">
        <v>3</v>
      </c>
      <c r="AP14" s="229" t="s">
        <v>43</v>
      </c>
      <c r="AQ14" s="318" t="s">
        <v>43</v>
      </c>
      <c r="AR14" s="318" t="s">
        <v>43</v>
      </c>
      <c r="AS14" s="146" t="s">
        <v>9</v>
      </c>
      <c r="AT14" s="210" t="s">
        <v>10</v>
      </c>
      <c r="AU14" s="238" t="s">
        <v>11</v>
      </c>
      <c r="AV14" s="238" t="s">
        <v>12</v>
      </c>
      <c r="AW14" s="147" t="s">
        <v>5</v>
      </c>
      <c r="AX14" s="229" t="s">
        <v>43</v>
      </c>
      <c r="AY14" s="229" t="s">
        <v>43</v>
      </c>
      <c r="AZ14" s="318" t="s">
        <v>43</v>
      </c>
      <c r="BA14" s="318" t="s">
        <v>43</v>
      </c>
      <c r="BB14" s="318" t="s">
        <v>43</v>
      </c>
      <c r="BC14" s="174" t="s">
        <v>13</v>
      </c>
      <c r="BD14" s="224" t="s">
        <v>244</v>
      </c>
      <c r="BE14" s="318" t="s">
        <v>43</v>
      </c>
      <c r="BF14" s="318" t="s">
        <v>43</v>
      </c>
      <c r="BG14" s="253" t="s">
        <v>7</v>
      </c>
      <c r="BH14" s="318" t="s">
        <v>43</v>
      </c>
      <c r="BI14" s="183" t="s">
        <v>14</v>
      </c>
      <c r="BJ14" s="183" t="s">
        <v>5</v>
      </c>
      <c r="BK14" s="183" t="s">
        <v>11</v>
      </c>
      <c r="BL14" s="224" t="s">
        <v>245</v>
      </c>
      <c r="BM14" s="192" t="s">
        <v>5</v>
      </c>
      <c r="BN14" s="258" t="s">
        <v>15</v>
      </c>
      <c r="BO14" s="309"/>
      <c r="BP14" s="319">
        <f>+INDEX($F$48:$F$75,MATCH(CJ14,$A$48:$A$75,0))</f>
        <v>20995.351455408421</v>
      </c>
      <c r="BQ14" s="320" t="s">
        <v>58</v>
      </c>
      <c r="BR14" s="193" t="s">
        <v>8</v>
      </c>
      <c r="BS14" s="268" t="s">
        <v>15</v>
      </c>
      <c r="BT14" s="269" t="s">
        <v>20</v>
      </c>
      <c r="BU14" s="227" t="s">
        <v>43</v>
      </c>
      <c r="BV14" s="196" t="s">
        <v>20</v>
      </c>
      <c r="BW14" s="161" t="s">
        <v>46</v>
      </c>
      <c r="BX14" s="212" t="s">
        <v>47</v>
      </c>
      <c r="BY14" s="241" t="s">
        <v>48</v>
      </c>
      <c r="BZ14" s="177" t="s">
        <v>8</v>
      </c>
      <c r="CA14" s="227" t="s">
        <v>43</v>
      </c>
      <c r="CB14" s="227" t="s">
        <v>43</v>
      </c>
      <c r="CC14" s="193" t="s">
        <v>6</v>
      </c>
      <c r="CD14" s="143" t="s">
        <v>45</v>
      </c>
      <c r="CE14" s="193" t="s">
        <v>6</v>
      </c>
      <c r="CF14" s="208" t="s">
        <v>22</v>
      </c>
      <c r="CG14" s="193" t="s">
        <v>10</v>
      </c>
      <c r="CH14" s="193" t="s">
        <v>20</v>
      </c>
      <c r="CI14" s="193" t="s">
        <v>10</v>
      </c>
      <c r="CJ14" s="70">
        <v>39</v>
      </c>
      <c r="DG14" s="357"/>
      <c r="DI14" s="52" t="s">
        <v>50</v>
      </c>
      <c r="DJ14" s="305" t="s">
        <v>0</v>
      </c>
      <c r="DK14" s="363">
        <f t="shared" ref="DK14:DK41" si="0">+SUMPRODUCT((GQ$14:GQ$41=AC14)*($BP$14:$BP$41&lt;$AA$13))</f>
        <v>7</v>
      </c>
      <c r="DL14" s="363">
        <f t="shared" ref="DL14:DL41" si="1">+SUMPRODUCT((GR$14:GR$41=AD14)*($BP$14:$BP$41&lt;$AA$13))</f>
        <v>5</v>
      </c>
      <c r="DM14" s="363">
        <f t="shared" ref="DM14:DM41" si="2">+SUMPRODUCT((GS$14:GS$41=AE14)*($BP$14:$BP$41&lt;$AA$13))</f>
        <v>7</v>
      </c>
      <c r="DN14" s="363">
        <f t="shared" ref="DN14:DN41" si="3">+SUMPRODUCT((GT$14:GT$41=AF14)*($BP$14:$BP$41&lt;$AA$13))</f>
        <v>5</v>
      </c>
      <c r="DO14" s="363">
        <f t="shared" ref="DO14:DO41" si="4">+SUMPRODUCT((GU$14:GU$41=AG14)*($BP$14:$BP$41&lt;$AA$13))</f>
        <v>7</v>
      </c>
      <c r="DP14" s="363">
        <f t="shared" ref="DP14:DP41" si="5">+SUMPRODUCT((GV$14:GV$41=AH14)*($BP$14:$BP$41&lt;$AA$13))</f>
        <v>5</v>
      </c>
      <c r="DQ14" s="363">
        <f t="shared" ref="DQ14:DQ41" si="6">+SUMPRODUCT((GW$14:GW$41=AI14)*($BP$14:$BP$41&lt;$AA$13))</f>
        <v>0</v>
      </c>
      <c r="DR14" s="363">
        <f t="shared" ref="DR14:DR41" si="7">+SUMPRODUCT((GX$14:GX$41=AJ14)*($BP$14:$BP$41&lt;$AA$13))</f>
        <v>0</v>
      </c>
      <c r="DS14" s="363">
        <f t="shared" ref="DS14:DS41" si="8">+SUMPRODUCT((GY$14:GY$41=AK14)*($BP$14:$BP$41&lt;$AA$13))</f>
        <v>2</v>
      </c>
      <c r="DT14" s="363">
        <f t="shared" ref="DT14:DT41" si="9">+SUMPRODUCT((GZ$14:GZ$41=AL14)*($BP$14:$BP$41&lt;$AA$13))</f>
        <v>2</v>
      </c>
      <c r="DU14" s="363">
        <f t="shared" ref="DU14:DU41" si="10">+SUMPRODUCT((HA$14:HA$41=AM14)*($BP$14:$BP$41&lt;$AA$13))</f>
        <v>0</v>
      </c>
      <c r="DV14" s="363">
        <f t="shared" ref="DV14:DV41" si="11">+SUMPRODUCT((HB$14:HB$41=AN14)*($BP$14:$BP$41&lt;$AA$13))</f>
        <v>0</v>
      </c>
      <c r="DW14" s="363">
        <f t="shared" ref="DW14:DW41" si="12">+SUMPRODUCT((HC$14:HC$41=AO14)*($BP$14:$BP$41&lt;$AA$13))</f>
        <v>7</v>
      </c>
      <c r="DX14" s="363">
        <f t="shared" ref="DX14:DX41" si="13">+SUMPRODUCT((HD$14:HD$41=AP14)*($BP$14:$BP$41&lt;$AA$13))</f>
        <v>0</v>
      </c>
      <c r="DY14" s="363">
        <f t="shared" ref="DY14:DY41" si="14">+SUMPRODUCT((HE$14:HE$41=AQ14)*($BP$14:$BP$41&lt;$AA$13))</f>
        <v>0</v>
      </c>
      <c r="DZ14" s="363">
        <f t="shared" ref="DZ14:DZ41" si="15">+SUMPRODUCT((HF$14:HF$41=AR14)*($BP$14:$BP$41&lt;$AA$13))</f>
        <v>4</v>
      </c>
      <c r="EA14" s="363">
        <f t="shared" ref="EA14:EA41" si="16">+SUMPRODUCT((HG$14:HG$41=AS14)*($BP$14:$BP$41&lt;$AA$13))</f>
        <v>7</v>
      </c>
      <c r="EB14" s="363">
        <f t="shared" ref="EB14:EB41" si="17">+SUMPRODUCT((HH$14:HH$41=AT14)*($BP$14:$BP$41&lt;$AA$13))</f>
        <v>0</v>
      </c>
      <c r="EC14" s="363">
        <f t="shared" ref="EC14:EC41" si="18">+SUMPRODUCT((HI$14:HI$41=AU14)*($BP$14:$BP$41&lt;$AA$13))</f>
        <v>0</v>
      </c>
      <c r="ED14" s="363">
        <f t="shared" ref="ED14:ED41" si="19">+SUMPRODUCT((HJ$14:HJ$41=AV14)*($BP$14:$BP$41&lt;$AA$13))</f>
        <v>0</v>
      </c>
      <c r="EE14" s="363">
        <f t="shared" ref="EE14:EE41" si="20">+SUMPRODUCT((HK$14:HK$41=AW14)*($BP$14:$BP$41&lt;$AA$13))</f>
        <v>2</v>
      </c>
      <c r="EF14" s="363">
        <f t="shared" ref="EF14:EF41" si="21">+SUMPRODUCT((HL$14:HL$41=AX14)*($BP$14:$BP$41&lt;$AA$13))</f>
        <v>5</v>
      </c>
      <c r="EG14" s="363">
        <f t="shared" ref="EG14:EG41" si="22">+SUMPRODUCT((HM$14:HM$41=AY14)*($BP$14:$BP$41&lt;$AA$13))</f>
        <v>5</v>
      </c>
      <c r="EH14" s="363">
        <f t="shared" ref="EH14:EH41" si="23">+SUMPRODUCT((HN$14:HN$41=AZ14)*($BP$14:$BP$41&lt;$AA$13))</f>
        <v>2</v>
      </c>
      <c r="EI14" s="363">
        <f t="shared" ref="EI14:EI41" si="24">+SUMPRODUCT((HO$14:HO$41=BA14)*($BP$14:$BP$41&lt;$AA$13))</f>
        <v>2</v>
      </c>
      <c r="EJ14" s="363">
        <f t="shared" ref="EJ14:EJ41" si="25">+SUMPRODUCT((HP$14:HP$41=BB14)*($BP$14:$BP$41&lt;$AA$13))</f>
        <v>0</v>
      </c>
      <c r="EK14" s="363">
        <f t="shared" ref="EK14:EK41" si="26">+SUMPRODUCT((HQ$14:HQ$41=BC14)*($BP$14:$BP$41&lt;$AA$13))</f>
        <v>2</v>
      </c>
      <c r="EL14" s="363">
        <f t="shared" ref="EL14:EL41" si="27">+SUMPRODUCT((HR$14:HR$41=BD14)*($BP$14:$BP$41&lt;$AA$13))</f>
        <v>0</v>
      </c>
      <c r="EM14" s="363">
        <f t="shared" ref="EM14:EM41" si="28">+SUMPRODUCT((HS$14:HS$41=BE14)*($BP$14:$BP$41&lt;$AA$13))</f>
        <v>0</v>
      </c>
      <c r="EN14" s="363">
        <f t="shared" ref="EN14:EN41" si="29">+SUMPRODUCT((HT$14:HT$41=BF14)*($BP$14:$BP$41&lt;$AA$13))</f>
        <v>3</v>
      </c>
      <c r="EO14" s="363">
        <f t="shared" ref="EO14:EO41" si="30">+SUMPRODUCT((HU$14:HU$41=BG14)*($BP$14:$BP$41&lt;$AA$13))</f>
        <v>5</v>
      </c>
      <c r="EP14" s="363">
        <f t="shared" ref="EP14:EP41" si="31">+SUMPRODUCT((HV$14:HV$41=BH14)*($BP$14:$BP$41&lt;$AA$13))</f>
        <v>2</v>
      </c>
      <c r="EQ14" s="363">
        <f t="shared" ref="EQ14:EQ41" si="32">+SUMPRODUCT((HW$14:HW$41=BI14)*($BP$14:$BP$41&lt;$AA$13))</f>
        <v>6</v>
      </c>
      <c r="ER14" s="363">
        <f t="shared" ref="ER14:ER41" si="33">+SUMPRODUCT((HX$14:HX$41=BJ14)*($BP$14:$BP$41&lt;$AA$13))</f>
        <v>5</v>
      </c>
      <c r="ES14" s="363">
        <f t="shared" ref="ES14:ES41" si="34">+SUMPRODUCT((HY$14:HY$41=BK14)*($BP$14:$BP$41&lt;$AA$13))</f>
        <v>7</v>
      </c>
      <c r="ET14" s="363">
        <f t="shared" ref="ET14:ET41" si="35">+SUMPRODUCT((HZ$14:HZ$41=BL14)*($BP$14:$BP$41&lt;$AA$13))</f>
        <v>7</v>
      </c>
      <c r="EU14" s="363">
        <f t="shared" ref="EU14:EU41" si="36">+SUMPRODUCT((IA$14:IA$41=BM14)*($BP$14:$BP$41&lt;$AA$13))</f>
        <v>7</v>
      </c>
      <c r="EV14" s="363">
        <f t="shared" ref="EV14:EV41" si="37">+SUMPRODUCT((IB$14:IB$41=BN14)*($BP$14:$BP$41&lt;$AA$13))</f>
        <v>7</v>
      </c>
      <c r="EW14" s="364" t="s">
        <v>58</v>
      </c>
      <c r="EX14" s="363">
        <f t="shared" ref="EX14:EX41" si="38">+SUMPRODUCT((ID$14:ID$41=BR14)*($BP$14:$BP$41&lt;$AA$13))</f>
        <v>1</v>
      </c>
      <c r="EY14" s="363">
        <f t="shared" ref="EY14:EY41" si="39">+SUMPRODUCT((IE$14:IE$41=BS14)*($BP$14:$BP$41&lt;$AA$13))</f>
        <v>7</v>
      </c>
      <c r="EZ14" s="363">
        <f t="shared" ref="EZ14:EZ41" si="40">+SUMPRODUCT((IF$14:IF$41=BT14)*($BP$14:$BP$41&lt;$AA$13))</f>
        <v>2</v>
      </c>
      <c r="FA14" s="363">
        <f t="shared" ref="FA14:FA41" si="41">+SUMPRODUCT((IG$14:IG$41=BU14)*($BP$14:$BP$41&lt;$AA$13))</f>
        <v>7</v>
      </c>
      <c r="FB14" s="363">
        <f t="shared" ref="FB14:FB41" si="42">+SUMPRODUCT((IH$14:IH$41=BV14)*($BP$14:$BP$41&lt;$AA$13))</f>
        <v>7</v>
      </c>
      <c r="FC14" s="363">
        <f t="shared" ref="FC14:FC41" si="43">+SUMPRODUCT((II$14:II$41=BW14)*($BP$14:$BP$41&lt;$AA$13))</f>
        <v>0</v>
      </c>
      <c r="FD14" s="363">
        <f t="shared" ref="FD14:FD41" si="44">+SUMPRODUCT((IJ$14:IJ$41=BX14)*($BP$14:$BP$41&lt;$AA$13))</f>
        <v>0</v>
      </c>
      <c r="FE14" s="363">
        <f t="shared" ref="FE14:FE41" si="45">+SUMPRODUCT((IK$14:IK$41=BY14)*($BP$14:$BP$41&lt;$AA$13))</f>
        <v>0</v>
      </c>
      <c r="FF14" s="363">
        <f t="shared" ref="FF14:FF41" si="46">+SUMPRODUCT((IL$14:IL$41=BZ14)*($BP$14:$BP$41&lt;$AA$13))</f>
        <v>7</v>
      </c>
      <c r="FG14" s="363">
        <f t="shared" ref="FG14:FG41" si="47">+SUMPRODUCT((IM$14:IM$41=CA14)*($BP$14:$BP$41&lt;$AA$13))</f>
        <v>7</v>
      </c>
      <c r="FH14" s="363">
        <f t="shared" ref="FH14:FH41" si="48">+SUMPRODUCT((IN$14:IN$41=CB14)*($BP$14:$BP$41&lt;$AA$13))</f>
        <v>0</v>
      </c>
      <c r="FI14" s="363">
        <f t="shared" ref="FI14:FI41" si="49">+SUMPRODUCT((IO$14:IO$41=CC14)*($BP$14:$BP$41&lt;$AA$13))</f>
        <v>0</v>
      </c>
      <c r="FJ14" s="363">
        <f t="shared" ref="FJ14:FJ41" si="50">+SUMPRODUCT((IP$14:IP$41=CD14)*($BP$14:$BP$41&lt;$AA$13))</f>
        <v>7</v>
      </c>
      <c r="FK14" s="363">
        <f t="shared" ref="FK14:FK41" si="51">+SUMPRODUCT((IQ$14:IQ$41=CE14)*($BP$14:$BP$41&lt;$AA$13))</f>
        <v>0</v>
      </c>
      <c r="FL14" s="363">
        <f t="shared" ref="FL14:FL41" si="52">+SUMPRODUCT((IR$14:IR$41=CF14)*($BP$14:$BP$41&lt;$AA$13))</f>
        <v>1</v>
      </c>
      <c r="FM14" s="363">
        <f t="shared" ref="FM14:FM41" si="53">+SUMPRODUCT((IS$14:IS$41=CG14)*($BP$14:$BP$41&lt;$AA$13))</f>
        <v>7</v>
      </c>
      <c r="FN14" s="363">
        <f t="shared" ref="FN14:FN41" si="54">+SUMPRODUCT((IT$14:IT$41=CH14)*($BP$14:$BP$41&lt;$AA$13))</f>
        <v>0</v>
      </c>
      <c r="FO14" s="363">
        <f t="shared" ref="FO14:FO41" si="55">+SUMPRODUCT((IU$14:IU$41=CI14)*($BP$14:$BP$41&lt;$AA$13))</f>
        <v>7</v>
      </c>
      <c r="FP14" s="363">
        <f>+COUNTIF(DK14:EV14,0)</f>
        <v>12</v>
      </c>
      <c r="FQ14" s="363">
        <f>+COUNTIF(EX14:FO14,0)</f>
        <v>7</v>
      </c>
      <c r="FR14" s="309">
        <f>+FP14+FQ14</f>
        <v>19</v>
      </c>
      <c r="GM14" s="357"/>
      <c r="GO14" s="52" t="s">
        <v>50</v>
      </c>
      <c r="GP14" s="305" t="s">
        <v>0</v>
      </c>
      <c r="GQ14" s="244" t="s">
        <v>1</v>
      </c>
      <c r="GR14" s="244" t="s">
        <v>2</v>
      </c>
      <c r="GS14" s="244" t="s">
        <v>3</v>
      </c>
      <c r="GT14" s="244" t="s">
        <v>4</v>
      </c>
      <c r="GU14" s="244" t="s">
        <v>5</v>
      </c>
      <c r="GV14" s="244" t="s">
        <v>6</v>
      </c>
      <c r="GW14" s="244" t="s">
        <v>43</v>
      </c>
      <c r="GX14" s="318" t="s">
        <v>43</v>
      </c>
      <c r="GY14" s="244" t="s">
        <v>7</v>
      </c>
      <c r="GZ14" s="223" t="s">
        <v>8</v>
      </c>
      <c r="HA14" s="365" t="s">
        <v>317</v>
      </c>
      <c r="HB14" s="318" t="s">
        <v>43</v>
      </c>
      <c r="HC14" s="244" t="s">
        <v>3</v>
      </c>
      <c r="HD14" s="244" t="s">
        <v>43</v>
      </c>
      <c r="HE14" s="318" t="s">
        <v>43</v>
      </c>
      <c r="HF14" s="318" t="s">
        <v>43</v>
      </c>
      <c r="HG14" s="244" t="s">
        <v>9</v>
      </c>
      <c r="HH14" s="244" t="s">
        <v>10</v>
      </c>
      <c r="HI14" s="244" t="s">
        <v>11</v>
      </c>
      <c r="HJ14" s="244" t="s">
        <v>12</v>
      </c>
      <c r="HK14" s="244" t="s">
        <v>5</v>
      </c>
      <c r="HL14" s="244" t="s">
        <v>43</v>
      </c>
      <c r="HM14" s="244" t="s">
        <v>43</v>
      </c>
      <c r="HN14" s="318" t="s">
        <v>43</v>
      </c>
      <c r="HO14" s="318" t="s">
        <v>43</v>
      </c>
      <c r="HP14" s="318" t="s">
        <v>43</v>
      </c>
      <c r="HQ14" s="366" t="s">
        <v>13</v>
      </c>
      <c r="HR14" s="366" t="s">
        <v>318</v>
      </c>
      <c r="HS14" s="318" t="s">
        <v>43</v>
      </c>
      <c r="HT14" s="318" t="s">
        <v>43</v>
      </c>
      <c r="HU14" s="244" t="s">
        <v>7</v>
      </c>
      <c r="HV14" s="318" t="s">
        <v>43</v>
      </c>
      <c r="HW14" s="244" t="s">
        <v>14</v>
      </c>
      <c r="HX14" s="244" t="s">
        <v>5</v>
      </c>
      <c r="HY14" s="244" t="s">
        <v>11</v>
      </c>
      <c r="HZ14" s="366" t="s">
        <v>319</v>
      </c>
      <c r="IA14" s="244" t="s">
        <v>5</v>
      </c>
      <c r="IB14" s="244" t="s">
        <v>15</v>
      </c>
      <c r="IC14" s="364" t="s">
        <v>58</v>
      </c>
      <c r="ID14" s="173" t="s">
        <v>8</v>
      </c>
      <c r="IE14" s="173" t="s">
        <v>15</v>
      </c>
      <c r="IF14" s="173" t="s">
        <v>20</v>
      </c>
      <c r="IG14" s="173" t="s">
        <v>43</v>
      </c>
      <c r="IH14" s="244" t="s">
        <v>20</v>
      </c>
      <c r="II14" s="173" t="s">
        <v>46</v>
      </c>
      <c r="IJ14" s="367" t="s">
        <v>47</v>
      </c>
      <c r="IK14" s="368" t="s">
        <v>48</v>
      </c>
      <c r="IL14" s="173" t="s">
        <v>8</v>
      </c>
      <c r="IM14" s="173" t="s">
        <v>43</v>
      </c>
      <c r="IN14" s="173" t="s">
        <v>43</v>
      </c>
      <c r="IO14" s="173" t="s">
        <v>6</v>
      </c>
      <c r="IP14" s="173" t="s">
        <v>45</v>
      </c>
      <c r="IQ14" s="173" t="s">
        <v>6</v>
      </c>
      <c r="IR14" s="173" t="s">
        <v>22</v>
      </c>
      <c r="IS14" s="173" t="s">
        <v>10</v>
      </c>
      <c r="IT14" s="173" t="s">
        <v>20</v>
      </c>
      <c r="IU14" s="173" t="s">
        <v>10</v>
      </c>
      <c r="JN14" s="357"/>
      <c r="JO14" s="369">
        <v>67</v>
      </c>
      <c r="JP14" s="305" t="s">
        <v>135</v>
      </c>
      <c r="JQ14" s="321" t="s">
        <v>136</v>
      </c>
      <c r="JR14" s="67" t="s">
        <v>137</v>
      </c>
      <c r="JS14" s="159" t="s">
        <v>7</v>
      </c>
      <c r="JT14" s="159" t="s">
        <v>2</v>
      </c>
      <c r="JU14" s="205" t="s">
        <v>3</v>
      </c>
      <c r="JV14" s="155" t="s">
        <v>20</v>
      </c>
      <c r="JW14" s="149" t="s">
        <v>43</v>
      </c>
      <c r="JX14" s="182" t="s">
        <v>2</v>
      </c>
      <c r="JY14" s="155" t="s">
        <v>10</v>
      </c>
      <c r="JZ14" s="254" t="s">
        <v>2</v>
      </c>
      <c r="KA14" s="126" t="s">
        <v>184</v>
      </c>
      <c r="KB14" s="129" t="s">
        <v>43</v>
      </c>
      <c r="KC14" s="172" t="s">
        <v>10</v>
      </c>
      <c r="KD14" s="163" t="s">
        <v>20</v>
      </c>
      <c r="KE14" s="182" t="s">
        <v>12</v>
      </c>
      <c r="KF14" s="230" t="s">
        <v>185</v>
      </c>
      <c r="KG14" s="114" t="s">
        <v>7</v>
      </c>
      <c r="KH14" s="118" t="s">
        <v>186</v>
      </c>
      <c r="KI14" s="246" t="s">
        <v>43</v>
      </c>
      <c r="KJ14" s="190" t="s">
        <v>187</v>
      </c>
      <c r="KK14" s="246" t="s">
        <v>43</v>
      </c>
      <c r="KL14" s="159" t="s">
        <v>12</v>
      </c>
      <c r="KM14" s="159" t="s">
        <v>14</v>
      </c>
      <c r="KN14" s="182" t="s">
        <v>6</v>
      </c>
      <c r="KO14" s="159" t="s">
        <v>14</v>
      </c>
      <c r="KP14" s="322">
        <f>+INDEX($F$12:$F$106,MATCH(JO14,$A$12:$A$106,0))</f>
        <v>170.67307872433921</v>
      </c>
      <c r="KR14" s="323" t="s">
        <v>135</v>
      </c>
      <c r="KS14" s="159" t="s">
        <v>10</v>
      </c>
      <c r="KT14" s="170" t="s">
        <v>9</v>
      </c>
      <c r="KU14" s="221" t="s">
        <v>20</v>
      </c>
      <c r="KV14" s="166" t="s">
        <v>4</v>
      </c>
      <c r="KW14" s="204" t="s">
        <v>193</v>
      </c>
      <c r="KX14" s="240" t="s">
        <v>6</v>
      </c>
      <c r="KY14" s="240" t="s">
        <v>15</v>
      </c>
      <c r="KZ14" s="240" t="s">
        <v>6</v>
      </c>
      <c r="LA14" s="158" t="s">
        <v>15</v>
      </c>
      <c r="LB14" s="166" t="s">
        <v>9</v>
      </c>
      <c r="LC14" s="159" t="s">
        <v>185</v>
      </c>
      <c r="LD14" s="159" t="s">
        <v>6</v>
      </c>
      <c r="LE14" s="159" t="s">
        <v>8</v>
      </c>
      <c r="LF14" s="166" t="s">
        <v>15</v>
      </c>
      <c r="LG14" s="113" t="s">
        <v>228</v>
      </c>
      <c r="LH14" s="358">
        <v>1</v>
      </c>
      <c r="LW14" s="369">
        <v>67</v>
      </c>
      <c r="LX14" s="317" t="s">
        <v>135</v>
      </c>
      <c r="LY14" s="370" t="s">
        <v>136</v>
      </c>
      <c r="LZ14" s="306">
        <f t="shared" ref="LZ14:MV14" si="56">+SUMPRODUCT((NX$14:NX$44=JS14)*($KP$14:$KP$44&lt;$JR$13))</f>
        <v>20</v>
      </c>
      <c r="MA14" s="306">
        <f t="shared" si="56"/>
        <v>3</v>
      </c>
      <c r="MB14" s="306">
        <f t="shared" si="56"/>
        <v>16</v>
      </c>
      <c r="MC14" s="306">
        <f t="shared" si="56"/>
        <v>28</v>
      </c>
      <c r="MD14" s="306">
        <f t="shared" si="56"/>
        <v>13</v>
      </c>
      <c r="ME14" s="306">
        <f t="shared" si="56"/>
        <v>7</v>
      </c>
      <c r="MF14" s="306">
        <f t="shared" si="56"/>
        <v>11</v>
      </c>
      <c r="MG14" s="306">
        <f t="shared" si="56"/>
        <v>7</v>
      </c>
      <c r="MH14" s="306">
        <f t="shared" si="56"/>
        <v>12</v>
      </c>
      <c r="MI14" s="306">
        <f t="shared" si="56"/>
        <v>12</v>
      </c>
      <c r="MJ14" s="306">
        <f t="shared" si="56"/>
        <v>9</v>
      </c>
      <c r="MK14" s="306">
        <f t="shared" si="56"/>
        <v>21</v>
      </c>
      <c r="ML14" s="306">
        <f t="shared" si="56"/>
        <v>17</v>
      </c>
      <c r="MM14" s="306">
        <f t="shared" si="56"/>
        <v>18</v>
      </c>
      <c r="MN14" s="306">
        <f t="shared" si="56"/>
        <v>8</v>
      </c>
      <c r="MO14" s="306">
        <f t="shared" si="56"/>
        <v>19</v>
      </c>
      <c r="MP14" s="306">
        <f t="shared" si="56"/>
        <v>19</v>
      </c>
      <c r="MQ14" s="306">
        <f t="shared" si="56"/>
        <v>21</v>
      </c>
      <c r="MR14" s="306">
        <f t="shared" si="56"/>
        <v>22</v>
      </c>
      <c r="MS14" s="306">
        <f t="shared" si="56"/>
        <v>25</v>
      </c>
      <c r="MT14" s="306">
        <f t="shared" si="56"/>
        <v>26</v>
      </c>
      <c r="MU14" s="306">
        <f t="shared" si="56"/>
        <v>28</v>
      </c>
      <c r="MV14" s="306">
        <f t="shared" si="56"/>
        <v>2</v>
      </c>
      <c r="MY14" s="306">
        <f t="shared" ref="MY14:NM29" si="57">+SUMPRODUCT((OW$14:OW$44=KS14)*($KP$14:$KP$44&lt;$JR$13))</f>
        <v>25</v>
      </c>
      <c r="MZ14" s="306">
        <f t="shared" si="57"/>
        <v>29</v>
      </c>
      <c r="NA14" s="306">
        <f t="shared" si="57"/>
        <v>28</v>
      </c>
      <c r="NB14" s="306">
        <f t="shared" si="57"/>
        <v>17</v>
      </c>
      <c r="NC14" s="306">
        <f t="shared" si="57"/>
        <v>16</v>
      </c>
      <c r="ND14" s="306">
        <f t="shared" si="57"/>
        <v>28</v>
      </c>
      <c r="NE14" s="306">
        <f t="shared" si="57"/>
        <v>29</v>
      </c>
      <c r="NF14" s="306">
        <f t="shared" si="57"/>
        <v>29</v>
      </c>
      <c r="NG14" s="306">
        <f t="shared" si="57"/>
        <v>13</v>
      </c>
      <c r="NH14" s="306">
        <f t="shared" si="57"/>
        <v>26</v>
      </c>
      <c r="NI14" s="306">
        <f t="shared" si="57"/>
        <v>14</v>
      </c>
      <c r="NJ14" s="306">
        <f t="shared" si="57"/>
        <v>13</v>
      </c>
      <c r="NK14" s="306">
        <f t="shared" si="57"/>
        <v>11</v>
      </c>
      <c r="NL14" s="306">
        <f t="shared" si="57"/>
        <v>26</v>
      </c>
      <c r="NM14" s="306">
        <f t="shared" si="57"/>
        <v>15</v>
      </c>
      <c r="NN14" s="306">
        <f>+COUNTIF(LZ14:MV14,0)</f>
        <v>0</v>
      </c>
      <c r="NO14" s="306">
        <f>+COUNTIF(MY14:NM14,0)</f>
        <v>0</v>
      </c>
      <c r="NU14" s="370" t="s">
        <v>136</v>
      </c>
      <c r="NV14" s="357"/>
      <c r="NX14" s="159" t="s">
        <v>7</v>
      </c>
      <c r="NY14" s="159" t="s">
        <v>2</v>
      </c>
      <c r="NZ14" s="159" t="s">
        <v>3</v>
      </c>
      <c r="OA14" s="246" t="s">
        <v>20</v>
      </c>
      <c r="OB14" s="149" t="s">
        <v>43</v>
      </c>
      <c r="OC14" s="159" t="s">
        <v>2</v>
      </c>
      <c r="OD14" s="159" t="s">
        <v>10</v>
      </c>
      <c r="OE14" s="159" t="s">
        <v>2</v>
      </c>
      <c r="OF14" s="371" t="s">
        <v>184</v>
      </c>
      <c r="OG14" s="129" t="s">
        <v>43</v>
      </c>
      <c r="OH14" s="246" t="s">
        <v>10</v>
      </c>
      <c r="OI14" s="246" t="s">
        <v>20</v>
      </c>
      <c r="OJ14" s="159" t="s">
        <v>12</v>
      </c>
      <c r="OK14" s="159" t="s">
        <v>185</v>
      </c>
      <c r="OL14" s="246" t="s">
        <v>7</v>
      </c>
      <c r="OM14" s="372" t="s">
        <v>186</v>
      </c>
      <c r="ON14" s="246" t="s">
        <v>43</v>
      </c>
      <c r="OO14" s="225" t="s">
        <v>187</v>
      </c>
      <c r="OP14" s="246" t="s">
        <v>43</v>
      </c>
      <c r="OQ14" s="246" t="s">
        <v>12</v>
      </c>
      <c r="OR14" s="159" t="s">
        <v>14</v>
      </c>
      <c r="OS14" s="159" t="s">
        <v>6</v>
      </c>
      <c r="OT14" s="246" t="s">
        <v>14</v>
      </c>
      <c r="OV14" s="370" t="s">
        <v>135</v>
      </c>
      <c r="OW14" s="246" t="s">
        <v>10</v>
      </c>
      <c r="OX14" s="246" t="s">
        <v>9</v>
      </c>
      <c r="OY14" s="159" t="s">
        <v>20</v>
      </c>
      <c r="OZ14" s="159" t="s">
        <v>4</v>
      </c>
      <c r="PA14" s="225" t="s">
        <v>193</v>
      </c>
      <c r="PB14" s="246" t="s">
        <v>6</v>
      </c>
      <c r="PC14" s="246" t="s">
        <v>15</v>
      </c>
      <c r="PD14" s="246" t="s">
        <v>6</v>
      </c>
      <c r="PE14" s="246" t="s">
        <v>15</v>
      </c>
      <c r="PF14" s="246" t="s">
        <v>9</v>
      </c>
      <c r="PG14" s="246" t="s">
        <v>185</v>
      </c>
      <c r="PH14" s="246" t="s">
        <v>6</v>
      </c>
      <c r="PI14" s="246" t="s">
        <v>8</v>
      </c>
      <c r="PJ14" s="246" t="s">
        <v>15</v>
      </c>
      <c r="PK14" s="373" t="s">
        <v>228</v>
      </c>
      <c r="PM14"/>
      <c r="PN14"/>
      <c r="PO14"/>
      <c r="PP14"/>
      <c r="PQ14"/>
      <c r="PR14"/>
      <c r="PS14"/>
      <c r="PT14"/>
      <c r="QN14" s="357"/>
      <c r="QO14" s="65" t="s">
        <v>81</v>
      </c>
      <c r="QP14" s="204" t="s">
        <v>195</v>
      </c>
      <c r="QQ14" s="230" t="s">
        <v>196</v>
      </c>
      <c r="QR14" s="166" t="s">
        <v>14</v>
      </c>
      <c r="QS14" s="216" t="s">
        <v>197</v>
      </c>
      <c r="QT14" s="155" t="s">
        <v>6</v>
      </c>
      <c r="QU14" s="182" t="s">
        <v>185</v>
      </c>
      <c r="QV14" s="312" t="s">
        <v>43</v>
      </c>
      <c r="QW14" s="131" t="s">
        <v>22</v>
      </c>
      <c r="QX14" s="216" t="s">
        <v>198</v>
      </c>
      <c r="QY14" s="155" t="s">
        <v>6</v>
      </c>
      <c r="QZ14" s="230" t="s">
        <v>20</v>
      </c>
      <c r="RA14" s="159" t="s">
        <v>199</v>
      </c>
      <c r="RB14" s="246" t="s">
        <v>43</v>
      </c>
      <c r="RC14" s="125" t="s">
        <v>12</v>
      </c>
      <c r="RD14" s="199" t="s">
        <v>2</v>
      </c>
      <c r="RE14" s="254" t="s">
        <v>1</v>
      </c>
      <c r="RF14" s="159" t="s">
        <v>7</v>
      </c>
      <c r="RG14" s="159" t="s">
        <v>8</v>
      </c>
      <c r="RH14" s="246" t="s">
        <v>43</v>
      </c>
      <c r="RI14" s="246" t="s">
        <v>43</v>
      </c>
      <c r="RJ14" s="125" t="s">
        <v>11</v>
      </c>
      <c r="RK14" s="182" t="s">
        <v>2</v>
      </c>
      <c r="RL14" s="131" t="s">
        <v>6</v>
      </c>
      <c r="RM14" s="246" t="s">
        <v>43</v>
      </c>
      <c r="RN14" s="324" t="s">
        <v>200</v>
      </c>
      <c r="RO14" s="124" t="s">
        <v>201</v>
      </c>
      <c r="RP14" s="182" t="s">
        <v>14</v>
      </c>
      <c r="RQ14" s="230" t="s">
        <v>5</v>
      </c>
      <c r="RR14" s="246" t="s">
        <v>43</v>
      </c>
      <c r="RS14" s="159" t="s">
        <v>10</v>
      </c>
      <c r="RT14" s="235" t="s">
        <v>21</v>
      </c>
      <c r="RU14" s="246" t="s">
        <v>43</v>
      </c>
      <c r="RV14" s="182" t="s">
        <v>7</v>
      </c>
      <c r="RW14" s="240" t="s">
        <v>3</v>
      </c>
      <c r="RX14" s="325" t="s">
        <v>202</v>
      </c>
      <c r="RY14" s="240" t="s">
        <v>20</v>
      </c>
      <c r="RZ14" s="159" t="s">
        <v>185</v>
      </c>
      <c r="SA14" s="246" t="s">
        <v>43</v>
      </c>
      <c r="SB14" s="221" t="s">
        <v>1</v>
      </c>
      <c r="SC14" s="176" t="s">
        <v>1</v>
      </c>
      <c r="SD14" s="182" t="s">
        <v>10</v>
      </c>
      <c r="SE14" s="159" t="s">
        <v>14</v>
      </c>
      <c r="SF14" s="176" t="s">
        <v>7</v>
      </c>
      <c r="SG14" s="246" t="s">
        <v>43</v>
      </c>
      <c r="SH14" s="254" t="s">
        <v>15</v>
      </c>
      <c r="SI14" s="131" t="s">
        <v>5</v>
      </c>
      <c r="SJ14" s="221" t="s">
        <v>261</v>
      </c>
      <c r="SK14" s="322">
        <f>+INDEX($F$12:$F$106,MATCH(QO14,$C$12:$C$106,0))</f>
        <v>0.87964613713729989</v>
      </c>
      <c r="SM14" s="362">
        <v>1</v>
      </c>
      <c r="SO14"/>
      <c r="SP14"/>
      <c r="TP14" s="357"/>
      <c r="TQ14" s="45" t="s">
        <v>81</v>
      </c>
      <c r="TR14" s="306">
        <f>+SUMPRODUCT((WT$14:WT$49=QP14)*($SK$14:$SK$49&lt;$QO$13))</f>
        <v>31</v>
      </c>
      <c r="TS14" s="306">
        <f t="shared" ref="TS14:VL14" si="58">+SUMPRODUCT((WU$14:WU$49=QQ14)*($SK$14:$SK$49&lt;$QO$13))</f>
        <v>9</v>
      </c>
      <c r="TT14" s="306">
        <f t="shared" si="58"/>
        <v>20</v>
      </c>
      <c r="TU14" s="306">
        <f t="shared" si="58"/>
        <v>6</v>
      </c>
      <c r="TV14" s="306">
        <f t="shared" si="58"/>
        <v>5</v>
      </c>
      <c r="TW14" s="306">
        <f t="shared" si="58"/>
        <v>24</v>
      </c>
      <c r="TX14" s="306">
        <f t="shared" si="58"/>
        <v>11</v>
      </c>
      <c r="TY14" s="306">
        <f t="shared" si="58"/>
        <v>33</v>
      </c>
      <c r="TZ14" s="306">
        <f t="shared" si="58"/>
        <v>33</v>
      </c>
      <c r="UA14" s="306">
        <f t="shared" si="58"/>
        <v>6</v>
      </c>
      <c r="UB14" s="306">
        <f t="shared" si="58"/>
        <v>11</v>
      </c>
      <c r="UC14" s="306">
        <f t="shared" si="58"/>
        <v>3</v>
      </c>
      <c r="UD14" s="306">
        <f t="shared" si="58"/>
        <v>27</v>
      </c>
      <c r="UE14" s="306">
        <f t="shared" si="58"/>
        <v>9</v>
      </c>
      <c r="UF14" s="306">
        <f t="shared" si="58"/>
        <v>24</v>
      </c>
      <c r="UG14" s="306">
        <f t="shared" si="58"/>
        <v>8</v>
      </c>
      <c r="UH14" s="306">
        <f t="shared" si="58"/>
        <v>28</v>
      </c>
      <c r="UI14" s="306">
        <f t="shared" si="58"/>
        <v>32</v>
      </c>
      <c r="UJ14" s="306">
        <f t="shared" si="58"/>
        <v>26</v>
      </c>
      <c r="UK14" s="306">
        <f t="shared" si="58"/>
        <v>31</v>
      </c>
      <c r="UL14" s="306">
        <f t="shared" si="58"/>
        <v>26</v>
      </c>
      <c r="UM14" s="306">
        <f t="shared" si="58"/>
        <v>28</v>
      </c>
      <c r="UN14" s="306">
        <f t="shared" si="58"/>
        <v>18</v>
      </c>
      <c r="UO14" s="306">
        <f t="shared" si="58"/>
        <v>23</v>
      </c>
      <c r="UP14" s="306">
        <f t="shared" si="58"/>
        <v>11</v>
      </c>
      <c r="UQ14" s="306">
        <f t="shared" si="58"/>
        <v>30</v>
      </c>
      <c r="UR14" s="306">
        <f t="shared" si="58"/>
        <v>16</v>
      </c>
      <c r="US14" s="306">
        <f t="shared" si="58"/>
        <v>22</v>
      </c>
      <c r="UT14" s="306">
        <f t="shared" si="58"/>
        <v>30</v>
      </c>
      <c r="UU14" s="306">
        <f t="shared" si="58"/>
        <v>22</v>
      </c>
      <c r="UV14" s="306">
        <f t="shared" si="58"/>
        <v>31</v>
      </c>
      <c r="UW14" s="306">
        <f t="shared" si="58"/>
        <v>33</v>
      </c>
      <c r="UX14" s="306">
        <f t="shared" si="58"/>
        <v>32</v>
      </c>
      <c r="UY14" s="306">
        <f t="shared" si="58"/>
        <v>19</v>
      </c>
      <c r="UZ14" s="306">
        <f t="shared" si="58"/>
        <v>5</v>
      </c>
      <c r="VA14" s="306">
        <f t="shared" si="58"/>
        <v>5</v>
      </c>
      <c r="VB14" s="306">
        <f t="shared" si="58"/>
        <v>25</v>
      </c>
      <c r="VC14" s="306">
        <f t="shared" si="58"/>
        <v>18</v>
      </c>
      <c r="VD14" s="306">
        <f t="shared" si="58"/>
        <v>23</v>
      </c>
      <c r="VE14" s="306">
        <f t="shared" si="58"/>
        <v>26</v>
      </c>
      <c r="VF14" s="306">
        <f t="shared" si="58"/>
        <v>17</v>
      </c>
      <c r="VG14" s="306">
        <f t="shared" si="58"/>
        <v>23</v>
      </c>
      <c r="VH14" s="306">
        <f t="shared" si="58"/>
        <v>29</v>
      </c>
      <c r="VI14" s="306">
        <f t="shared" si="58"/>
        <v>28</v>
      </c>
      <c r="VJ14" s="306">
        <f t="shared" si="58"/>
        <v>30</v>
      </c>
      <c r="VK14" s="306">
        <f t="shared" si="58"/>
        <v>32</v>
      </c>
      <c r="VL14" s="306">
        <f t="shared" si="58"/>
        <v>25</v>
      </c>
      <c r="VN14" s="306">
        <f>+COUNTIF(TR14:VL14,0)</f>
        <v>0</v>
      </c>
      <c r="WR14" s="357"/>
      <c r="WS14" s="45" t="s">
        <v>81</v>
      </c>
      <c r="WT14" s="225" t="s">
        <v>195</v>
      </c>
      <c r="WU14" s="246" t="s">
        <v>196</v>
      </c>
      <c r="WV14" s="246" t="s">
        <v>14</v>
      </c>
      <c r="WW14" s="225" t="s">
        <v>197</v>
      </c>
      <c r="WX14" s="246" t="s">
        <v>6</v>
      </c>
      <c r="WY14" s="246" t="s">
        <v>185</v>
      </c>
      <c r="WZ14" s="312" t="s">
        <v>43</v>
      </c>
      <c r="XA14" s="246" t="s">
        <v>22</v>
      </c>
      <c r="XB14" s="225" t="s">
        <v>198</v>
      </c>
      <c r="XC14" s="159" t="s">
        <v>6</v>
      </c>
      <c r="XD14" s="159" t="s">
        <v>20</v>
      </c>
      <c r="XE14" s="159" t="s">
        <v>199</v>
      </c>
      <c r="XF14" s="246" t="s">
        <v>43</v>
      </c>
      <c r="XG14" s="159" t="s">
        <v>12</v>
      </c>
      <c r="XH14" s="159" t="s">
        <v>2</v>
      </c>
      <c r="XI14" s="159" t="s">
        <v>1</v>
      </c>
      <c r="XJ14" s="159" t="s">
        <v>7</v>
      </c>
      <c r="XK14" s="246" t="s">
        <v>8</v>
      </c>
      <c r="XL14" s="246" t="s">
        <v>43</v>
      </c>
      <c r="XM14" s="246" t="s">
        <v>43</v>
      </c>
      <c r="XN14" s="159" t="s">
        <v>11</v>
      </c>
      <c r="XO14" s="159" t="s">
        <v>2</v>
      </c>
      <c r="XP14" s="246" t="s">
        <v>6</v>
      </c>
      <c r="XQ14" s="246" t="s">
        <v>43</v>
      </c>
      <c r="XR14" s="326" t="s">
        <v>200</v>
      </c>
      <c r="XS14" s="225" t="s">
        <v>201</v>
      </c>
      <c r="XT14" s="159" t="s">
        <v>14</v>
      </c>
      <c r="XU14" s="159" t="s">
        <v>5</v>
      </c>
      <c r="XV14" s="159" t="s">
        <v>43</v>
      </c>
      <c r="XW14" s="159" t="s">
        <v>10</v>
      </c>
      <c r="XX14" s="225" t="s">
        <v>21</v>
      </c>
      <c r="XY14" s="246" t="s">
        <v>43</v>
      </c>
      <c r="XZ14" s="240" t="s">
        <v>7</v>
      </c>
      <c r="YA14" s="240" t="s">
        <v>3</v>
      </c>
      <c r="YB14" s="327" t="s">
        <v>202</v>
      </c>
      <c r="YC14" s="246" t="s">
        <v>20</v>
      </c>
      <c r="YD14" s="246" t="s">
        <v>185</v>
      </c>
      <c r="YE14" s="246" t="s">
        <v>43</v>
      </c>
      <c r="YF14" s="246" t="s">
        <v>1</v>
      </c>
      <c r="YG14" s="246" t="s">
        <v>1</v>
      </c>
      <c r="YH14" s="246" t="s">
        <v>10</v>
      </c>
      <c r="YI14" s="246" t="s">
        <v>14</v>
      </c>
      <c r="YJ14" s="159" t="s">
        <v>7</v>
      </c>
      <c r="YK14" s="159" t="s">
        <v>43</v>
      </c>
      <c r="YL14" s="159" t="s">
        <v>15</v>
      </c>
      <c r="YM14" s="246" t="s">
        <v>5</v>
      </c>
      <c r="YN14" s="246" t="s">
        <v>261</v>
      </c>
      <c r="AFZ14" s="307"/>
    </row>
    <row r="15" spans="1:859" s="306" customFormat="1" ht="20.65" x14ac:dyDescent="0.7">
      <c r="A15" s="70">
        <v>6</v>
      </c>
      <c r="B15" s="305"/>
      <c r="C15" s="45" t="s">
        <v>86</v>
      </c>
      <c r="D15" s="45" t="s">
        <v>87</v>
      </c>
      <c r="E15" s="305"/>
      <c r="F15" s="128">
        <v>3257.172716405496</v>
      </c>
      <c r="X15" s="355"/>
      <c r="AA15" s="52" t="s">
        <v>50</v>
      </c>
      <c r="AB15" s="305" t="s">
        <v>0</v>
      </c>
      <c r="AC15" s="183" t="s">
        <v>1</v>
      </c>
      <c r="AD15" s="147" t="s">
        <v>2</v>
      </c>
      <c r="AE15" s="132" t="s">
        <v>3</v>
      </c>
      <c r="AF15" s="203" t="s">
        <v>4</v>
      </c>
      <c r="AG15" s="258" t="s">
        <v>5</v>
      </c>
      <c r="AH15" s="196" t="s">
        <v>6</v>
      </c>
      <c r="AI15" s="229" t="s">
        <v>43</v>
      </c>
      <c r="AJ15" s="318" t="s">
        <v>43</v>
      </c>
      <c r="AK15" s="215" t="s">
        <v>7</v>
      </c>
      <c r="AL15" s="245" t="s">
        <v>8</v>
      </c>
      <c r="AM15" s="181" t="s">
        <v>243</v>
      </c>
      <c r="AN15" s="318" t="s">
        <v>43</v>
      </c>
      <c r="AO15" s="183" t="s">
        <v>3</v>
      </c>
      <c r="AP15" s="229" t="s">
        <v>43</v>
      </c>
      <c r="AQ15" s="318" t="s">
        <v>43</v>
      </c>
      <c r="AR15" s="318" t="s">
        <v>43</v>
      </c>
      <c r="AS15" s="146" t="s">
        <v>9</v>
      </c>
      <c r="AT15" s="210" t="s">
        <v>10</v>
      </c>
      <c r="AU15" s="238" t="s">
        <v>11</v>
      </c>
      <c r="AV15" s="238" t="s">
        <v>12</v>
      </c>
      <c r="AW15" s="147" t="s">
        <v>5</v>
      </c>
      <c r="AX15" s="229" t="s">
        <v>43</v>
      </c>
      <c r="AY15" s="229" t="s">
        <v>43</v>
      </c>
      <c r="AZ15" s="318" t="s">
        <v>43</v>
      </c>
      <c r="BA15" s="318" t="s">
        <v>43</v>
      </c>
      <c r="BB15" s="318" t="s">
        <v>43</v>
      </c>
      <c r="BC15" s="174" t="s">
        <v>13</v>
      </c>
      <c r="BD15" s="224" t="s">
        <v>244</v>
      </c>
      <c r="BE15" s="318" t="s">
        <v>43</v>
      </c>
      <c r="BF15" s="318" t="s">
        <v>43</v>
      </c>
      <c r="BG15" s="253" t="s">
        <v>7</v>
      </c>
      <c r="BH15" s="318" t="s">
        <v>43</v>
      </c>
      <c r="BI15" s="183" t="s">
        <v>14</v>
      </c>
      <c r="BJ15" s="183" t="s">
        <v>5</v>
      </c>
      <c r="BK15" s="183" t="s">
        <v>11</v>
      </c>
      <c r="BL15" s="224" t="s">
        <v>245</v>
      </c>
      <c r="BM15" s="192" t="s">
        <v>5</v>
      </c>
      <c r="BN15" s="258" t="s">
        <v>15</v>
      </c>
      <c r="BO15" s="309"/>
      <c r="BP15" s="319">
        <f t="shared" ref="BP15:BP41" si="59">+INDEX($F$48:$F$75,MATCH(CJ15,$A$48:$A$75,0))</f>
        <v>22584.03091856368</v>
      </c>
      <c r="BQ15" s="320" t="s">
        <v>59</v>
      </c>
      <c r="BR15" s="143" t="s">
        <v>2</v>
      </c>
      <c r="BS15" s="227" t="s">
        <v>43</v>
      </c>
      <c r="BT15" s="269" t="s">
        <v>20</v>
      </c>
      <c r="BU15" s="227" t="s">
        <v>43</v>
      </c>
      <c r="BV15" s="196" t="s">
        <v>20</v>
      </c>
      <c r="BW15" s="161" t="s">
        <v>46</v>
      </c>
      <c r="BX15" s="235" t="s">
        <v>252</v>
      </c>
      <c r="BY15" s="241" t="s">
        <v>48</v>
      </c>
      <c r="BZ15" s="177" t="s">
        <v>8</v>
      </c>
      <c r="CA15" s="161" t="s">
        <v>5</v>
      </c>
      <c r="CB15" s="177" t="s">
        <v>8</v>
      </c>
      <c r="CC15" s="193" t="s">
        <v>6</v>
      </c>
      <c r="CD15" s="143" t="s">
        <v>45</v>
      </c>
      <c r="CE15" s="227" t="s">
        <v>43</v>
      </c>
      <c r="CF15" s="208" t="s">
        <v>22</v>
      </c>
      <c r="CG15" s="193" t="s">
        <v>10</v>
      </c>
      <c r="CH15" s="193" t="s">
        <v>20</v>
      </c>
      <c r="CI15" s="318" t="s">
        <v>43</v>
      </c>
      <c r="CJ15" s="70">
        <v>40</v>
      </c>
      <c r="DG15" s="357"/>
      <c r="DI15" s="52" t="s">
        <v>50</v>
      </c>
      <c r="DJ15" s="305" t="s">
        <v>0</v>
      </c>
      <c r="DK15" s="363">
        <f t="shared" si="0"/>
        <v>7</v>
      </c>
      <c r="DL15" s="363">
        <f t="shared" si="1"/>
        <v>5</v>
      </c>
      <c r="DM15" s="363">
        <f t="shared" si="2"/>
        <v>7</v>
      </c>
      <c r="DN15" s="363">
        <f t="shared" si="3"/>
        <v>5</v>
      </c>
      <c r="DO15" s="363">
        <f t="shared" si="4"/>
        <v>7</v>
      </c>
      <c r="DP15" s="363">
        <f t="shared" si="5"/>
        <v>5</v>
      </c>
      <c r="DQ15" s="363">
        <f t="shared" si="6"/>
        <v>0</v>
      </c>
      <c r="DR15" s="363">
        <f t="shared" si="7"/>
        <v>0</v>
      </c>
      <c r="DS15" s="363">
        <f t="shared" si="8"/>
        <v>2</v>
      </c>
      <c r="DT15" s="363">
        <f t="shared" si="9"/>
        <v>2</v>
      </c>
      <c r="DU15" s="363">
        <f t="shared" si="10"/>
        <v>0</v>
      </c>
      <c r="DV15" s="363">
        <f t="shared" si="11"/>
        <v>0</v>
      </c>
      <c r="DW15" s="363">
        <f t="shared" si="12"/>
        <v>7</v>
      </c>
      <c r="DX15" s="363">
        <f t="shared" si="13"/>
        <v>0</v>
      </c>
      <c r="DY15" s="363">
        <f t="shared" si="14"/>
        <v>0</v>
      </c>
      <c r="DZ15" s="363">
        <f t="shared" si="15"/>
        <v>4</v>
      </c>
      <c r="EA15" s="363">
        <f t="shared" si="16"/>
        <v>7</v>
      </c>
      <c r="EB15" s="363">
        <f t="shared" si="17"/>
        <v>0</v>
      </c>
      <c r="EC15" s="363">
        <f t="shared" si="18"/>
        <v>0</v>
      </c>
      <c r="ED15" s="363">
        <f t="shared" si="19"/>
        <v>0</v>
      </c>
      <c r="EE15" s="363">
        <f t="shared" si="20"/>
        <v>2</v>
      </c>
      <c r="EF15" s="363">
        <f t="shared" si="21"/>
        <v>5</v>
      </c>
      <c r="EG15" s="363">
        <f t="shared" si="22"/>
        <v>5</v>
      </c>
      <c r="EH15" s="363">
        <f t="shared" si="23"/>
        <v>2</v>
      </c>
      <c r="EI15" s="363">
        <f t="shared" si="24"/>
        <v>2</v>
      </c>
      <c r="EJ15" s="363">
        <f t="shared" si="25"/>
        <v>0</v>
      </c>
      <c r="EK15" s="363">
        <f t="shared" si="26"/>
        <v>2</v>
      </c>
      <c r="EL15" s="363">
        <f t="shared" si="27"/>
        <v>0</v>
      </c>
      <c r="EM15" s="363">
        <f t="shared" si="28"/>
        <v>0</v>
      </c>
      <c r="EN15" s="363">
        <f t="shared" si="29"/>
        <v>3</v>
      </c>
      <c r="EO15" s="363">
        <f t="shared" si="30"/>
        <v>5</v>
      </c>
      <c r="EP15" s="363">
        <f t="shared" si="31"/>
        <v>2</v>
      </c>
      <c r="EQ15" s="363">
        <f t="shared" si="32"/>
        <v>6</v>
      </c>
      <c r="ER15" s="363">
        <f t="shared" si="33"/>
        <v>5</v>
      </c>
      <c r="ES15" s="363">
        <f t="shared" si="34"/>
        <v>7</v>
      </c>
      <c r="ET15" s="363">
        <f t="shared" si="35"/>
        <v>7</v>
      </c>
      <c r="EU15" s="363">
        <f t="shared" si="36"/>
        <v>7</v>
      </c>
      <c r="EV15" s="363">
        <f t="shared" si="37"/>
        <v>7</v>
      </c>
      <c r="EW15" s="374" t="s">
        <v>59</v>
      </c>
      <c r="EX15" s="363">
        <f t="shared" si="38"/>
        <v>6</v>
      </c>
      <c r="EY15" s="363">
        <f t="shared" si="39"/>
        <v>0</v>
      </c>
      <c r="EZ15" s="363">
        <f t="shared" si="40"/>
        <v>2</v>
      </c>
      <c r="FA15" s="363">
        <f t="shared" si="41"/>
        <v>7</v>
      </c>
      <c r="FB15" s="363">
        <f t="shared" si="42"/>
        <v>7</v>
      </c>
      <c r="FC15" s="363">
        <f t="shared" si="43"/>
        <v>0</v>
      </c>
      <c r="FD15" s="363">
        <f t="shared" si="44"/>
        <v>0</v>
      </c>
      <c r="FE15" s="363">
        <f t="shared" si="45"/>
        <v>0</v>
      </c>
      <c r="FF15" s="363">
        <f t="shared" si="46"/>
        <v>7</v>
      </c>
      <c r="FG15" s="363">
        <f t="shared" si="47"/>
        <v>0</v>
      </c>
      <c r="FH15" s="363">
        <f t="shared" si="48"/>
        <v>7</v>
      </c>
      <c r="FI15" s="363">
        <f t="shared" si="49"/>
        <v>0</v>
      </c>
      <c r="FJ15" s="363">
        <f t="shared" si="50"/>
        <v>7</v>
      </c>
      <c r="FK15" s="363">
        <f t="shared" si="51"/>
        <v>7</v>
      </c>
      <c r="FL15" s="363">
        <f t="shared" si="52"/>
        <v>1</v>
      </c>
      <c r="FM15" s="363">
        <f t="shared" si="53"/>
        <v>7</v>
      </c>
      <c r="FN15" s="363">
        <f t="shared" si="54"/>
        <v>0</v>
      </c>
      <c r="FO15" s="363">
        <f t="shared" si="55"/>
        <v>0</v>
      </c>
      <c r="FP15" s="363">
        <f t="shared" ref="FP15:FP41" si="60">+COUNTIF(DK15:EV15,0)</f>
        <v>12</v>
      </c>
      <c r="FQ15" s="363">
        <f t="shared" ref="FQ15:FQ41" si="61">+COUNTIF(EX15:FO15,0)</f>
        <v>8</v>
      </c>
      <c r="FR15" s="309">
        <f t="shared" ref="FR15:FR41" si="62">+FP15+FQ15</f>
        <v>20</v>
      </c>
      <c r="GM15" s="357"/>
      <c r="GO15" s="52" t="s">
        <v>50</v>
      </c>
      <c r="GP15" s="305" t="s">
        <v>0</v>
      </c>
      <c r="GQ15" s="244" t="s">
        <v>1</v>
      </c>
      <c r="GR15" s="244" t="s">
        <v>2</v>
      </c>
      <c r="GS15" s="244" t="s">
        <v>3</v>
      </c>
      <c r="GT15" s="244" t="s">
        <v>4</v>
      </c>
      <c r="GU15" s="244" t="s">
        <v>5</v>
      </c>
      <c r="GV15" s="244" t="s">
        <v>6</v>
      </c>
      <c r="GW15" s="244" t="s">
        <v>43</v>
      </c>
      <c r="GX15" s="318" t="s">
        <v>43</v>
      </c>
      <c r="GY15" s="244" t="s">
        <v>7</v>
      </c>
      <c r="GZ15" s="223" t="s">
        <v>8</v>
      </c>
      <c r="HA15" s="365" t="s">
        <v>317</v>
      </c>
      <c r="HB15" s="318" t="s">
        <v>43</v>
      </c>
      <c r="HC15" s="244" t="s">
        <v>3</v>
      </c>
      <c r="HD15" s="244" t="s">
        <v>43</v>
      </c>
      <c r="HE15" s="318" t="s">
        <v>43</v>
      </c>
      <c r="HF15" s="318" t="s">
        <v>43</v>
      </c>
      <c r="HG15" s="244" t="s">
        <v>9</v>
      </c>
      <c r="HH15" s="244" t="s">
        <v>10</v>
      </c>
      <c r="HI15" s="244" t="s">
        <v>11</v>
      </c>
      <c r="HJ15" s="244" t="s">
        <v>12</v>
      </c>
      <c r="HK15" s="244" t="s">
        <v>5</v>
      </c>
      <c r="HL15" s="244" t="s">
        <v>43</v>
      </c>
      <c r="HM15" s="244" t="s">
        <v>43</v>
      </c>
      <c r="HN15" s="318" t="s">
        <v>43</v>
      </c>
      <c r="HO15" s="318" t="s">
        <v>43</v>
      </c>
      <c r="HP15" s="318" t="s">
        <v>43</v>
      </c>
      <c r="HQ15" s="366" t="s">
        <v>13</v>
      </c>
      <c r="HR15" s="366" t="s">
        <v>318</v>
      </c>
      <c r="HS15" s="318" t="s">
        <v>43</v>
      </c>
      <c r="HT15" s="318" t="s">
        <v>43</v>
      </c>
      <c r="HU15" s="244" t="s">
        <v>7</v>
      </c>
      <c r="HV15" s="318" t="s">
        <v>43</v>
      </c>
      <c r="HW15" s="244" t="s">
        <v>14</v>
      </c>
      <c r="HX15" s="244" t="s">
        <v>5</v>
      </c>
      <c r="HY15" s="244" t="s">
        <v>11</v>
      </c>
      <c r="HZ15" s="366" t="s">
        <v>319</v>
      </c>
      <c r="IA15" s="244" t="s">
        <v>5</v>
      </c>
      <c r="IB15" s="244" t="s">
        <v>15</v>
      </c>
      <c r="IC15" s="374" t="s">
        <v>59</v>
      </c>
      <c r="ID15" s="173" t="s">
        <v>2</v>
      </c>
      <c r="IE15" s="173" t="s">
        <v>43</v>
      </c>
      <c r="IF15" s="173" t="s">
        <v>20</v>
      </c>
      <c r="IG15" s="173" t="s">
        <v>43</v>
      </c>
      <c r="IH15" s="244" t="s">
        <v>20</v>
      </c>
      <c r="II15" s="173" t="s">
        <v>46</v>
      </c>
      <c r="IJ15" s="367" t="s">
        <v>320</v>
      </c>
      <c r="IK15" s="368" t="s">
        <v>48</v>
      </c>
      <c r="IL15" s="173" t="s">
        <v>8</v>
      </c>
      <c r="IM15" s="173" t="s">
        <v>5</v>
      </c>
      <c r="IN15" s="173" t="s">
        <v>8</v>
      </c>
      <c r="IO15" s="173" t="s">
        <v>6</v>
      </c>
      <c r="IP15" s="173" t="s">
        <v>45</v>
      </c>
      <c r="IQ15" s="173" t="s">
        <v>43</v>
      </c>
      <c r="IR15" s="173" t="s">
        <v>22</v>
      </c>
      <c r="IS15" s="173" t="s">
        <v>10</v>
      </c>
      <c r="IT15" s="173" t="s">
        <v>20</v>
      </c>
      <c r="IU15" s="318" t="s">
        <v>43</v>
      </c>
      <c r="JN15" s="357"/>
      <c r="JO15" s="369">
        <v>68</v>
      </c>
      <c r="JP15" s="305" t="s">
        <v>138</v>
      </c>
      <c r="JQ15" s="328" t="s">
        <v>136</v>
      </c>
      <c r="JR15" s="67" t="s">
        <v>137</v>
      </c>
      <c r="JS15" s="159" t="s">
        <v>7</v>
      </c>
      <c r="JT15" s="159" t="s">
        <v>2</v>
      </c>
      <c r="JU15" s="205" t="s">
        <v>3</v>
      </c>
      <c r="JV15" s="155" t="s">
        <v>20</v>
      </c>
      <c r="JW15" s="149" t="s">
        <v>43</v>
      </c>
      <c r="JX15" s="182" t="s">
        <v>2</v>
      </c>
      <c r="JY15" s="155" t="s">
        <v>10</v>
      </c>
      <c r="JZ15" s="254" t="s">
        <v>2</v>
      </c>
      <c r="KA15" s="126" t="s">
        <v>184</v>
      </c>
      <c r="KB15" s="129" t="s">
        <v>43</v>
      </c>
      <c r="KC15" s="172" t="s">
        <v>10</v>
      </c>
      <c r="KD15" s="163" t="s">
        <v>20</v>
      </c>
      <c r="KE15" s="182" t="s">
        <v>12</v>
      </c>
      <c r="KF15" s="230" t="s">
        <v>185</v>
      </c>
      <c r="KG15" s="114" t="s">
        <v>7</v>
      </c>
      <c r="KH15" s="118" t="s">
        <v>186</v>
      </c>
      <c r="KI15" s="246" t="s">
        <v>43</v>
      </c>
      <c r="KJ15" s="190" t="s">
        <v>187</v>
      </c>
      <c r="KK15" s="246" t="s">
        <v>43</v>
      </c>
      <c r="KL15" s="159" t="s">
        <v>12</v>
      </c>
      <c r="KM15" s="159" t="s">
        <v>14</v>
      </c>
      <c r="KN15" s="182" t="s">
        <v>6</v>
      </c>
      <c r="KO15" s="159" t="s">
        <v>14</v>
      </c>
      <c r="KP15" s="322">
        <f t="shared" ref="KP15:KP44" si="63">+INDEX($F$12:$F$106,MATCH(JO15,$A$12:$A$106,0))</f>
        <v>230.9526516805802</v>
      </c>
      <c r="KR15" s="329" t="s">
        <v>138</v>
      </c>
      <c r="KS15" s="159" t="s">
        <v>10</v>
      </c>
      <c r="KT15" s="170" t="s">
        <v>9</v>
      </c>
      <c r="KU15" s="221" t="s">
        <v>20</v>
      </c>
      <c r="KV15" s="117" t="s">
        <v>14</v>
      </c>
      <c r="KW15" s="124" t="s">
        <v>194</v>
      </c>
      <c r="KX15" s="240" t="s">
        <v>6</v>
      </c>
      <c r="KY15" s="240" t="s">
        <v>15</v>
      </c>
      <c r="KZ15" s="240" t="s">
        <v>6</v>
      </c>
      <c r="LA15" s="155" t="s">
        <v>10</v>
      </c>
      <c r="LB15" s="166" t="s">
        <v>9</v>
      </c>
      <c r="LC15" s="117" t="s">
        <v>5</v>
      </c>
      <c r="LD15" s="159" t="s">
        <v>9</v>
      </c>
      <c r="LE15" s="155" t="s">
        <v>7</v>
      </c>
      <c r="LF15" s="166" t="s">
        <v>15</v>
      </c>
      <c r="LG15" s="123" t="s">
        <v>229</v>
      </c>
      <c r="LH15" s="358">
        <v>2</v>
      </c>
      <c r="LW15" s="369">
        <v>68</v>
      </c>
      <c r="LX15" s="317" t="s">
        <v>138</v>
      </c>
      <c r="LY15" s="370" t="s">
        <v>136</v>
      </c>
      <c r="LZ15" s="306">
        <f t="shared" ref="LZ15:LZ44" si="64">+SUMPRODUCT((NX$14:NX$44=JS15)*($KP$14:$KP$44&lt;$JR$13))</f>
        <v>20</v>
      </c>
      <c r="MA15" s="306">
        <f t="shared" ref="MA15:MA44" si="65">+SUMPRODUCT((NY$14:NY$44=JT15)*($KP$14:$KP$44&lt;$JR$13))</f>
        <v>3</v>
      </c>
      <c r="MB15" s="306">
        <f t="shared" ref="MB15:MB44" si="66">+SUMPRODUCT((NZ$14:NZ$44=JU15)*($KP$14:$KP$44&lt;$JR$13))</f>
        <v>16</v>
      </c>
      <c r="MC15" s="306">
        <f t="shared" ref="MC15:MC44" si="67">+SUMPRODUCT((OA$14:OA$44=JV15)*($KP$14:$KP$44&lt;$JR$13))</f>
        <v>28</v>
      </c>
      <c r="MD15" s="306">
        <f t="shared" ref="MD15:MD44" si="68">+SUMPRODUCT((OB$14:OB$44=JW15)*($KP$14:$KP$44&lt;$JR$13))</f>
        <v>13</v>
      </c>
      <c r="ME15" s="306">
        <f t="shared" ref="ME15:ME44" si="69">+SUMPRODUCT((OC$14:OC$44=JX15)*($KP$14:$KP$44&lt;$JR$13))</f>
        <v>7</v>
      </c>
      <c r="MF15" s="306">
        <f t="shared" ref="MF15:MF44" si="70">+SUMPRODUCT((OD$14:OD$44=JY15)*($KP$14:$KP$44&lt;$JR$13))</f>
        <v>11</v>
      </c>
      <c r="MG15" s="306">
        <f t="shared" ref="MG15:MG44" si="71">+SUMPRODUCT((OE$14:OE$44=JZ15)*($KP$14:$KP$44&lt;$JR$13))</f>
        <v>7</v>
      </c>
      <c r="MH15" s="306">
        <f t="shared" ref="MH15:MH44" si="72">+SUMPRODUCT((OF$14:OF$44=KA15)*($KP$14:$KP$44&lt;$JR$13))</f>
        <v>12</v>
      </c>
      <c r="MI15" s="306">
        <f t="shared" ref="MI15:MI44" si="73">+SUMPRODUCT((OG$14:OG$44=KB15)*($KP$14:$KP$44&lt;$JR$13))</f>
        <v>12</v>
      </c>
      <c r="MJ15" s="306">
        <f t="shared" ref="MJ15:MJ44" si="74">+SUMPRODUCT((OH$14:OH$44=KC15)*($KP$14:$KP$44&lt;$JR$13))</f>
        <v>9</v>
      </c>
      <c r="MK15" s="306">
        <f t="shared" ref="MK15:MK44" si="75">+SUMPRODUCT((OI$14:OI$44=KD15)*($KP$14:$KP$44&lt;$JR$13))</f>
        <v>21</v>
      </c>
      <c r="ML15" s="306">
        <f t="shared" ref="ML15:ML44" si="76">+SUMPRODUCT((OJ$14:OJ$44=KE15)*($KP$14:$KP$44&lt;$JR$13))</f>
        <v>17</v>
      </c>
      <c r="MM15" s="306">
        <f t="shared" ref="MM15:MM44" si="77">+SUMPRODUCT((OK$14:OK$44=KF15)*($KP$14:$KP$44&lt;$JR$13))</f>
        <v>18</v>
      </c>
      <c r="MN15" s="306">
        <f t="shared" ref="MN15:MN44" si="78">+SUMPRODUCT((OL$14:OL$44=KG15)*($KP$14:$KP$44&lt;$JR$13))</f>
        <v>8</v>
      </c>
      <c r="MO15" s="306">
        <f t="shared" ref="MO15:MO44" si="79">+SUMPRODUCT((OM$14:OM$44=KH15)*($KP$14:$KP$44&lt;$JR$13))</f>
        <v>19</v>
      </c>
      <c r="MP15" s="306">
        <f t="shared" ref="MP15:MP44" si="80">+SUMPRODUCT((ON$14:ON$44=KI15)*($KP$14:$KP$44&lt;$JR$13))</f>
        <v>19</v>
      </c>
      <c r="MQ15" s="306">
        <f t="shared" ref="MQ15:MQ44" si="81">+SUMPRODUCT((OO$14:OO$44=KJ15)*($KP$14:$KP$44&lt;$JR$13))</f>
        <v>21</v>
      </c>
      <c r="MR15" s="306">
        <f t="shared" ref="MR15:MR44" si="82">+SUMPRODUCT((OP$14:OP$44=KK15)*($KP$14:$KP$44&lt;$JR$13))</f>
        <v>22</v>
      </c>
      <c r="MS15" s="306">
        <f t="shared" ref="MS15:MS44" si="83">+SUMPRODUCT((OQ$14:OQ$44=KL15)*($KP$14:$KP$44&lt;$JR$13))</f>
        <v>25</v>
      </c>
      <c r="MT15" s="306">
        <f t="shared" ref="MT15:MT44" si="84">+SUMPRODUCT((OR$14:OR$44=KM15)*($KP$14:$KP$44&lt;$JR$13))</f>
        <v>26</v>
      </c>
      <c r="MU15" s="306">
        <f t="shared" ref="MU15:MU44" si="85">+SUMPRODUCT((OS$14:OS$44=KN15)*($KP$14:$KP$44&lt;$JR$13))</f>
        <v>28</v>
      </c>
      <c r="MV15" s="306">
        <f t="shared" ref="MV15:MV44" si="86">+SUMPRODUCT((OT$14:OT$44=KO15)*($KP$14:$KP$44&lt;$JR$13))</f>
        <v>2</v>
      </c>
      <c r="MY15" s="306">
        <f t="shared" ref="MY15:MY44" si="87">+SUMPRODUCT((OW$14:OW$44=KS15)*($KP$14:$KP$44&lt;$JR$13))</f>
        <v>25</v>
      </c>
      <c r="MZ15" s="306">
        <f t="shared" ref="MZ15:MZ44" si="88">+SUMPRODUCT((OX$14:OX$44=KT15)*($KP$14:$KP$44&lt;$JR$13))</f>
        <v>29</v>
      </c>
      <c r="NA15" s="306">
        <f t="shared" ref="NA15:NA44" si="89">+SUMPRODUCT((OY$14:OY$44=KU15)*($KP$14:$KP$44&lt;$JR$13))</f>
        <v>28</v>
      </c>
      <c r="NB15" s="306">
        <f t="shared" ref="NB15:NB44" si="90">+SUMPRODUCT((OZ$14:OZ$44=KV15)*($KP$14:$KP$44&lt;$JR$13))</f>
        <v>13</v>
      </c>
      <c r="NC15" s="306">
        <f t="shared" ref="NC15:NC44" si="91">+SUMPRODUCT((PA$14:PA$44=KW15)*($KP$14:$KP$44&lt;$JR$13))</f>
        <v>14</v>
      </c>
      <c r="ND15" s="306">
        <f t="shared" ref="ND15:ND44" si="92">+SUMPRODUCT((PB$14:PB$44=KX15)*($KP$14:$KP$44&lt;$JR$13))</f>
        <v>28</v>
      </c>
      <c r="NE15" s="306">
        <f t="shared" ref="NE15:NE44" si="93">+SUMPRODUCT((PC$14:PC$44=KY15)*($KP$14:$KP$44&lt;$JR$13))</f>
        <v>29</v>
      </c>
      <c r="NF15" s="306">
        <f t="shared" ref="NF15:NF44" si="94">+SUMPRODUCT((PD$14:PD$44=KZ15)*($KP$14:$KP$44&lt;$JR$13))</f>
        <v>29</v>
      </c>
      <c r="NG15" s="306">
        <f t="shared" ref="NG15:NG44" si="95">+SUMPRODUCT((PE$14:PE$44=LA15)*($KP$14:$KP$44&lt;$JR$13))</f>
        <v>17</v>
      </c>
      <c r="NH15" s="306">
        <f t="shared" ref="NH15:NH44" si="96">+SUMPRODUCT((PF$14:PF$44=LB15)*($KP$14:$KP$44&lt;$JR$13))</f>
        <v>26</v>
      </c>
      <c r="NI15" s="306">
        <f t="shared" ref="NI15:NI44" si="97">+SUMPRODUCT((PG$14:PG$44=LC15)*($KP$14:$KP$44&lt;$JR$13))</f>
        <v>13</v>
      </c>
      <c r="NJ15" s="306">
        <f t="shared" ref="NJ15:NJ44" si="98">+SUMPRODUCT((PH$14:PH$44=LD15)*($KP$14:$KP$44&lt;$JR$13))</f>
        <v>14</v>
      </c>
      <c r="NK15" s="306">
        <f t="shared" ref="NK15:NK44" si="99">+SUMPRODUCT((PI$14:PI$44=LE15)*($KP$14:$KP$44&lt;$JR$13))</f>
        <v>16</v>
      </c>
      <c r="NL15" s="306">
        <f t="shared" ref="NL15:NM44" si="100">+SUMPRODUCT((PJ$14:PJ$44=LF15)*($KP$14:$KP$44&lt;$JR$13))</f>
        <v>26</v>
      </c>
      <c r="NM15" s="306">
        <f t="shared" si="57"/>
        <v>10</v>
      </c>
      <c r="NN15" s="306">
        <f t="shared" ref="NN15:NN44" si="101">+COUNTIF(LZ15:MV15,0)</f>
        <v>0</v>
      </c>
      <c r="NO15" s="306">
        <f t="shared" ref="NO15:NO44" si="102">+COUNTIF(MY15:NM15,0)</f>
        <v>0</v>
      </c>
      <c r="NU15" s="370" t="s">
        <v>136</v>
      </c>
      <c r="NV15" s="357"/>
      <c r="NX15" s="159" t="s">
        <v>7</v>
      </c>
      <c r="NY15" s="159" t="s">
        <v>2</v>
      </c>
      <c r="NZ15" s="159" t="s">
        <v>3</v>
      </c>
      <c r="OA15" s="246" t="s">
        <v>20</v>
      </c>
      <c r="OB15" s="149" t="s">
        <v>43</v>
      </c>
      <c r="OC15" s="159" t="s">
        <v>2</v>
      </c>
      <c r="OD15" s="159" t="s">
        <v>10</v>
      </c>
      <c r="OE15" s="159" t="s">
        <v>2</v>
      </c>
      <c r="OF15" s="371" t="s">
        <v>184</v>
      </c>
      <c r="OG15" s="129" t="s">
        <v>43</v>
      </c>
      <c r="OH15" s="246" t="s">
        <v>10</v>
      </c>
      <c r="OI15" s="246" t="s">
        <v>20</v>
      </c>
      <c r="OJ15" s="159" t="s">
        <v>12</v>
      </c>
      <c r="OK15" s="159" t="s">
        <v>185</v>
      </c>
      <c r="OL15" s="246" t="s">
        <v>7</v>
      </c>
      <c r="OM15" s="372" t="s">
        <v>186</v>
      </c>
      <c r="ON15" s="246" t="s">
        <v>43</v>
      </c>
      <c r="OO15" s="225" t="s">
        <v>187</v>
      </c>
      <c r="OP15" s="246" t="s">
        <v>43</v>
      </c>
      <c r="OQ15" s="246" t="s">
        <v>12</v>
      </c>
      <c r="OR15" s="159" t="s">
        <v>14</v>
      </c>
      <c r="OS15" s="159" t="s">
        <v>6</v>
      </c>
      <c r="OT15" s="246" t="s">
        <v>14</v>
      </c>
      <c r="OV15" s="375" t="s">
        <v>138</v>
      </c>
      <c r="OW15" s="246" t="s">
        <v>10</v>
      </c>
      <c r="OX15" s="246" t="s">
        <v>9</v>
      </c>
      <c r="OY15" s="240" t="s">
        <v>20</v>
      </c>
      <c r="OZ15" s="240" t="s">
        <v>14</v>
      </c>
      <c r="PA15" s="225" t="s">
        <v>194</v>
      </c>
      <c r="PB15" s="246" t="s">
        <v>6</v>
      </c>
      <c r="PC15" s="246" t="s">
        <v>15</v>
      </c>
      <c r="PD15" s="246" t="s">
        <v>6</v>
      </c>
      <c r="PE15" s="246" t="s">
        <v>10</v>
      </c>
      <c r="PF15" s="246" t="s">
        <v>9</v>
      </c>
      <c r="PG15" s="246" t="s">
        <v>5</v>
      </c>
      <c r="PH15" s="246" t="s">
        <v>9</v>
      </c>
      <c r="PI15" s="246" t="s">
        <v>7</v>
      </c>
      <c r="PJ15" s="246" t="s">
        <v>15</v>
      </c>
      <c r="PK15" s="376" t="s">
        <v>229</v>
      </c>
      <c r="PM15"/>
      <c r="PN15"/>
      <c r="PO15"/>
      <c r="PP15"/>
      <c r="PQ15"/>
      <c r="PR15"/>
      <c r="PS15"/>
      <c r="PT15"/>
      <c r="QN15" s="357"/>
      <c r="QO15" s="45" t="s">
        <v>83</v>
      </c>
      <c r="QP15" s="204" t="s">
        <v>195</v>
      </c>
      <c r="QQ15" s="230" t="s">
        <v>196</v>
      </c>
      <c r="QR15" s="166" t="s">
        <v>14</v>
      </c>
      <c r="QS15" s="216" t="s">
        <v>197</v>
      </c>
      <c r="QT15" s="155" t="s">
        <v>6</v>
      </c>
      <c r="QU15" s="182" t="s">
        <v>185</v>
      </c>
      <c r="QV15" s="312" t="s">
        <v>43</v>
      </c>
      <c r="QW15" s="131" t="s">
        <v>22</v>
      </c>
      <c r="QX15" s="216" t="s">
        <v>198</v>
      </c>
      <c r="QY15" s="155" t="s">
        <v>6</v>
      </c>
      <c r="QZ15" s="230" t="s">
        <v>20</v>
      </c>
      <c r="RA15" s="159" t="s">
        <v>199</v>
      </c>
      <c r="RB15" s="246" t="s">
        <v>43</v>
      </c>
      <c r="RC15" s="125" t="s">
        <v>12</v>
      </c>
      <c r="RD15" s="199" t="s">
        <v>2</v>
      </c>
      <c r="RE15" s="254" t="s">
        <v>1</v>
      </c>
      <c r="RF15" s="159" t="s">
        <v>7</v>
      </c>
      <c r="RG15" s="159" t="s">
        <v>8</v>
      </c>
      <c r="RH15" s="246" t="s">
        <v>43</v>
      </c>
      <c r="RI15" s="246" t="s">
        <v>43</v>
      </c>
      <c r="RJ15" s="125" t="s">
        <v>11</v>
      </c>
      <c r="RK15" s="182" t="s">
        <v>2</v>
      </c>
      <c r="RL15" s="131" t="s">
        <v>6</v>
      </c>
      <c r="RM15" s="246" t="s">
        <v>43</v>
      </c>
      <c r="RN15" s="324" t="s">
        <v>200</v>
      </c>
      <c r="RO15" s="124" t="s">
        <v>201</v>
      </c>
      <c r="RP15" s="182" t="s">
        <v>14</v>
      </c>
      <c r="RQ15" s="230" t="s">
        <v>5</v>
      </c>
      <c r="RR15" s="246" t="s">
        <v>43</v>
      </c>
      <c r="RS15" s="159" t="s">
        <v>10</v>
      </c>
      <c r="RT15" s="235" t="s">
        <v>21</v>
      </c>
      <c r="RU15" s="246" t="s">
        <v>43</v>
      </c>
      <c r="RV15" s="240" t="s">
        <v>10</v>
      </c>
      <c r="RW15" s="182" t="s">
        <v>7</v>
      </c>
      <c r="RX15" s="325" t="s">
        <v>202</v>
      </c>
      <c r="RY15" s="240" t="s">
        <v>20</v>
      </c>
      <c r="RZ15" s="159" t="s">
        <v>185</v>
      </c>
      <c r="SA15" s="246" t="s">
        <v>43</v>
      </c>
      <c r="SB15" s="221" t="s">
        <v>1</v>
      </c>
      <c r="SC15" s="176" t="s">
        <v>1</v>
      </c>
      <c r="SD15" s="182" t="s">
        <v>10</v>
      </c>
      <c r="SE15" s="159" t="s">
        <v>14</v>
      </c>
      <c r="SF15" s="176" t="s">
        <v>7</v>
      </c>
      <c r="SG15" s="246" t="s">
        <v>43</v>
      </c>
      <c r="SH15" s="254" t="s">
        <v>15</v>
      </c>
      <c r="SI15" s="131" t="s">
        <v>5</v>
      </c>
      <c r="SJ15" s="221" t="s">
        <v>261</v>
      </c>
      <c r="SK15" s="322">
        <f t="shared" ref="SK15:SK49" si="103">+INDEX($F$12:$F$106,MATCH(QO15,$C$12:$C$106,0))</f>
        <v>-1.9773825958784954</v>
      </c>
      <c r="SM15" s="362">
        <v>2</v>
      </c>
      <c r="SO15"/>
      <c r="SP15"/>
      <c r="TP15" s="357"/>
      <c r="TQ15" s="45" t="s">
        <v>83</v>
      </c>
      <c r="TR15" s="306">
        <f t="shared" ref="TR15:TR49" si="104">+SUMPRODUCT((WT$14:WT$49=QP15)*($SK$14:$SK$49&lt;$QO$13))</f>
        <v>31</v>
      </c>
      <c r="TS15" s="306">
        <f t="shared" ref="TS15:TS49" si="105">+SUMPRODUCT((WU$14:WU$49=QQ15)*($SK$14:$SK$49&lt;$QO$13))</f>
        <v>9</v>
      </c>
      <c r="TT15" s="306">
        <f t="shared" ref="TT15:TT49" si="106">+SUMPRODUCT((WV$14:WV$49=QR15)*($SK$14:$SK$49&lt;$QO$13))</f>
        <v>20</v>
      </c>
      <c r="TU15" s="306">
        <f t="shared" ref="TU15:TU49" si="107">+SUMPRODUCT((WW$14:WW$49=QS15)*($SK$14:$SK$49&lt;$QO$13))</f>
        <v>6</v>
      </c>
      <c r="TV15" s="306">
        <f t="shared" ref="TV15:TV49" si="108">+SUMPRODUCT((WX$14:WX$49=QT15)*($SK$14:$SK$49&lt;$QO$13))</f>
        <v>5</v>
      </c>
      <c r="TW15" s="306">
        <f t="shared" ref="TW15:TW49" si="109">+SUMPRODUCT((WY$14:WY$49=QU15)*($SK$14:$SK$49&lt;$QO$13))</f>
        <v>24</v>
      </c>
      <c r="TX15" s="306">
        <f t="shared" ref="TX15:TX49" si="110">+SUMPRODUCT((WZ$14:WZ$49=QV15)*($SK$14:$SK$49&lt;$QO$13))</f>
        <v>11</v>
      </c>
      <c r="TY15" s="306">
        <f t="shared" ref="TY15:TY49" si="111">+SUMPRODUCT((XA$14:XA$49=QW15)*($SK$14:$SK$49&lt;$QO$13))</f>
        <v>33</v>
      </c>
      <c r="TZ15" s="306">
        <f t="shared" ref="TZ15:TZ49" si="112">+SUMPRODUCT((XB$14:XB$49=QX15)*($SK$14:$SK$49&lt;$QO$13))</f>
        <v>33</v>
      </c>
      <c r="UA15" s="306">
        <f t="shared" ref="UA15:UA49" si="113">+SUMPRODUCT((XC$14:XC$49=QY15)*($SK$14:$SK$49&lt;$QO$13))</f>
        <v>6</v>
      </c>
      <c r="UB15" s="306">
        <f t="shared" ref="UB15:UB49" si="114">+SUMPRODUCT((XD$14:XD$49=QZ15)*($SK$14:$SK$49&lt;$QO$13))</f>
        <v>11</v>
      </c>
      <c r="UC15" s="306">
        <f t="shared" ref="UC15:UC49" si="115">+SUMPRODUCT((XE$14:XE$49=RA15)*($SK$14:$SK$49&lt;$QO$13))</f>
        <v>3</v>
      </c>
      <c r="UD15" s="306">
        <f t="shared" ref="UD15:UD49" si="116">+SUMPRODUCT((XF$14:XF$49=RB15)*($SK$14:$SK$49&lt;$QO$13))</f>
        <v>27</v>
      </c>
      <c r="UE15" s="306">
        <f t="shared" ref="UE15:UE49" si="117">+SUMPRODUCT((XG$14:XG$49=RC15)*($SK$14:$SK$49&lt;$QO$13))</f>
        <v>9</v>
      </c>
      <c r="UF15" s="306">
        <f t="shared" ref="UF15:UF49" si="118">+SUMPRODUCT((XH$14:XH$49=RD15)*($SK$14:$SK$49&lt;$QO$13))</f>
        <v>24</v>
      </c>
      <c r="UG15" s="306">
        <f t="shared" ref="UG15:UG49" si="119">+SUMPRODUCT((XI$14:XI$49=RE15)*($SK$14:$SK$49&lt;$QO$13))</f>
        <v>8</v>
      </c>
      <c r="UH15" s="306">
        <f t="shared" ref="UH15:UH49" si="120">+SUMPRODUCT((XJ$14:XJ$49=RF15)*($SK$14:$SK$49&lt;$QO$13))</f>
        <v>28</v>
      </c>
      <c r="UI15" s="306">
        <f t="shared" ref="UI15:UI49" si="121">+SUMPRODUCT((XK$14:XK$49=RG15)*($SK$14:$SK$49&lt;$QO$13))</f>
        <v>32</v>
      </c>
      <c r="UJ15" s="306">
        <f t="shared" ref="UJ15:UJ49" si="122">+SUMPRODUCT((XL$14:XL$49=RH15)*($SK$14:$SK$49&lt;$QO$13))</f>
        <v>26</v>
      </c>
      <c r="UK15" s="306">
        <f t="shared" ref="UK15:UK49" si="123">+SUMPRODUCT((XM$14:XM$49=RI15)*($SK$14:$SK$49&lt;$QO$13))</f>
        <v>31</v>
      </c>
      <c r="UL15" s="306">
        <f t="shared" ref="UL15:UL49" si="124">+SUMPRODUCT((XN$14:XN$49=RJ15)*($SK$14:$SK$49&lt;$QO$13))</f>
        <v>26</v>
      </c>
      <c r="UM15" s="306">
        <f t="shared" ref="UM15:UM49" si="125">+SUMPRODUCT((XO$14:XO$49=RK15)*($SK$14:$SK$49&lt;$QO$13))</f>
        <v>28</v>
      </c>
      <c r="UN15" s="306">
        <f t="shared" ref="UN15:UN49" si="126">+SUMPRODUCT((XP$14:XP$49=RL15)*($SK$14:$SK$49&lt;$QO$13))</f>
        <v>18</v>
      </c>
      <c r="UO15" s="306">
        <f t="shared" ref="UO15:UO49" si="127">+SUMPRODUCT((XQ$14:XQ$49=RM15)*($SK$14:$SK$49&lt;$QO$13))</f>
        <v>23</v>
      </c>
      <c r="UP15" s="306">
        <f t="shared" ref="UP15:UP49" si="128">+SUMPRODUCT((XR$14:XR$49=RN15)*($SK$14:$SK$49&lt;$QO$13))</f>
        <v>11</v>
      </c>
      <c r="UQ15" s="306">
        <f t="shared" ref="UQ15:UQ49" si="129">+SUMPRODUCT((XS$14:XS$49=RO15)*($SK$14:$SK$49&lt;$QO$13))</f>
        <v>30</v>
      </c>
      <c r="UR15" s="306">
        <f t="shared" ref="UR15:UR49" si="130">+SUMPRODUCT((XT$14:XT$49=RP15)*($SK$14:$SK$49&lt;$QO$13))</f>
        <v>16</v>
      </c>
      <c r="US15" s="306">
        <f t="shared" ref="US15:US49" si="131">+SUMPRODUCT((XU$14:XU$49=RQ15)*($SK$14:$SK$49&lt;$QO$13))</f>
        <v>22</v>
      </c>
      <c r="UT15" s="306">
        <f t="shared" ref="UT15:UT49" si="132">+SUMPRODUCT((XV$14:XV$49=RR15)*($SK$14:$SK$49&lt;$QO$13))</f>
        <v>30</v>
      </c>
      <c r="UU15" s="306">
        <f t="shared" ref="UU15:UU49" si="133">+SUMPRODUCT((XW$14:XW$49=RS15)*($SK$14:$SK$49&lt;$QO$13))</f>
        <v>22</v>
      </c>
      <c r="UV15" s="306">
        <f t="shared" ref="UV15:UV49" si="134">+SUMPRODUCT((XX$14:XX$49=RT15)*($SK$14:$SK$49&lt;$QO$13))</f>
        <v>31</v>
      </c>
      <c r="UW15" s="306">
        <f t="shared" ref="UW15:UW49" si="135">+SUMPRODUCT((XY$14:XY$49=RU15)*($SK$14:$SK$49&lt;$QO$13))</f>
        <v>33</v>
      </c>
      <c r="UX15" s="306">
        <f t="shared" ref="UX15:UX49" si="136">+SUMPRODUCT((XZ$14:XZ$49=RV15)*($SK$14:$SK$49&lt;$QO$13))</f>
        <v>4</v>
      </c>
      <c r="UY15" s="306">
        <f t="shared" ref="UY15:UY49" si="137">+SUMPRODUCT((YA$14:YA$49=RW15)*($SK$14:$SK$49&lt;$QO$13))</f>
        <v>17</v>
      </c>
      <c r="UZ15" s="306">
        <f t="shared" ref="UZ15:UZ49" si="138">+SUMPRODUCT((YB$14:YB$49=RX15)*($SK$14:$SK$49&lt;$QO$13))</f>
        <v>5</v>
      </c>
      <c r="VA15" s="306">
        <f t="shared" ref="VA15:VA49" si="139">+SUMPRODUCT((YC$14:YC$49=RY15)*($SK$14:$SK$49&lt;$QO$13))</f>
        <v>5</v>
      </c>
      <c r="VB15" s="306">
        <f t="shared" ref="VB15:VB49" si="140">+SUMPRODUCT((YD$14:YD$49=RZ15)*($SK$14:$SK$49&lt;$QO$13))</f>
        <v>25</v>
      </c>
      <c r="VC15" s="306">
        <f t="shared" ref="VC15:VC49" si="141">+SUMPRODUCT((YE$14:YE$49=SA15)*($SK$14:$SK$49&lt;$QO$13))</f>
        <v>18</v>
      </c>
      <c r="VD15" s="306">
        <f t="shared" ref="VD15:VD49" si="142">+SUMPRODUCT((YF$14:YF$49=SB15)*($SK$14:$SK$49&lt;$QO$13))</f>
        <v>23</v>
      </c>
      <c r="VE15" s="306">
        <f t="shared" ref="VE15:VE49" si="143">+SUMPRODUCT((YG$14:YG$49=SC15)*($SK$14:$SK$49&lt;$QO$13))</f>
        <v>26</v>
      </c>
      <c r="VF15" s="306">
        <f t="shared" ref="VF15:VF49" si="144">+SUMPRODUCT((YH$14:YH$49=SD15)*($SK$14:$SK$49&lt;$QO$13))</f>
        <v>17</v>
      </c>
      <c r="VG15" s="306">
        <f t="shared" ref="VG15:VG49" si="145">+SUMPRODUCT((YI$14:YI$49=SE15)*($SK$14:$SK$49&lt;$QO$13))</f>
        <v>23</v>
      </c>
      <c r="VH15" s="306">
        <f t="shared" ref="VH15:VH49" si="146">+SUMPRODUCT((YJ$14:YJ$49=SF15)*($SK$14:$SK$49&lt;$QO$13))</f>
        <v>29</v>
      </c>
      <c r="VI15" s="306">
        <f t="shared" ref="VI15:VI49" si="147">+SUMPRODUCT((YK$14:YK$49=SG15)*($SK$14:$SK$49&lt;$QO$13))</f>
        <v>28</v>
      </c>
      <c r="VJ15" s="306">
        <f t="shared" ref="VJ15:VJ49" si="148">+SUMPRODUCT((YL$14:YL$49=SH15)*($SK$14:$SK$49&lt;$QO$13))</f>
        <v>30</v>
      </c>
      <c r="VK15" s="306">
        <f t="shared" ref="VK15:VK49" si="149">+SUMPRODUCT((YM$14:YM$49=SI15)*($SK$14:$SK$49&lt;$QO$13))</f>
        <v>32</v>
      </c>
      <c r="VL15" s="306">
        <f t="shared" ref="VL15:VL49" si="150">+SUMPRODUCT((YN$14:YN$49=SJ15)*($SK$14:$SK$49&lt;$QO$13))</f>
        <v>25</v>
      </c>
      <c r="VN15" s="306">
        <f t="shared" ref="VN15:VN49" si="151">+COUNTIF(TR15:VL15,0)</f>
        <v>0</v>
      </c>
      <c r="WR15" s="357"/>
      <c r="WS15" s="45" t="s">
        <v>83</v>
      </c>
      <c r="WT15" s="225" t="s">
        <v>195</v>
      </c>
      <c r="WU15" s="246" t="s">
        <v>196</v>
      </c>
      <c r="WV15" s="246" t="s">
        <v>14</v>
      </c>
      <c r="WW15" s="225" t="s">
        <v>197</v>
      </c>
      <c r="WX15" s="246" t="s">
        <v>6</v>
      </c>
      <c r="WY15" s="246" t="s">
        <v>185</v>
      </c>
      <c r="WZ15" s="312" t="s">
        <v>43</v>
      </c>
      <c r="XA15" s="246" t="s">
        <v>22</v>
      </c>
      <c r="XB15" s="225" t="s">
        <v>198</v>
      </c>
      <c r="XC15" s="159" t="s">
        <v>6</v>
      </c>
      <c r="XD15" s="159" t="s">
        <v>20</v>
      </c>
      <c r="XE15" s="159" t="s">
        <v>199</v>
      </c>
      <c r="XF15" s="246" t="s">
        <v>43</v>
      </c>
      <c r="XG15" s="159" t="s">
        <v>12</v>
      </c>
      <c r="XH15" s="159" t="s">
        <v>2</v>
      </c>
      <c r="XI15" s="159" t="s">
        <v>1</v>
      </c>
      <c r="XJ15" s="159" t="s">
        <v>7</v>
      </c>
      <c r="XK15" s="246" t="s">
        <v>8</v>
      </c>
      <c r="XL15" s="246" t="s">
        <v>43</v>
      </c>
      <c r="XM15" s="246" t="s">
        <v>43</v>
      </c>
      <c r="XN15" s="159" t="s">
        <v>11</v>
      </c>
      <c r="XO15" s="159" t="s">
        <v>2</v>
      </c>
      <c r="XP15" s="246" t="s">
        <v>6</v>
      </c>
      <c r="XQ15" s="246" t="s">
        <v>43</v>
      </c>
      <c r="XR15" s="326" t="s">
        <v>200</v>
      </c>
      <c r="XS15" s="225" t="s">
        <v>201</v>
      </c>
      <c r="XT15" s="159" t="s">
        <v>14</v>
      </c>
      <c r="XU15" s="159" t="s">
        <v>5</v>
      </c>
      <c r="XV15" s="159" t="s">
        <v>43</v>
      </c>
      <c r="XW15" s="159" t="s">
        <v>10</v>
      </c>
      <c r="XX15" s="225" t="s">
        <v>21</v>
      </c>
      <c r="XY15" s="246" t="s">
        <v>43</v>
      </c>
      <c r="XZ15" s="159" t="s">
        <v>10</v>
      </c>
      <c r="YA15" s="159" t="s">
        <v>7</v>
      </c>
      <c r="YB15" s="327" t="s">
        <v>202</v>
      </c>
      <c r="YC15" s="246" t="s">
        <v>20</v>
      </c>
      <c r="YD15" s="246" t="s">
        <v>185</v>
      </c>
      <c r="YE15" s="246" t="s">
        <v>43</v>
      </c>
      <c r="YF15" s="246" t="s">
        <v>1</v>
      </c>
      <c r="YG15" s="246" t="s">
        <v>1</v>
      </c>
      <c r="YH15" s="246" t="s">
        <v>10</v>
      </c>
      <c r="YI15" s="246" t="s">
        <v>14</v>
      </c>
      <c r="YJ15" s="159" t="s">
        <v>7</v>
      </c>
      <c r="YK15" s="159" t="s">
        <v>43</v>
      </c>
      <c r="YL15" s="159" t="s">
        <v>15</v>
      </c>
      <c r="YM15" s="246" t="s">
        <v>5</v>
      </c>
      <c r="YN15" s="246" t="s">
        <v>261</v>
      </c>
      <c r="AFZ15" s="307"/>
    </row>
    <row r="16" spans="1:859" s="306" customFormat="1" ht="20.65" x14ac:dyDescent="0.7">
      <c r="A16" s="70">
        <v>7</v>
      </c>
      <c r="B16" s="305"/>
      <c r="C16" s="45" t="s">
        <v>88</v>
      </c>
      <c r="D16" s="45" t="s">
        <v>89</v>
      </c>
      <c r="E16" s="305"/>
      <c r="F16" s="128">
        <v>1612.7665636929671</v>
      </c>
      <c r="X16" s="355"/>
      <c r="AA16" s="52" t="s">
        <v>50</v>
      </c>
      <c r="AB16" s="305" t="s">
        <v>0</v>
      </c>
      <c r="AC16" s="183" t="s">
        <v>1</v>
      </c>
      <c r="AD16" s="147" t="s">
        <v>2</v>
      </c>
      <c r="AE16" s="132" t="s">
        <v>3</v>
      </c>
      <c r="AF16" s="203" t="s">
        <v>4</v>
      </c>
      <c r="AG16" s="258" t="s">
        <v>5</v>
      </c>
      <c r="AH16" s="196" t="s">
        <v>6</v>
      </c>
      <c r="AI16" s="229" t="s">
        <v>43</v>
      </c>
      <c r="AJ16" s="318" t="s">
        <v>43</v>
      </c>
      <c r="AK16" s="215" t="s">
        <v>7</v>
      </c>
      <c r="AL16" s="245" t="s">
        <v>8</v>
      </c>
      <c r="AM16" s="181" t="s">
        <v>243</v>
      </c>
      <c r="AN16" s="318" t="s">
        <v>43</v>
      </c>
      <c r="AO16" s="183" t="s">
        <v>3</v>
      </c>
      <c r="AP16" s="229" t="s">
        <v>43</v>
      </c>
      <c r="AQ16" s="318" t="s">
        <v>43</v>
      </c>
      <c r="AR16" s="318" t="s">
        <v>43</v>
      </c>
      <c r="AS16" s="146" t="s">
        <v>9</v>
      </c>
      <c r="AT16" s="210" t="s">
        <v>10</v>
      </c>
      <c r="AU16" s="238" t="s">
        <v>11</v>
      </c>
      <c r="AV16" s="238" t="s">
        <v>12</v>
      </c>
      <c r="AW16" s="147" t="s">
        <v>5</v>
      </c>
      <c r="AX16" s="229" t="s">
        <v>43</v>
      </c>
      <c r="AY16" s="229" t="s">
        <v>43</v>
      </c>
      <c r="AZ16" s="318" t="s">
        <v>43</v>
      </c>
      <c r="BA16" s="318" t="s">
        <v>43</v>
      </c>
      <c r="BB16" s="318" t="s">
        <v>43</v>
      </c>
      <c r="BC16" s="174" t="s">
        <v>13</v>
      </c>
      <c r="BD16" s="224" t="s">
        <v>244</v>
      </c>
      <c r="BE16" s="318" t="s">
        <v>43</v>
      </c>
      <c r="BF16" s="318" t="s">
        <v>43</v>
      </c>
      <c r="BG16" s="253" t="s">
        <v>7</v>
      </c>
      <c r="BH16" s="318" t="s">
        <v>43</v>
      </c>
      <c r="BI16" s="183" t="s">
        <v>14</v>
      </c>
      <c r="BJ16" s="183" t="s">
        <v>5</v>
      </c>
      <c r="BK16" s="183" t="s">
        <v>11</v>
      </c>
      <c r="BL16" s="224" t="s">
        <v>245</v>
      </c>
      <c r="BM16" s="192" t="s">
        <v>5</v>
      </c>
      <c r="BN16" s="258" t="s">
        <v>15</v>
      </c>
      <c r="BO16" s="309"/>
      <c r="BP16" s="319">
        <f t="shared" si="59"/>
        <v>22194.388357431144</v>
      </c>
      <c r="BQ16" s="320" t="s">
        <v>60</v>
      </c>
      <c r="BR16" s="143" t="s">
        <v>2</v>
      </c>
      <c r="BS16" s="268" t="s">
        <v>15</v>
      </c>
      <c r="BT16" s="143" t="s">
        <v>14</v>
      </c>
      <c r="BU16" s="171" t="s">
        <v>253</v>
      </c>
      <c r="BV16" s="229" t="s">
        <v>43</v>
      </c>
      <c r="BW16" s="161" t="s">
        <v>46</v>
      </c>
      <c r="BX16" s="227" t="s">
        <v>43</v>
      </c>
      <c r="BY16" s="227" t="s">
        <v>43</v>
      </c>
      <c r="BZ16" s="227" t="s">
        <v>43</v>
      </c>
      <c r="CA16" s="161" t="s">
        <v>5</v>
      </c>
      <c r="CB16" s="177" t="s">
        <v>8</v>
      </c>
      <c r="CC16" s="208" t="s">
        <v>15</v>
      </c>
      <c r="CD16" s="143" t="s">
        <v>45</v>
      </c>
      <c r="CE16" s="193" t="s">
        <v>6</v>
      </c>
      <c r="CF16" s="208" t="s">
        <v>22</v>
      </c>
      <c r="CG16" s="193" t="s">
        <v>10</v>
      </c>
      <c r="CH16" s="193" t="s">
        <v>20</v>
      </c>
      <c r="CI16" s="193" t="s">
        <v>10</v>
      </c>
      <c r="CJ16" s="70">
        <v>41</v>
      </c>
      <c r="DG16" s="357"/>
      <c r="DI16" s="52" t="s">
        <v>50</v>
      </c>
      <c r="DJ16" s="305" t="s">
        <v>0</v>
      </c>
      <c r="DK16" s="363">
        <f t="shared" si="0"/>
        <v>7</v>
      </c>
      <c r="DL16" s="363">
        <f t="shared" si="1"/>
        <v>5</v>
      </c>
      <c r="DM16" s="363">
        <f t="shared" si="2"/>
        <v>7</v>
      </c>
      <c r="DN16" s="363">
        <f t="shared" si="3"/>
        <v>5</v>
      </c>
      <c r="DO16" s="363">
        <f t="shared" si="4"/>
        <v>7</v>
      </c>
      <c r="DP16" s="363">
        <f t="shared" si="5"/>
        <v>5</v>
      </c>
      <c r="DQ16" s="363">
        <f t="shared" si="6"/>
        <v>0</v>
      </c>
      <c r="DR16" s="363">
        <f t="shared" si="7"/>
        <v>0</v>
      </c>
      <c r="DS16" s="363">
        <f t="shared" si="8"/>
        <v>2</v>
      </c>
      <c r="DT16" s="363">
        <f t="shared" si="9"/>
        <v>2</v>
      </c>
      <c r="DU16" s="363">
        <f t="shared" si="10"/>
        <v>0</v>
      </c>
      <c r="DV16" s="363">
        <f t="shared" si="11"/>
        <v>0</v>
      </c>
      <c r="DW16" s="363">
        <f t="shared" si="12"/>
        <v>7</v>
      </c>
      <c r="DX16" s="363">
        <f t="shared" si="13"/>
        <v>0</v>
      </c>
      <c r="DY16" s="363">
        <f t="shared" si="14"/>
        <v>0</v>
      </c>
      <c r="DZ16" s="363">
        <f t="shared" si="15"/>
        <v>4</v>
      </c>
      <c r="EA16" s="363">
        <f t="shared" si="16"/>
        <v>7</v>
      </c>
      <c r="EB16" s="363">
        <f t="shared" si="17"/>
        <v>0</v>
      </c>
      <c r="EC16" s="363">
        <f t="shared" si="18"/>
        <v>0</v>
      </c>
      <c r="ED16" s="363">
        <f t="shared" si="19"/>
        <v>0</v>
      </c>
      <c r="EE16" s="363">
        <f t="shared" si="20"/>
        <v>2</v>
      </c>
      <c r="EF16" s="363">
        <f t="shared" si="21"/>
        <v>5</v>
      </c>
      <c r="EG16" s="363">
        <f t="shared" si="22"/>
        <v>5</v>
      </c>
      <c r="EH16" s="363">
        <f t="shared" si="23"/>
        <v>2</v>
      </c>
      <c r="EI16" s="363">
        <f t="shared" si="24"/>
        <v>2</v>
      </c>
      <c r="EJ16" s="363">
        <f t="shared" si="25"/>
        <v>0</v>
      </c>
      <c r="EK16" s="363">
        <f t="shared" si="26"/>
        <v>2</v>
      </c>
      <c r="EL16" s="363">
        <f t="shared" si="27"/>
        <v>0</v>
      </c>
      <c r="EM16" s="363">
        <f t="shared" si="28"/>
        <v>0</v>
      </c>
      <c r="EN16" s="363">
        <f t="shared" si="29"/>
        <v>3</v>
      </c>
      <c r="EO16" s="363">
        <f t="shared" si="30"/>
        <v>5</v>
      </c>
      <c r="EP16" s="363">
        <f t="shared" si="31"/>
        <v>2</v>
      </c>
      <c r="EQ16" s="363">
        <f t="shared" si="32"/>
        <v>6</v>
      </c>
      <c r="ER16" s="363">
        <f t="shared" si="33"/>
        <v>5</v>
      </c>
      <c r="ES16" s="363">
        <f t="shared" si="34"/>
        <v>7</v>
      </c>
      <c r="ET16" s="363">
        <f t="shared" si="35"/>
        <v>7</v>
      </c>
      <c r="EU16" s="363">
        <f t="shared" si="36"/>
        <v>7</v>
      </c>
      <c r="EV16" s="363">
        <f t="shared" si="37"/>
        <v>7</v>
      </c>
      <c r="EW16" s="377" t="s">
        <v>60</v>
      </c>
      <c r="EX16" s="363">
        <f t="shared" si="38"/>
        <v>6</v>
      </c>
      <c r="EY16" s="363">
        <f t="shared" si="39"/>
        <v>7</v>
      </c>
      <c r="EZ16" s="363">
        <f t="shared" si="40"/>
        <v>5</v>
      </c>
      <c r="FA16" s="363">
        <f t="shared" si="41"/>
        <v>0</v>
      </c>
      <c r="FB16" s="363">
        <f t="shared" si="42"/>
        <v>0</v>
      </c>
      <c r="FC16" s="363">
        <f t="shared" si="43"/>
        <v>0</v>
      </c>
      <c r="FD16" s="363">
        <f t="shared" si="44"/>
        <v>7</v>
      </c>
      <c r="FE16" s="363">
        <f t="shared" si="45"/>
        <v>7</v>
      </c>
      <c r="FF16" s="363">
        <f t="shared" si="46"/>
        <v>0</v>
      </c>
      <c r="FG16" s="363">
        <f t="shared" si="47"/>
        <v>0</v>
      </c>
      <c r="FH16" s="363">
        <f t="shared" si="48"/>
        <v>7</v>
      </c>
      <c r="FI16" s="363">
        <f t="shared" si="49"/>
        <v>0</v>
      </c>
      <c r="FJ16" s="363">
        <f t="shared" si="50"/>
        <v>7</v>
      </c>
      <c r="FK16" s="363">
        <f t="shared" si="51"/>
        <v>0</v>
      </c>
      <c r="FL16" s="363">
        <f t="shared" si="52"/>
        <v>1</v>
      </c>
      <c r="FM16" s="363">
        <f t="shared" si="53"/>
        <v>7</v>
      </c>
      <c r="FN16" s="363">
        <f t="shared" si="54"/>
        <v>0</v>
      </c>
      <c r="FO16" s="363">
        <f t="shared" si="55"/>
        <v>7</v>
      </c>
      <c r="FP16" s="363">
        <f t="shared" si="60"/>
        <v>12</v>
      </c>
      <c r="FQ16" s="363">
        <f t="shared" si="61"/>
        <v>8</v>
      </c>
      <c r="FR16" s="309">
        <f t="shared" si="62"/>
        <v>20</v>
      </c>
      <c r="GM16" s="357"/>
      <c r="GO16" s="52" t="s">
        <v>50</v>
      </c>
      <c r="GP16" s="305" t="s">
        <v>0</v>
      </c>
      <c r="GQ16" s="244" t="s">
        <v>1</v>
      </c>
      <c r="GR16" s="244" t="s">
        <v>2</v>
      </c>
      <c r="GS16" s="244" t="s">
        <v>3</v>
      </c>
      <c r="GT16" s="244" t="s">
        <v>4</v>
      </c>
      <c r="GU16" s="244" t="s">
        <v>5</v>
      </c>
      <c r="GV16" s="244" t="s">
        <v>6</v>
      </c>
      <c r="GW16" s="244" t="s">
        <v>43</v>
      </c>
      <c r="GX16" s="318" t="s">
        <v>43</v>
      </c>
      <c r="GY16" s="244" t="s">
        <v>7</v>
      </c>
      <c r="GZ16" s="223" t="s">
        <v>8</v>
      </c>
      <c r="HA16" s="365" t="s">
        <v>317</v>
      </c>
      <c r="HB16" s="318" t="s">
        <v>43</v>
      </c>
      <c r="HC16" s="244" t="s">
        <v>3</v>
      </c>
      <c r="HD16" s="244" t="s">
        <v>43</v>
      </c>
      <c r="HE16" s="318" t="s">
        <v>43</v>
      </c>
      <c r="HF16" s="318" t="s">
        <v>43</v>
      </c>
      <c r="HG16" s="244" t="s">
        <v>9</v>
      </c>
      <c r="HH16" s="244" t="s">
        <v>10</v>
      </c>
      <c r="HI16" s="244" t="s">
        <v>11</v>
      </c>
      <c r="HJ16" s="244" t="s">
        <v>12</v>
      </c>
      <c r="HK16" s="244" t="s">
        <v>5</v>
      </c>
      <c r="HL16" s="244" t="s">
        <v>43</v>
      </c>
      <c r="HM16" s="244" t="s">
        <v>43</v>
      </c>
      <c r="HN16" s="318" t="s">
        <v>43</v>
      </c>
      <c r="HO16" s="318" t="s">
        <v>43</v>
      </c>
      <c r="HP16" s="318" t="s">
        <v>43</v>
      </c>
      <c r="HQ16" s="366" t="s">
        <v>13</v>
      </c>
      <c r="HR16" s="366" t="s">
        <v>318</v>
      </c>
      <c r="HS16" s="318" t="s">
        <v>43</v>
      </c>
      <c r="HT16" s="318" t="s">
        <v>43</v>
      </c>
      <c r="HU16" s="244" t="s">
        <v>7</v>
      </c>
      <c r="HV16" s="318" t="s">
        <v>43</v>
      </c>
      <c r="HW16" s="244" t="s">
        <v>14</v>
      </c>
      <c r="HX16" s="244" t="s">
        <v>5</v>
      </c>
      <c r="HY16" s="244" t="s">
        <v>11</v>
      </c>
      <c r="HZ16" s="366" t="s">
        <v>319</v>
      </c>
      <c r="IA16" s="244" t="s">
        <v>5</v>
      </c>
      <c r="IB16" s="244" t="s">
        <v>15</v>
      </c>
      <c r="IC16" s="377" t="s">
        <v>60</v>
      </c>
      <c r="ID16" s="173" t="s">
        <v>2</v>
      </c>
      <c r="IE16" s="173" t="s">
        <v>15</v>
      </c>
      <c r="IF16" s="173" t="s">
        <v>14</v>
      </c>
      <c r="IG16" s="368" t="s">
        <v>321</v>
      </c>
      <c r="IH16" s="244" t="s">
        <v>43</v>
      </c>
      <c r="II16" s="173" t="s">
        <v>46</v>
      </c>
      <c r="IJ16" s="173" t="s">
        <v>43</v>
      </c>
      <c r="IK16" s="173" t="s">
        <v>43</v>
      </c>
      <c r="IL16" s="173" t="s">
        <v>43</v>
      </c>
      <c r="IM16" s="173" t="s">
        <v>5</v>
      </c>
      <c r="IN16" s="173" t="s">
        <v>8</v>
      </c>
      <c r="IO16" s="173" t="s">
        <v>15</v>
      </c>
      <c r="IP16" s="173" t="s">
        <v>45</v>
      </c>
      <c r="IQ16" s="173" t="s">
        <v>6</v>
      </c>
      <c r="IR16" s="173" t="s">
        <v>22</v>
      </c>
      <c r="IS16" s="173" t="s">
        <v>10</v>
      </c>
      <c r="IT16" s="173" t="s">
        <v>20</v>
      </c>
      <c r="IU16" s="173" t="s">
        <v>10</v>
      </c>
      <c r="JN16" s="357"/>
      <c r="JO16" s="369">
        <v>69</v>
      </c>
      <c r="JP16" s="305" t="s">
        <v>135</v>
      </c>
      <c r="JQ16" s="330" t="s">
        <v>139</v>
      </c>
      <c r="JR16" s="67" t="s">
        <v>140</v>
      </c>
      <c r="JS16" s="254" t="s">
        <v>6</v>
      </c>
      <c r="JT16" s="254" t="s">
        <v>8</v>
      </c>
      <c r="JU16" s="205" t="s">
        <v>3</v>
      </c>
      <c r="JV16" s="155" t="s">
        <v>20</v>
      </c>
      <c r="JW16" s="112" t="s">
        <v>188</v>
      </c>
      <c r="JX16" s="254" t="s">
        <v>8</v>
      </c>
      <c r="JY16" s="221" t="s">
        <v>7</v>
      </c>
      <c r="JZ16" s="159" t="s">
        <v>8</v>
      </c>
      <c r="KA16" s="111" t="s">
        <v>189</v>
      </c>
      <c r="KB16" s="116" t="s">
        <v>190</v>
      </c>
      <c r="KC16" s="246" t="s">
        <v>43</v>
      </c>
      <c r="KD16" s="163" t="s">
        <v>20</v>
      </c>
      <c r="KE16" s="182" t="s">
        <v>12</v>
      </c>
      <c r="KF16" s="254" t="s">
        <v>20</v>
      </c>
      <c r="KG16" s="125" t="s">
        <v>4</v>
      </c>
      <c r="KH16" s="226" t="s">
        <v>191</v>
      </c>
      <c r="KI16" s="254" t="s">
        <v>3</v>
      </c>
      <c r="KJ16" s="246" t="s">
        <v>43</v>
      </c>
      <c r="KK16" s="254" t="s">
        <v>5</v>
      </c>
      <c r="KL16" s="254" t="s">
        <v>15</v>
      </c>
      <c r="KM16" s="110" t="s">
        <v>15</v>
      </c>
      <c r="KN16" s="182" t="s">
        <v>6</v>
      </c>
      <c r="KO16" s="182" t="s">
        <v>5</v>
      </c>
      <c r="KP16" s="322">
        <f t="shared" si="63"/>
        <v>46.506860597284216</v>
      </c>
      <c r="KR16" s="329" t="s">
        <v>135</v>
      </c>
      <c r="KS16" s="159" t="s">
        <v>10</v>
      </c>
      <c r="KT16" s="170" t="s">
        <v>9</v>
      </c>
      <c r="KU16" s="221" t="s">
        <v>20</v>
      </c>
      <c r="KV16" s="166" t="s">
        <v>4</v>
      </c>
      <c r="KW16" s="204" t="s">
        <v>193</v>
      </c>
      <c r="KX16" s="240" t="s">
        <v>6</v>
      </c>
      <c r="KY16" s="240" t="s">
        <v>15</v>
      </c>
      <c r="KZ16" s="240" t="s">
        <v>6</v>
      </c>
      <c r="LA16" s="158" t="s">
        <v>15</v>
      </c>
      <c r="LB16" s="166" t="s">
        <v>9</v>
      </c>
      <c r="LC16" s="159" t="s">
        <v>185</v>
      </c>
      <c r="LD16" s="159" t="s">
        <v>6</v>
      </c>
      <c r="LE16" s="159" t="s">
        <v>8</v>
      </c>
      <c r="LF16" s="166" t="s">
        <v>15</v>
      </c>
      <c r="LG16" s="113" t="s">
        <v>228</v>
      </c>
      <c r="LH16" s="358">
        <v>3</v>
      </c>
      <c r="LW16" s="369">
        <v>69</v>
      </c>
      <c r="LX16" s="317" t="s">
        <v>135</v>
      </c>
      <c r="LY16" s="378" t="s">
        <v>139</v>
      </c>
      <c r="LZ16" s="306">
        <f t="shared" si="64"/>
        <v>10</v>
      </c>
      <c r="MA16" s="306">
        <f t="shared" si="65"/>
        <v>10</v>
      </c>
      <c r="MB16" s="306">
        <f t="shared" si="66"/>
        <v>16</v>
      </c>
      <c r="MC16" s="306">
        <f t="shared" si="67"/>
        <v>28</v>
      </c>
      <c r="MD16" s="306">
        <f t="shared" si="68"/>
        <v>17</v>
      </c>
      <c r="ME16" s="306">
        <f t="shared" si="69"/>
        <v>21</v>
      </c>
      <c r="MF16" s="306">
        <f t="shared" si="70"/>
        <v>19</v>
      </c>
      <c r="MG16" s="306">
        <f t="shared" si="71"/>
        <v>23</v>
      </c>
      <c r="MH16" s="306">
        <f t="shared" si="72"/>
        <v>18</v>
      </c>
      <c r="MI16" s="306">
        <f t="shared" si="73"/>
        <v>9</v>
      </c>
      <c r="MJ16" s="306">
        <f t="shared" si="74"/>
        <v>18</v>
      </c>
      <c r="MK16" s="306">
        <f t="shared" si="75"/>
        <v>21</v>
      </c>
      <c r="ML16" s="306">
        <f t="shared" si="76"/>
        <v>17</v>
      </c>
      <c r="MM16" s="306">
        <f t="shared" si="77"/>
        <v>10</v>
      </c>
      <c r="MN16" s="306">
        <f t="shared" si="78"/>
        <v>18</v>
      </c>
      <c r="MO16" s="306">
        <f t="shared" si="79"/>
        <v>11</v>
      </c>
      <c r="MP16" s="306">
        <f t="shared" si="80"/>
        <v>4</v>
      </c>
      <c r="MQ16" s="306">
        <f t="shared" si="81"/>
        <v>9</v>
      </c>
      <c r="MR16" s="306">
        <f t="shared" si="82"/>
        <v>8</v>
      </c>
      <c r="MS16" s="306">
        <f t="shared" si="83"/>
        <v>4</v>
      </c>
      <c r="MT16" s="306">
        <f t="shared" si="84"/>
        <v>3</v>
      </c>
      <c r="MU16" s="306">
        <f t="shared" si="85"/>
        <v>28</v>
      </c>
      <c r="MV16" s="306">
        <f t="shared" si="86"/>
        <v>23</v>
      </c>
      <c r="MY16" s="306">
        <f t="shared" si="87"/>
        <v>25</v>
      </c>
      <c r="MZ16" s="306">
        <f t="shared" si="88"/>
        <v>29</v>
      </c>
      <c r="NA16" s="306">
        <f t="shared" si="89"/>
        <v>28</v>
      </c>
      <c r="NB16" s="306">
        <f t="shared" si="90"/>
        <v>17</v>
      </c>
      <c r="NC16" s="306">
        <f t="shared" si="91"/>
        <v>16</v>
      </c>
      <c r="ND16" s="306">
        <f t="shared" si="92"/>
        <v>28</v>
      </c>
      <c r="NE16" s="306">
        <f t="shared" si="93"/>
        <v>29</v>
      </c>
      <c r="NF16" s="306">
        <f t="shared" si="94"/>
        <v>29</v>
      </c>
      <c r="NG16" s="306">
        <f t="shared" si="95"/>
        <v>13</v>
      </c>
      <c r="NH16" s="306">
        <f t="shared" si="96"/>
        <v>26</v>
      </c>
      <c r="NI16" s="306">
        <f t="shared" si="97"/>
        <v>14</v>
      </c>
      <c r="NJ16" s="306">
        <f t="shared" si="98"/>
        <v>13</v>
      </c>
      <c r="NK16" s="306">
        <f t="shared" si="99"/>
        <v>11</v>
      </c>
      <c r="NL16" s="306">
        <f t="shared" si="100"/>
        <v>26</v>
      </c>
      <c r="NM16" s="306">
        <f t="shared" si="57"/>
        <v>15</v>
      </c>
      <c r="NN16" s="306">
        <f t="shared" si="101"/>
        <v>0</v>
      </c>
      <c r="NO16" s="306">
        <f t="shared" si="102"/>
        <v>0</v>
      </c>
      <c r="NU16" s="378" t="s">
        <v>139</v>
      </c>
      <c r="NV16" s="357"/>
      <c r="NX16" s="230" t="s">
        <v>6</v>
      </c>
      <c r="NY16" s="230" t="s">
        <v>8</v>
      </c>
      <c r="NZ16" s="230" t="s">
        <v>3</v>
      </c>
      <c r="OA16" s="246" t="s">
        <v>20</v>
      </c>
      <c r="OB16" s="372" t="s">
        <v>188</v>
      </c>
      <c r="OC16" s="230" t="s">
        <v>8</v>
      </c>
      <c r="OD16" s="230" t="s">
        <v>7</v>
      </c>
      <c r="OE16" s="230" t="s">
        <v>8</v>
      </c>
      <c r="OF16" s="371" t="s">
        <v>189</v>
      </c>
      <c r="OG16" s="372" t="s">
        <v>190</v>
      </c>
      <c r="OH16" s="246" t="s">
        <v>43</v>
      </c>
      <c r="OI16" s="246" t="s">
        <v>20</v>
      </c>
      <c r="OJ16" s="230" t="s">
        <v>12</v>
      </c>
      <c r="OK16" s="230" t="s">
        <v>20</v>
      </c>
      <c r="OL16" s="246" t="s">
        <v>4</v>
      </c>
      <c r="OM16" s="372" t="s">
        <v>191</v>
      </c>
      <c r="ON16" s="246" t="s">
        <v>3</v>
      </c>
      <c r="OO16" s="246" t="s">
        <v>43</v>
      </c>
      <c r="OP16" s="246" t="s">
        <v>5</v>
      </c>
      <c r="OQ16" s="246" t="s">
        <v>15</v>
      </c>
      <c r="OR16" s="246" t="s">
        <v>15</v>
      </c>
      <c r="OS16" s="246" t="s">
        <v>6</v>
      </c>
      <c r="OT16" s="246" t="s">
        <v>5</v>
      </c>
      <c r="OV16" s="370" t="s">
        <v>135</v>
      </c>
      <c r="OW16" s="246" t="s">
        <v>10</v>
      </c>
      <c r="OX16" s="246" t="s">
        <v>9</v>
      </c>
      <c r="OY16" s="159" t="s">
        <v>20</v>
      </c>
      <c r="OZ16" s="159" t="s">
        <v>4</v>
      </c>
      <c r="PA16" s="225" t="s">
        <v>193</v>
      </c>
      <c r="PB16" s="246" t="s">
        <v>6</v>
      </c>
      <c r="PC16" s="246" t="s">
        <v>15</v>
      </c>
      <c r="PD16" s="246" t="s">
        <v>6</v>
      </c>
      <c r="PE16" s="246" t="s">
        <v>15</v>
      </c>
      <c r="PF16" s="246" t="s">
        <v>9</v>
      </c>
      <c r="PG16" s="246" t="s">
        <v>185</v>
      </c>
      <c r="PH16" s="246" t="s">
        <v>6</v>
      </c>
      <c r="PI16" s="246" t="s">
        <v>8</v>
      </c>
      <c r="PJ16" s="246" t="s">
        <v>15</v>
      </c>
      <c r="PK16" s="373" t="s">
        <v>228</v>
      </c>
      <c r="PM16"/>
      <c r="PN16"/>
      <c r="PO16"/>
      <c r="PP16"/>
      <c r="PQ16"/>
      <c r="PR16"/>
      <c r="PS16"/>
      <c r="PT16"/>
      <c r="QN16" s="357"/>
      <c r="QO16" s="45" t="s">
        <v>84</v>
      </c>
      <c r="QP16" s="204" t="s">
        <v>195</v>
      </c>
      <c r="QQ16" s="230" t="s">
        <v>196</v>
      </c>
      <c r="QR16" s="166" t="s">
        <v>14</v>
      </c>
      <c r="QS16" s="216" t="s">
        <v>197</v>
      </c>
      <c r="QT16" s="155" t="s">
        <v>6</v>
      </c>
      <c r="QU16" s="182" t="s">
        <v>185</v>
      </c>
      <c r="QV16" s="312" t="s">
        <v>43</v>
      </c>
      <c r="QW16" s="131" t="s">
        <v>22</v>
      </c>
      <c r="QX16" s="216" t="s">
        <v>198</v>
      </c>
      <c r="QY16" s="155" t="s">
        <v>6</v>
      </c>
      <c r="QZ16" s="230" t="s">
        <v>20</v>
      </c>
      <c r="RA16" s="159" t="s">
        <v>199</v>
      </c>
      <c r="RB16" s="246" t="s">
        <v>43</v>
      </c>
      <c r="RC16" s="125" t="s">
        <v>12</v>
      </c>
      <c r="RD16" s="199" t="s">
        <v>2</v>
      </c>
      <c r="RE16" s="254" t="s">
        <v>1</v>
      </c>
      <c r="RF16" s="159" t="s">
        <v>7</v>
      </c>
      <c r="RG16" s="159" t="s">
        <v>8</v>
      </c>
      <c r="RH16" s="246" t="s">
        <v>43</v>
      </c>
      <c r="RI16" s="246" t="s">
        <v>43</v>
      </c>
      <c r="RJ16" s="125" t="s">
        <v>11</v>
      </c>
      <c r="RK16" s="182" t="s">
        <v>2</v>
      </c>
      <c r="RL16" s="141" t="s">
        <v>12</v>
      </c>
      <c r="RM16" s="124" t="s">
        <v>203</v>
      </c>
      <c r="RN16" s="331" t="s">
        <v>212</v>
      </c>
      <c r="RO16" s="124" t="s">
        <v>201</v>
      </c>
      <c r="RP16" s="246" t="s">
        <v>43</v>
      </c>
      <c r="RQ16" s="263" t="s">
        <v>20</v>
      </c>
      <c r="RR16" s="246" t="s">
        <v>43</v>
      </c>
      <c r="RS16" s="159" t="s">
        <v>10</v>
      </c>
      <c r="RT16" s="235" t="s">
        <v>21</v>
      </c>
      <c r="RU16" s="246" t="s">
        <v>43</v>
      </c>
      <c r="RV16" s="182" t="s">
        <v>7</v>
      </c>
      <c r="RW16" s="240" t="s">
        <v>3</v>
      </c>
      <c r="RX16" s="325" t="s">
        <v>202</v>
      </c>
      <c r="RY16" s="240" t="s">
        <v>20</v>
      </c>
      <c r="RZ16" s="159" t="s">
        <v>185</v>
      </c>
      <c r="SA16" s="246" t="s">
        <v>43</v>
      </c>
      <c r="SB16" s="221" t="s">
        <v>1</v>
      </c>
      <c r="SC16" s="176" t="s">
        <v>1</v>
      </c>
      <c r="SD16" s="182" t="s">
        <v>10</v>
      </c>
      <c r="SE16" s="159" t="s">
        <v>14</v>
      </c>
      <c r="SF16" s="176" t="s">
        <v>7</v>
      </c>
      <c r="SG16" s="246" t="s">
        <v>43</v>
      </c>
      <c r="SH16" s="254" t="s">
        <v>15</v>
      </c>
      <c r="SI16" s="131" t="s">
        <v>5</v>
      </c>
      <c r="SJ16" s="221" t="s">
        <v>261</v>
      </c>
      <c r="SK16" s="322">
        <f t="shared" si="103"/>
        <v>44.168487767411705</v>
      </c>
      <c r="SM16" s="362">
        <v>3</v>
      </c>
      <c r="SO16"/>
      <c r="SP16"/>
      <c r="TP16" s="357"/>
      <c r="TQ16" s="45" t="s">
        <v>84</v>
      </c>
      <c r="TR16" s="306">
        <f t="shared" si="104"/>
        <v>31</v>
      </c>
      <c r="TS16" s="306">
        <f t="shared" si="105"/>
        <v>9</v>
      </c>
      <c r="TT16" s="306">
        <f t="shared" si="106"/>
        <v>20</v>
      </c>
      <c r="TU16" s="306">
        <f t="shared" si="107"/>
        <v>6</v>
      </c>
      <c r="TV16" s="306">
        <f t="shared" si="108"/>
        <v>5</v>
      </c>
      <c r="TW16" s="306">
        <f t="shared" si="109"/>
        <v>24</v>
      </c>
      <c r="TX16" s="306">
        <f t="shared" si="110"/>
        <v>11</v>
      </c>
      <c r="TY16" s="306">
        <f t="shared" si="111"/>
        <v>33</v>
      </c>
      <c r="TZ16" s="306">
        <f t="shared" si="112"/>
        <v>33</v>
      </c>
      <c r="UA16" s="306">
        <f t="shared" si="113"/>
        <v>6</v>
      </c>
      <c r="UB16" s="306">
        <f t="shared" si="114"/>
        <v>11</v>
      </c>
      <c r="UC16" s="306">
        <f t="shared" si="115"/>
        <v>3</v>
      </c>
      <c r="UD16" s="306">
        <f t="shared" si="116"/>
        <v>27</v>
      </c>
      <c r="UE16" s="306">
        <f t="shared" si="117"/>
        <v>9</v>
      </c>
      <c r="UF16" s="306">
        <f t="shared" si="118"/>
        <v>24</v>
      </c>
      <c r="UG16" s="306">
        <f t="shared" si="119"/>
        <v>8</v>
      </c>
      <c r="UH16" s="306">
        <f t="shared" si="120"/>
        <v>28</v>
      </c>
      <c r="UI16" s="306">
        <f t="shared" si="121"/>
        <v>32</v>
      </c>
      <c r="UJ16" s="306">
        <f t="shared" si="122"/>
        <v>26</v>
      </c>
      <c r="UK16" s="306">
        <f t="shared" si="123"/>
        <v>31</v>
      </c>
      <c r="UL16" s="306">
        <f t="shared" si="124"/>
        <v>26</v>
      </c>
      <c r="UM16" s="306">
        <f t="shared" si="125"/>
        <v>28</v>
      </c>
      <c r="UN16" s="306">
        <f t="shared" si="126"/>
        <v>10</v>
      </c>
      <c r="UO16" s="306">
        <f t="shared" si="127"/>
        <v>13</v>
      </c>
      <c r="UP16" s="306">
        <f t="shared" si="128"/>
        <v>12</v>
      </c>
      <c r="UQ16" s="306">
        <f t="shared" si="129"/>
        <v>30</v>
      </c>
      <c r="UR16" s="306">
        <f t="shared" si="130"/>
        <v>13</v>
      </c>
      <c r="US16" s="306">
        <f t="shared" si="131"/>
        <v>3</v>
      </c>
      <c r="UT16" s="306">
        <f t="shared" si="132"/>
        <v>30</v>
      </c>
      <c r="UU16" s="306">
        <f t="shared" si="133"/>
        <v>22</v>
      </c>
      <c r="UV16" s="306">
        <f t="shared" si="134"/>
        <v>31</v>
      </c>
      <c r="UW16" s="306">
        <f t="shared" si="135"/>
        <v>33</v>
      </c>
      <c r="UX16" s="306">
        <f t="shared" si="136"/>
        <v>32</v>
      </c>
      <c r="UY16" s="306">
        <f t="shared" si="137"/>
        <v>19</v>
      </c>
      <c r="UZ16" s="306">
        <f t="shared" si="138"/>
        <v>5</v>
      </c>
      <c r="VA16" s="306">
        <f t="shared" si="139"/>
        <v>5</v>
      </c>
      <c r="VB16" s="306">
        <f t="shared" si="140"/>
        <v>25</v>
      </c>
      <c r="VC16" s="306">
        <f t="shared" si="141"/>
        <v>18</v>
      </c>
      <c r="VD16" s="306">
        <f t="shared" si="142"/>
        <v>23</v>
      </c>
      <c r="VE16" s="306">
        <f t="shared" si="143"/>
        <v>26</v>
      </c>
      <c r="VF16" s="306">
        <f t="shared" si="144"/>
        <v>17</v>
      </c>
      <c r="VG16" s="306">
        <f t="shared" si="145"/>
        <v>23</v>
      </c>
      <c r="VH16" s="306">
        <f t="shared" si="146"/>
        <v>29</v>
      </c>
      <c r="VI16" s="306">
        <f t="shared" si="147"/>
        <v>28</v>
      </c>
      <c r="VJ16" s="306">
        <f t="shared" si="148"/>
        <v>30</v>
      </c>
      <c r="VK16" s="306">
        <f t="shared" si="149"/>
        <v>32</v>
      </c>
      <c r="VL16" s="306">
        <f t="shared" si="150"/>
        <v>25</v>
      </c>
      <c r="VN16" s="306">
        <f t="shared" si="151"/>
        <v>0</v>
      </c>
      <c r="WR16" s="357"/>
      <c r="WS16" s="45" t="s">
        <v>84</v>
      </c>
      <c r="WT16" s="225" t="s">
        <v>195</v>
      </c>
      <c r="WU16" s="246" t="s">
        <v>196</v>
      </c>
      <c r="WV16" s="246" t="s">
        <v>14</v>
      </c>
      <c r="WW16" s="225" t="s">
        <v>197</v>
      </c>
      <c r="WX16" s="246" t="s">
        <v>6</v>
      </c>
      <c r="WY16" s="246" t="s">
        <v>185</v>
      </c>
      <c r="WZ16" s="312" t="s">
        <v>43</v>
      </c>
      <c r="XA16" s="246" t="s">
        <v>22</v>
      </c>
      <c r="XB16" s="225" t="s">
        <v>198</v>
      </c>
      <c r="XC16" s="159" t="s">
        <v>6</v>
      </c>
      <c r="XD16" s="159" t="s">
        <v>20</v>
      </c>
      <c r="XE16" s="159" t="s">
        <v>199</v>
      </c>
      <c r="XF16" s="246" t="s">
        <v>43</v>
      </c>
      <c r="XG16" s="159" t="s">
        <v>12</v>
      </c>
      <c r="XH16" s="159" t="s">
        <v>2</v>
      </c>
      <c r="XI16" s="159" t="s">
        <v>1</v>
      </c>
      <c r="XJ16" s="159" t="s">
        <v>7</v>
      </c>
      <c r="XK16" s="246" t="s">
        <v>8</v>
      </c>
      <c r="XL16" s="246" t="s">
        <v>43</v>
      </c>
      <c r="XM16" s="246" t="s">
        <v>43</v>
      </c>
      <c r="XN16" s="159" t="s">
        <v>11</v>
      </c>
      <c r="XO16" s="159" t="s">
        <v>2</v>
      </c>
      <c r="XP16" s="246" t="s">
        <v>12</v>
      </c>
      <c r="XQ16" s="225" t="s">
        <v>203</v>
      </c>
      <c r="XR16" s="312" t="s">
        <v>212</v>
      </c>
      <c r="XS16" s="225" t="s">
        <v>201</v>
      </c>
      <c r="XT16" s="246" t="s">
        <v>43</v>
      </c>
      <c r="XU16" s="246" t="s">
        <v>20</v>
      </c>
      <c r="XV16" s="246" t="s">
        <v>43</v>
      </c>
      <c r="XW16" s="159" t="s">
        <v>10</v>
      </c>
      <c r="XX16" s="225" t="s">
        <v>21</v>
      </c>
      <c r="XY16" s="246" t="s">
        <v>43</v>
      </c>
      <c r="XZ16" s="240" t="s">
        <v>7</v>
      </c>
      <c r="YA16" s="240" t="s">
        <v>3</v>
      </c>
      <c r="YB16" s="327" t="s">
        <v>202</v>
      </c>
      <c r="YC16" s="246" t="s">
        <v>20</v>
      </c>
      <c r="YD16" s="246" t="s">
        <v>185</v>
      </c>
      <c r="YE16" s="246" t="s">
        <v>43</v>
      </c>
      <c r="YF16" s="246" t="s">
        <v>1</v>
      </c>
      <c r="YG16" s="246" t="s">
        <v>1</v>
      </c>
      <c r="YH16" s="246" t="s">
        <v>10</v>
      </c>
      <c r="YI16" s="246" t="s">
        <v>14</v>
      </c>
      <c r="YJ16" s="159" t="s">
        <v>7</v>
      </c>
      <c r="YK16" s="159" t="s">
        <v>43</v>
      </c>
      <c r="YL16" s="159" t="s">
        <v>15</v>
      </c>
      <c r="YM16" s="246" t="s">
        <v>5</v>
      </c>
      <c r="YN16" s="246" t="s">
        <v>261</v>
      </c>
      <c r="AFZ16" s="307"/>
    </row>
    <row r="17" spans="1:858" s="306" customFormat="1" ht="20.65" x14ac:dyDescent="0.7">
      <c r="A17" s="70">
        <v>8</v>
      </c>
      <c r="B17" s="305"/>
      <c r="C17" s="45" t="s">
        <v>90</v>
      </c>
      <c r="D17" s="45" t="s">
        <v>91</v>
      </c>
      <c r="E17" s="305"/>
      <c r="F17" s="128">
        <v>91.956691752186202</v>
      </c>
      <c r="X17" s="355"/>
      <c r="AA17" s="52" t="s">
        <v>50</v>
      </c>
      <c r="AB17" s="305" t="s">
        <v>0</v>
      </c>
      <c r="AC17" s="183" t="s">
        <v>1</v>
      </c>
      <c r="AD17" s="147" t="s">
        <v>2</v>
      </c>
      <c r="AE17" s="132" t="s">
        <v>3</v>
      </c>
      <c r="AF17" s="203" t="s">
        <v>4</v>
      </c>
      <c r="AG17" s="258" t="s">
        <v>5</v>
      </c>
      <c r="AH17" s="196" t="s">
        <v>6</v>
      </c>
      <c r="AI17" s="229" t="s">
        <v>43</v>
      </c>
      <c r="AJ17" s="318" t="s">
        <v>43</v>
      </c>
      <c r="AK17" s="215" t="s">
        <v>7</v>
      </c>
      <c r="AL17" s="245" t="s">
        <v>8</v>
      </c>
      <c r="AM17" s="181" t="s">
        <v>243</v>
      </c>
      <c r="AN17" s="318" t="s">
        <v>43</v>
      </c>
      <c r="AO17" s="183" t="s">
        <v>3</v>
      </c>
      <c r="AP17" s="229" t="s">
        <v>43</v>
      </c>
      <c r="AQ17" s="318" t="s">
        <v>43</v>
      </c>
      <c r="AR17" s="318" t="s">
        <v>43</v>
      </c>
      <c r="AS17" s="146" t="s">
        <v>9</v>
      </c>
      <c r="AT17" s="210" t="s">
        <v>10</v>
      </c>
      <c r="AU17" s="238" t="s">
        <v>11</v>
      </c>
      <c r="AV17" s="238" t="s">
        <v>12</v>
      </c>
      <c r="AW17" s="147" t="s">
        <v>5</v>
      </c>
      <c r="AX17" s="229" t="s">
        <v>43</v>
      </c>
      <c r="AY17" s="229" t="s">
        <v>43</v>
      </c>
      <c r="AZ17" s="318" t="s">
        <v>43</v>
      </c>
      <c r="BA17" s="318" t="s">
        <v>43</v>
      </c>
      <c r="BB17" s="318" t="s">
        <v>43</v>
      </c>
      <c r="BC17" s="174" t="s">
        <v>13</v>
      </c>
      <c r="BD17" s="224" t="s">
        <v>244</v>
      </c>
      <c r="BE17" s="318" t="s">
        <v>43</v>
      </c>
      <c r="BF17" s="318" t="s">
        <v>43</v>
      </c>
      <c r="BG17" s="253" t="s">
        <v>7</v>
      </c>
      <c r="BH17" s="318" t="s">
        <v>43</v>
      </c>
      <c r="BI17" s="183" t="s">
        <v>14</v>
      </c>
      <c r="BJ17" s="183" t="s">
        <v>5</v>
      </c>
      <c r="BK17" s="183" t="s">
        <v>11</v>
      </c>
      <c r="BL17" s="224" t="s">
        <v>245</v>
      </c>
      <c r="BM17" s="192" t="s">
        <v>5</v>
      </c>
      <c r="BN17" s="258" t="s">
        <v>15</v>
      </c>
      <c r="BO17" s="309"/>
      <c r="BP17" s="319">
        <f t="shared" si="59"/>
        <v>21999.553583574834</v>
      </c>
      <c r="BQ17" s="320" t="s">
        <v>61</v>
      </c>
      <c r="BR17" s="143" t="s">
        <v>2</v>
      </c>
      <c r="BS17" s="268" t="s">
        <v>15</v>
      </c>
      <c r="BT17" s="143" t="s">
        <v>14</v>
      </c>
      <c r="BU17" s="171" t="s">
        <v>253</v>
      </c>
      <c r="BV17" s="229" t="s">
        <v>43</v>
      </c>
      <c r="BW17" s="161" t="s">
        <v>46</v>
      </c>
      <c r="BX17" s="220" t="s">
        <v>254</v>
      </c>
      <c r="BY17" s="227" t="s">
        <v>43</v>
      </c>
      <c r="BZ17" s="227" t="s">
        <v>43</v>
      </c>
      <c r="CA17" s="161" t="s">
        <v>5</v>
      </c>
      <c r="CB17" s="177" t="s">
        <v>8</v>
      </c>
      <c r="CC17" s="193" t="s">
        <v>6</v>
      </c>
      <c r="CD17" s="229" t="s">
        <v>43</v>
      </c>
      <c r="CE17" s="193" t="s">
        <v>6</v>
      </c>
      <c r="CF17" s="208" t="s">
        <v>22</v>
      </c>
      <c r="CG17" s="193" t="s">
        <v>10</v>
      </c>
      <c r="CH17" s="227" t="s">
        <v>43</v>
      </c>
      <c r="CI17" s="193" t="s">
        <v>10</v>
      </c>
      <c r="CJ17" s="70">
        <v>42</v>
      </c>
      <c r="DG17" s="357"/>
      <c r="DI17" s="52" t="s">
        <v>50</v>
      </c>
      <c r="DJ17" s="305" t="s">
        <v>0</v>
      </c>
      <c r="DK17" s="363">
        <f t="shared" si="0"/>
        <v>7</v>
      </c>
      <c r="DL17" s="363">
        <f t="shared" si="1"/>
        <v>5</v>
      </c>
      <c r="DM17" s="363">
        <f t="shared" si="2"/>
        <v>7</v>
      </c>
      <c r="DN17" s="363">
        <f t="shared" si="3"/>
        <v>5</v>
      </c>
      <c r="DO17" s="363">
        <f t="shared" si="4"/>
        <v>7</v>
      </c>
      <c r="DP17" s="363">
        <f t="shared" si="5"/>
        <v>5</v>
      </c>
      <c r="DQ17" s="363">
        <f t="shared" si="6"/>
        <v>0</v>
      </c>
      <c r="DR17" s="363">
        <f t="shared" si="7"/>
        <v>0</v>
      </c>
      <c r="DS17" s="363">
        <f t="shared" si="8"/>
        <v>2</v>
      </c>
      <c r="DT17" s="363">
        <f t="shared" si="9"/>
        <v>2</v>
      </c>
      <c r="DU17" s="363">
        <f t="shared" si="10"/>
        <v>0</v>
      </c>
      <c r="DV17" s="363">
        <f t="shared" si="11"/>
        <v>0</v>
      </c>
      <c r="DW17" s="363">
        <f t="shared" si="12"/>
        <v>7</v>
      </c>
      <c r="DX17" s="363">
        <f t="shared" si="13"/>
        <v>0</v>
      </c>
      <c r="DY17" s="363">
        <f t="shared" si="14"/>
        <v>0</v>
      </c>
      <c r="DZ17" s="363">
        <f t="shared" si="15"/>
        <v>4</v>
      </c>
      <c r="EA17" s="363">
        <f t="shared" si="16"/>
        <v>7</v>
      </c>
      <c r="EB17" s="363">
        <f t="shared" si="17"/>
        <v>0</v>
      </c>
      <c r="EC17" s="363">
        <f t="shared" si="18"/>
        <v>0</v>
      </c>
      <c r="ED17" s="363">
        <f t="shared" si="19"/>
        <v>0</v>
      </c>
      <c r="EE17" s="363">
        <f t="shared" si="20"/>
        <v>2</v>
      </c>
      <c r="EF17" s="363">
        <f t="shared" si="21"/>
        <v>5</v>
      </c>
      <c r="EG17" s="363">
        <f t="shared" si="22"/>
        <v>5</v>
      </c>
      <c r="EH17" s="363">
        <f t="shared" si="23"/>
        <v>2</v>
      </c>
      <c r="EI17" s="363">
        <f t="shared" si="24"/>
        <v>2</v>
      </c>
      <c r="EJ17" s="363">
        <f t="shared" si="25"/>
        <v>0</v>
      </c>
      <c r="EK17" s="363">
        <f t="shared" si="26"/>
        <v>2</v>
      </c>
      <c r="EL17" s="363">
        <f t="shared" si="27"/>
        <v>0</v>
      </c>
      <c r="EM17" s="363">
        <f t="shared" si="28"/>
        <v>0</v>
      </c>
      <c r="EN17" s="363">
        <f t="shared" si="29"/>
        <v>3</v>
      </c>
      <c r="EO17" s="363">
        <f t="shared" si="30"/>
        <v>5</v>
      </c>
      <c r="EP17" s="363">
        <f t="shared" si="31"/>
        <v>2</v>
      </c>
      <c r="EQ17" s="363">
        <f t="shared" si="32"/>
        <v>6</v>
      </c>
      <c r="ER17" s="363">
        <f t="shared" si="33"/>
        <v>5</v>
      </c>
      <c r="ES17" s="363">
        <f t="shared" si="34"/>
        <v>7</v>
      </c>
      <c r="ET17" s="363">
        <f t="shared" si="35"/>
        <v>7</v>
      </c>
      <c r="EU17" s="363">
        <f t="shared" si="36"/>
        <v>7</v>
      </c>
      <c r="EV17" s="363">
        <f t="shared" si="37"/>
        <v>7</v>
      </c>
      <c r="EW17" s="320" t="s">
        <v>61</v>
      </c>
      <c r="EX17" s="363">
        <f t="shared" si="38"/>
        <v>6</v>
      </c>
      <c r="EY17" s="363">
        <f t="shared" si="39"/>
        <v>7</v>
      </c>
      <c r="EZ17" s="363">
        <f t="shared" si="40"/>
        <v>5</v>
      </c>
      <c r="FA17" s="363">
        <f t="shared" si="41"/>
        <v>0</v>
      </c>
      <c r="FB17" s="363">
        <f t="shared" si="42"/>
        <v>0</v>
      </c>
      <c r="FC17" s="363">
        <f t="shared" si="43"/>
        <v>0</v>
      </c>
      <c r="FD17" s="363">
        <f t="shared" si="44"/>
        <v>0</v>
      </c>
      <c r="FE17" s="363">
        <f t="shared" si="45"/>
        <v>7</v>
      </c>
      <c r="FF17" s="363">
        <f t="shared" si="46"/>
        <v>0</v>
      </c>
      <c r="FG17" s="363">
        <f t="shared" si="47"/>
        <v>0</v>
      </c>
      <c r="FH17" s="363">
        <f t="shared" si="48"/>
        <v>7</v>
      </c>
      <c r="FI17" s="363">
        <f t="shared" si="49"/>
        <v>0</v>
      </c>
      <c r="FJ17" s="363">
        <f t="shared" si="50"/>
        <v>0</v>
      </c>
      <c r="FK17" s="363">
        <f t="shared" si="51"/>
        <v>0</v>
      </c>
      <c r="FL17" s="363">
        <f t="shared" si="52"/>
        <v>1</v>
      </c>
      <c r="FM17" s="363">
        <f t="shared" si="53"/>
        <v>7</v>
      </c>
      <c r="FN17" s="363">
        <f t="shared" si="54"/>
        <v>7</v>
      </c>
      <c r="FO17" s="363">
        <f t="shared" si="55"/>
        <v>7</v>
      </c>
      <c r="FP17" s="363">
        <f t="shared" si="60"/>
        <v>12</v>
      </c>
      <c r="FQ17" s="363">
        <f t="shared" si="61"/>
        <v>9</v>
      </c>
      <c r="FR17" s="309">
        <f t="shared" si="62"/>
        <v>21</v>
      </c>
      <c r="GM17" s="357"/>
      <c r="GO17" s="52" t="s">
        <v>50</v>
      </c>
      <c r="GP17" s="305" t="s">
        <v>0</v>
      </c>
      <c r="GQ17" s="244" t="s">
        <v>1</v>
      </c>
      <c r="GR17" s="244" t="s">
        <v>2</v>
      </c>
      <c r="GS17" s="244" t="s">
        <v>3</v>
      </c>
      <c r="GT17" s="244" t="s">
        <v>4</v>
      </c>
      <c r="GU17" s="244" t="s">
        <v>5</v>
      </c>
      <c r="GV17" s="244" t="s">
        <v>6</v>
      </c>
      <c r="GW17" s="244" t="s">
        <v>43</v>
      </c>
      <c r="GX17" s="318" t="s">
        <v>43</v>
      </c>
      <c r="GY17" s="244" t="s">
        <v>7</v>
      </c>
      <c r="GZ17" s="223" t="s">
        <v>8</v>
      </c>
      <c r="HA17" s="365" t="s">
        <v>317</v>
      </c>
      <c r="HB17" s="318" t="s">
        <v>43</v>
      </c>
      <c r="HC17" s="244" t="s">
        <v>3</v>
      </c>
      <c r="HD17" s="244" t="s">
        <v>43</v>
      </c>
      <c r="HE17" s="318" t="s">
        <v>43</v>
      </c>
      <c r="HF17" s="318" t="s">
        <v>43</v>
      </c>
      <c r="HG17" s="244" t="s">
        <v>9</v>
      </c>
      <c r="HH17" s="244" t="s">
        <v>10</v>
      </c>
      <c r="HI17" s="244" t="s">
        <v>11</v>
      </c>
      <c r="HJ17" s="244" t="s">
        <v>12</v>
      </c>
      <c r="HK17" s="244" t="s">
        <v>5</v>
      </c>
      <c r="HL17" s="244" t="s">
        <v>43</v>
      </c>
      <c r="HM17" s="244" t="s">
        <v>43</v>
      </c>
      <c r="HN17" s="318" t="s">
        <v>43</v>
      </c>
      <c r="HO17" s="318" t="s">
        <v>43</v>
      </c>
      <c r="HP17" s="318" t="s">
        <v>43</v>
      </c>
      <c r="HQ17" s="366" t="s">
        <v>13</v>
      </c>
      <c r="HR17" s="366" t="s">
        <v>318</v>
      </c>
      <c r="HS17" s="318" t="s">
        <v>43</v>
      </c>
      <c r="HT17" s="318" t="s">
        <v>43</v>
      </c>
      <c r="HU17" s="244" t="s">
        <v>7</v>
      </c>
      <c r="HV17" s="318" t="s">
        <v>43</v>
      </c>
      <c r="HW17" s="244" t="s">
        <v>14</v>
      </c>
      <c r="HX17" s="244" t="s">
        <v>5</v>
      </c>
      <c r="HY17" s="244" t="s">
        <v>11</v>
      </c>
      <c r="HZ17" s="366" t="s">
        <v>319</v>
      </c>
      <c r="IA17" s="244" t="s">
        <v>5</v>
      </c>
      <c r="IB17" s="244" t="s">
        <v>15</v>
      </c>
      <c r="IC17" s="320" t="s">
        <v>61</v>
      </c>
      <c r="ID17" s="173" t="s">
        <v>2</v>
      </c>
      <c r="IE17" s="173" t="s">
        <v>15</v>
      </c>
      <c r="IF17" s="173" t="s">
        <v>14</v>
      </c>
      <c r="IG17" s="368" t="s">
        <v>321</v>
      </c>
      <c r="IH17" s="244" t="s">
        <v>43</v>
      </c>
      <c r="II17" s="173" t="s">
        <v>46</v>
      </c>
      <c r="IJ17" s="368" t="s">
        <v>322</v>
      </c>
      <c r="IK17" s="173" t="s">
        <v>43</v>
      </c>
      <c r="IL17" s="173" t="s">
        <v>43</v>
      </c>
      <c r="IM17" s="173" t="s">
        <v>5</v>
      </c>
      <c r="IN17" s="173" t="s">
        <v>8</v>
      </c>
      <c r="IO17" s="173" t="s">
        <v>6</v>
      </c>
      <c r="IP17" s="244" t="s">
        <v>43</v>
      </c>
      <c r="IQ17" s="173" t="s">
        <v>6</v>
      </c>
      <c r="IR17" s="173" t="s">
        <v>22</v>
      </c>
      <c r="IS17" s="173" t="s">
        <v>10</v>
      </c>
      <c r="IT17" s="173" t="s">
        <v>43</v>
      </c>
      <c r="IU17" s="173" t="s">
        <v>10</v>
      </c>
      <c r="JN17" s="357"/>
      <c r="JO17" s="369">
        <v>71</v>
      </c>
      <c r="JP17" s="305" t="s">
        <v>135</v>
      </c>
      <c r="JQ17" s="332" t="s">
        <v>144</v>
      </c>
      <c r="JR17" s="67" t="s">
        <v>145</v>
      </c>
      <c r="JS17" s="159" t="s">
        <v>7</v>
      </c>
      <c r="JT17" s="246" t="s">
        <v>43</v>
      </c>
      <c r="JU17" s="109" t="s">
        <v>6</v>
      </c>
      <c r="JV17" s="155" t="s">
        <v>20</v>
      </c>
      <c r="JW17" s="112" t="s">
        <v>188</v>
      </c>
      <c r="JX17" s="254" t="s">
        <v>8</v>
      </c>
      <c r="JY17" s="221" t="s">
        <v>7</v>
      </c>
      <c r="JZ17" s="159" t="s">
        <v>8</v>
      </c>
      <c r="KA17" s="111" t="s">
        <v>189</v>
      </c>
      <c r="KB17" s="115" t="s">
        <v>192</v>
      </c>
      <c r="KC17" s="246" t="s">
        <v>43</v>
      </c>
      <c r="KD17" s="246" t="s">
        <v>43</v>
      </c>
      <c r="KE17" s="159" t="s">
        <v>6</v>
      </c>
      <c r="KF17" s="230" t="s">
        <v>185</v>
      </c>
      <c r="KG17" s="114" t="s">
        <v>7</v>
      </c>
      <c r="KH17" s="118" t="s">
        <v>186</v>
      </c>
      <c r="KI17" s="246" t="s">
        <v>43</v>
      </c>
      <c r="KJ17" s="190" t="s">
        <v>187</v>
      </c>
      <c r="KK17" s="246" t="s">
        <v>43</v>
      </c>
      <c r="KL17" s="159" t="s">
        <v>12</v>
      </c>
      <c r="KM17" s="159" t="s">
        <v>14</v>
      </c>
      <c r="KN17" s="182" t="s">
        <v>6</v>
      </c>
      <c r="KO17" s="182" t="s">
        <v>5</v>
      </c>
      <c r="KP17" s="322">
        <f t="shared" si="63"/>
        <v>363.03917236841528</v>
      </c>
      <c r="KR17" s="329" t="s">
        <v>135</v>
      </c>
      <c r="KS17" s="159" t="s">
        <v>10</v>
      </c>
      <c r="KT17" s="170" t="s">
        <v>9</v>
      </c>
      <c r="KU17" s="221" t="s">
        <v>20</v>
      </c>
      <c r="KV17" s="166" t="s">
        <v>4</v>
      </c>
      <c r="KW17" s="204" t="s">
        <v>193</v>
      </c>
      <c r="KX17" s="240" t="s">
        <v>6</v>
      </c>
      <c r="KY17" s="240" t="s">
        <v>15</v>
      </c>
      <c r="KZ17" s="240" t="s">
        <v>6</v>
      </c>
      <c r="LA17" s="158" t="s">
        <v>15</v>
      </c>
      <c r="LB17" s="166" t="s">
        <v>9</v>
      </c>
      <c r="LC17" s="159" t="s">
        <v>185</v>
      </c>
      <c r="LD17" s="159" t="s">
        <v>6</v>
      </c>
      <c r="LE17" s="159" t="s">
        <v>8</v>
      </c>
      <c r="LF17" s="166" t="s">
        <v>15</v>
      </c>
      <c r="LG17" s="113" t="s">
        <v>228</v>
      </c>
      <c r="LH17" s="358">
        <v>4</v>
      </c>
      <c r="LW17" s="369">
        <v>71</v>
      </c>
      <c r="LX17" s="317" t="s">
        <v>135</v>
      </c>
      <c r="LY17" s="379" t="s">
        <v>144</v>
      </c>
      <c r="LZ17" s="306">
        <f t="shared" si="64"/>
        <v>20</v>
      </c>
      <c r="MA17" s="306">
        <f t="shared" si="65"/>
        <v>13</v>
      </c>
      <c r="MB17" s="306">
        <f t="shared" si="66"/>
        <v>14</v>
      </c>
      <c r="MC17" s="306">
        <f t="shared" si="67"/>
        <v>28</v>
      </c>
      <c r="MD17" s="306">
        <f t="shared" si="68"/>
        <v>17</v>
      </c>
      <c r="ME17" s="306">
        <f t="shared" si="69"/>
        <v>21</v>
      </c>
      <c r="MF17" s="306">
        <f t="shared" si="70"/>
        <v>19</v>
      </c>
      <c r="MG17" s="306">
        <f t="shared" si="71"/>
        <v>23</v>
      </c>
      <c r="MH17" s="306">
        <f t="shared" si="72"/>
        <v>18</v>
      </c>
      <c r="MI17" s="306">
        <f t="shared" si="73"/>
        <v>9</v>
      </c>
      <c r="MJ17" s="306">
        <f t="shared" si="74"/>
        <v>18</v>
      </c>
      <c r="MK17" s="306">
        <f t="shared" si="75"/>
        <v>9</v>
      </c>
      <c r="ML17" s="306">
        <f t="shared" si="76"/>
        <v>12</v>
      </c>
      <c r="MM17" s="306">
        <f t="shared" si="77"/>
        <v>18</v>
      </c>
      <c r="MN17" s="306">
        <f t="shared" si="78"/>
        <v>8</v>
      </c>
      <c r="MO17" s="306">
        <f t="shared" si="79"/>
        <v>19</v>
      </c>
      <c r="MP17" s="306">
        <f t="shared" si="80"/>
        <v>19</v>
      </c>
      <c r="MQ17" s="306">
        <f t="shared" si="81"/>
        <v>21</v>
      </c>
      <c r="MR17" s="306">
        <f t="shared" si="82"/>
        <v>22</v>
      </c>
      <c r="MS17" s="306">
        <f t="shared" si="83"/>
        <v>25</v>
      </c>
      <c r="MT17" s="306">
        <f t="shared" si="84"/>
        <v>26</v>
      </c>
      <c r="MU17" s="306">
        <f t="shared" si="85"/>
        <v>28</v>
      </c>
      <c r="MV17" s="306">
        <f t="shared" si="86"/>
        <v>23</v>
      </c>
      <c r="MY17" s="306">
        <f t="shared" si="87"/>
        <v>25</v>
      </c>
      <c r="MZ17" s="306">
        <f t="shared" si="88"/>
        <v>29</v>
      </c>
      <c r="NA17" s="306">
        <f t="shared" si="89"/>
        <v>28</v>
      </c>
      <c r="NB17" s="306">
        <f t="shared" si="90"/>
        <v>17</v>
      </c>
      <c r="NC17" s="306">
        <f t="shared" si="91"/>
        <v>16</v>
      </c>
      <c r="ND17" s="306">
        <f t="shared" si="92"/>
        <v>28</v>
      </c>
      <c r="NE17" s="306">
        <f t="shared" si="93"/>
        <v>29</v>
      </c>
      <c r="NF17" s="306">
        <f t="shared" si="94"/>
        <v>29</v>
      </c>
      <c r="NG17" s="306">
        <f t="shared" si="95"/>
        <v>13</v>
      </c>
      <c r="NH17" s="306">
        <f t="shared" si="96"/>
        <v>26</v>
      </c>
      <c r="NI17" s="306">
        <f t="shared" si="97"/>
        <v>14</v>
      </c>
      <c r="NJ17" s="306">
        <f t="shared" si="98"/>
        <v>13</v>
      </c>
      <c r="NK17" s="306">
        <f t="shared" si="99"/>
        <v>11</v>
      </c>
      <c r="NL17" s="306">
        <f t="shared" si="100"/>
        <v>26</v>
      </c>
      <c r="NM17" s="306">
        <f t="shared" si="57"/>
        <v>15</v>
      </c>
      <c r="NN17" s="306">
        <f t="shared" si="101"/>
        <v>0</v>
      </c>
      <c r="NO17" s="306">
        <f t="shared" si="102"/>
        <v>0</v>
      </c>
      <c r="NU17" s="379" t="s">
        <v>144</v>
      </c>
      <c r="NV17" s="357"/>
      <c r="NX17" s="246" t="s">
        <v>7</v>
      </c>
      <c r="NY17" s="246" t="s">
        <v>43</v>
      </c>
      <c r="NZ17" s="246" t="s">
        <v>6</v>
      </c>
      <c r="OA17" s="246" t="s">
        <v>20</v>
      </c>
      <c r="OB17" s="372" t="s">
        <v>188</v>
      </c>
      <c r="OC17" s="230" t="s">
        <v>8</v>
      </c>
      <c r="OD17" s="230" t="s">
        <v>7</v>
      </c>
      <c r="OE17" s="230" t="s">
        <v>8</v>
      </c>
      <c r="OF17" s="371" t="s">
        <v>189</v>
      </c>
      <c r="OG17" s="372" t="s">
        <v>192</v>
      </c>
      <c r="OH17" s="246" t="s">
        <v>43</v>
      </c>
      <c r="OI17" s="246" t="s">
        <v>43</v>
      </c>
      <c r="OJ17" s="163" t="s">
        <v>6</v>
      </c>
      <c r="OK17" s="163" t="s">
        <v>185</v>
      </c>
      <c r="OL17" s="246" t="s">
        <v>7</v>
      </c>
      <c r="OM17" s="372" t="s">
        <v>186</v>
      </c>
      <c r="ON17" s="246" t="s">
        <v>43</v>
      </c>
      <c r="OO17" s="225" t="s">
        <v>187</v>
      </c>
      <c r="OP17" s="246" t="s">
        <v>43</v>
      </c>
      <c r="OQ17" s="246" t="s">
        <v>12</v>
      </c>
      <c r="OR17" s="159" t="s">
        <v>14</v>
      </c>
      <c r="OS17" s="159" t="s">
        <v>6</v>
      </c>
      <c r="OT17" s="246" t="s">
        <v>5</v>
      </c>
      <c r="OV17" s="370" t="s">
        <v>135</v>
      </c>
      <c r="OW17" s="246" t="s">
        <v>10</v>
      </c>
      <c r="OX17" s="246" t="s">
        <v>9</v>
      </c>
      <c r="OY17" s="159" t="s">
        <v>20</v>
      </c>
      <c r="OZ17" s="159" t="s">
        <v>4</v>
      </c>
      <c r="PA17" s="225" t="s">
        <v>193</v>
      </c>
      <c r="PB17" s="246" t="s">
        <v>6</v>
      </c>
      <c r="PC17" s="246" t="s">
        <v>15</v>
      </c>
      <c r="PD17" s="246" t="s">
        <v>6</v>
      </c>
      <c r="PE17" s="246" t="s">
        <v>15</v>
      </c>
      <c r="PF17" s="246" t="s">
        <v>9</v>
      </c>
      <c r="PG17" s="246" t="s">
        <v>185</v>
      </c>
      <c r="PH17" s="246" t="s">
        <v>6</v>
      </c>
      <c r="PI17" s="246" t="s">
        <v>8</v>
      </c>
      <c r="PJ17" s="246" t="s">
        <v>15</v>
      </c>
      <c r="PK17" s="373" t="s">
        <v>228</v>
      </c>
      <c r="PM17"/>
      <c r="PN17"/>
      <c r="PO17"/>
      <c r="PP17"/>
      <c r="PQ17"/>
      <c r="PR17"/>
      <c r="PS17"/>
      <c r="PT17"/>
      <c r="QN17" s="357"/>
      <c r="QO17" s="45" t="s">
        <v>86</v>
      </c>
      <c r="QP17" s="204" t="s">
        <v>195</v>
      </c>
      <c r="QQ17" s="166" t="s">
        <v>20</v>
      </c>
      <c r="QR17" s="198" t="s">
        <v>2</v>
      </c>
      <c r="QS17" s="333" t="s">
        <v>204</v>
      </c>
      <c r="QT17" s="159" t="s">
        <v>1</v>
      </c>
      <c r="QU17" s="159" t="s">
        <v>15</v>
      </c>
      <c r="QV17" s="159" t="s">
        <v>1</v>
      </c>
      <c r="QW17" s="131" t="s">
        <v>22</v>
      </c>
      <c r="QX17" s="216" t="s">
        <v>198</v>
      </c>
      <c r="QY17" s="246" t="s">
        <v>2</v>
      </c>
      <c r="QZ17" s="166" t="s">
        <v>11</v>
      </c>
      <c r="RA17" s="221" t="s">
        <v>2</v>
      </c>
      <c r="RB17" s="246" t="s">
        <v>43</v>
      </c>
      <c r="RC17" s="182" t="s">
        <v>8</v>
      </c>
      <c r="RD17" s="166" t="s">
        <v>22</v>
      </c>
      <c r="RE17" s="131" t="s">
        <v>205</v>
      </c>
      <c r="RF17" s="159" t="s">
        <v>7</v>
      </c>
      <c r="RG17" s="159" t="s">
        <v>8</v>
      </c>
      <c r="RH17" s="124" t="s">
        <v>206</v>
      </c>
      <c r="RI17" s="246" t="s">
        <v>43</v>
      </c>
      <c r="RJ17" s="125" t="s">
        <v>11</v>
      </c>
      <c r="RK17" s="182" t="s">
        <v>2</v>
      </c>
      <c r="RL17" s="131" t="s">
        <v>6</v>
      </c>
      <c r="RM17" s="246" t="s">
        <v>43</v>
      </c>
      <c r="RN17" s="312" t="s">
        <v>43</v>
      </c>
      <c r="RO17" s="124" t="s">
        <v>207</v>
      </c>
      <c r="RP17" s="182" t="s">
        <v>14</v>
      </c>
      <c r="RQ17" s="166" t="s">
        <v>185</v>
      </c>
      <c r="RR17" s="254" t="s">
        <v>3</v>
      </c>
      <c r="RS17" s="246" t="s">
        <v>43</v>
      </c>
      <c r="RT17" s="124" t="s">
        <v>208</v>
      </c>
      <c r="RU17" s="246" t="s">
        <v>43</v>
      </c>
      <c r="RV17" s="182" t="s">
        <v>7</v>
      </c>
      <c r="RW17" s="182" t="s">
        <v>7</v>
      </c>
      <c r="RX17" s="334" t="s">
        <v>209</v>
      </c>
      <c r="RY17" s="158" t="s">
        <v>22</v>
      </c>
      <c r="RZ17" s="159" t="s">
        <v>185</v>
      </c>
      <c r="SA17" s="246" t="s">
        <v>43</v>
      </c>
      <c r="SB17" s="221" t="s">
        <v>1</v>
      </c>
      <c r="SC17" s="176" t="s">
        <v>1</v>
      </c>
      <c r="SD17" s="166" t="s">
        <v>15</v>
      </c>
      <c r="SE17" s="211" t="s">
        <v>22</v>
      </c>
      <c r="SF17" s="176" t="s">
        <v>7</v>
      </c>
      <c r="SG17" s="246" t="s">
        <v>43</v>
      </c>
      <c r="SH17" s="254" t="s">
        <v>15</v>
      </c>
      <c r="SI17" s="131" t="s">
        <v>5</v>
      </c>
      <c r="SJ17" s="221" t="s">
        <v>261</v>
      </c>
      <c r="SK17" s="322">
        <f t="shared" si="103"/>
        <v>3257.172716405496</v>
      </c>
      <c r="SM17" s="362">
        <v>4</v>
      </c>
      <c r="SO17"/>
      <c r="SP17"/>
      <c r="TP17" s="357"/>
      <c r="TQ17" s="45" t="s">
        <v>86</v>
      </c>
      <c r="TR17" s="306">
        <f t="shared" si="104"/>
        <v>31</v>
      </c>
      <c r="TS17" s="306">
        <f t="shared" si="105"/>
        <v>23</v>
      </c>
      <c r="TT17" s="306">
        <f t="shared" si="106"/>
        <v>12</v>
      </c>
      <c r="TU17" s="306">
        <f t="shared" si="107"/>
        <v>9</v>
      </c>
      <c r="TV17" s="306">
        <f t="shared" si="108"/>
        <v>12</v>
      </c>
      <c r="TW17" s="306">
        <f t="shared" si="109"/>
        <v>12</v>
      </c>
      <c r="TX17" s="306">
        <f t="shared" si="110"/>
        <v>12</v>
      </c>
      <c r="TY17" s="306">
        <f t="shared" si="111"/>
        <v>33</v>
      </c>
      <c r="TZ17" s="306">
        <f t="shared" si="112"/>
        <v>33</v>
      </c>
      <c r="UA17" s="306">
        <f t="shared" si="113"/>
        <v>4</v>
      </c>
      <c r="UB17" s="306">
        <f t="shared" si="114"/>
        <v>19</v>
      </c>
      <c r="UC17" s="306">
        <f t="shared" si="115"/>
        <v>23</v>
      </c>
      <c r="UD17" s="306">
        <f t="shared" si="116"/>
        <v>27</v>
      </c>
      <c r="UE17" s="306">
        <f t="shared" si="117"/>
        <v>26</v>
      </c>
      <c r="UF17" s="306">
        <f t="shared" si="118"/>
        <v>12</v>
      </c>
      <c r="UG17" s="306">
        <f t="shared" si="119"/>
        <v>7</v>
      </c>
      <c r="UH17" s="306">
        <f t="shared" si="120"/>
        <v>28</v>
      </c>
      <c r="UI17" s="306">
        <f t="shared" si="121"/>
        <v>32</v>
      </c>
      <c r="UJ17" s="306">
        <f t="shared" si="122"/>
        <v>9</v>
      </c>
      <c r="UK17" s="306">
        <f t="shared" si="123"/>
        <v>31</v>
      </c>
      <c r="UL17" s="306">
        <f t="shared" si="124"/>
        <v>26</v>
      </c>
      <c r="UM17" s="306">
        <f t="shared" si="125"/>
        <v>28</v>
      </c>
      <c r="UN17" s="306">
        <f t="shared" si="126"/>
        <v>18</v>
      </c>
      <c r="UO17" s="306">
        <f t="shared" si="127"/>
        <v>23</v>
      </c>
      <c r="UP17" s="306">
        <f t="shared" si="128"/>
        <v>13</v>
      </c>
      <c r="UQ17" s="306">
        <f t="shared" si="129"/>
        <v>3</v>
      </c>
      <c r="UR17" s="306">
        <f t="shared" si="130"/>
        <v>16</v>
      </c>
      <c r="US17" s="306">
        <f t="shared" si="131"/>
        <v>7</v>
      </c>
      <c r="UT17" s="306">
        <f t="shared" si="132"/>
        <v>6</v>
      </c>
      <c r="UU17" s="306">
        <f t="shared" si="133"/>
        <v>3</v>
      </c>
      <c r="UV17" s="306">
        <f t="shared" si="134"/>
        <v>5</v>
      </c>
      <c r="UW17" s="306">
        <f t="shared" si="135"/>
        <v>33</v>
      </c>
      <c r="UX17" s="306">
        <f t="shared" si="136"/>
        <v>32</v>
      </c>
      <c r="UY17" s="306">
        <f t="shared" si="137"/>
        <v>17</v>
      </c>
      <c r="UZ17" s="306">
        <f t="shared" si="138"/>
        <v>12</v>
      </c>
      <c r="VA17" s="306">
        <f t="shared" si="139"/>
        <v>18</v>
      </c>
      <c r="VB17" s="306">
        <f t="shared" si="140"/>
        <v>25</v>
      </c>
      <c r="VC17" s="306">
        <f t="shared" si="141"/>
        <v>18</v>
      </c>
      <c r="VD17" s="306">
        <f t="shared" si="142"/>
        <v>23</v>
      </c>
      <c r="VE17" s="306">
        <f t="shared" si="143"/>
        <v>26</v>
      </c>
      <c r="VF17" s="306">
        <f t="shared" si="144"/>
        <v>19</v>
      </c>
      <c r="VG17" s="306">
        <f t="shared" si="145"/>
        <v>13</v>
      </c>
      <c r="VH17" s="306">
        <f t="shared" si="146"/>
        <v>29</v>
      </c>
      <c r="VI17" s="306">
        <f t="shared" si="147"/>
        <v>28</v>
      </c>
      <c r="VJ17" s="306">
        <f t="shared" si="148"/>
        <v>30</v>
      </c>
      <c r="VK17" s="306">
        <f t="shared" si="149"/>
        <v>32</v>
      </c>
      <c r="VL17" s="306">
        <f t="shared" si="150"/>
        <v>25</v>
      </c>
      <c r="VN17" s="306">
        <f t="shared" si="151"/>
        <v>0</v>
      </c>
      <c r="WR17" s="357"/>
      <c r="WS17" s="45" t="s">
        <v>86</v>
      </c>
      <c r="WT17" s="225" t="s">
        <v>195</v>
      </c>
      <c r="WU17" s="246" t="s">
        <v>20</v>
      </c>
      <c r="WV17" s="246" t="s">
        <v>2</v>
      </c>
      <c r="WW17" s="335" t="s">
        <v>204</v>
      </c>
      <c r="WX17" s="246" t="s">
        <v>1</v>
      </c>
      <c r="WY17" s="246" t="s">
        <v>15</v>
      </c>
      <c r="WZ17" s="246" t="s">
        <v>1</v>
      </c>
      <c r="XA17" s="246" t="s">
        <v>22</v>
      </c>
      <c r="XB17" s="225" t="s">
        <v>198</v>
      </c>
      <c r="XC17" s="131" t="s">
        <v>2</v>
      </c>
      <c r="XD17" s="131" t="s">
        <v>11</v>
      </c>
      <c r="XE17" s="131" t="s">
        <v>2</v>
      </c>
      <c r="XF17" s="246" t="s">
        <v>43</v>
      </c>
      <c r="XG17" s="240" t="s">
        <v>8</v>
      </c>
      <c r="XH17" s="240" t="s">
        <v>22</v>
      </c>
      <c r="XI17" s="240" t="s">
        <v>205</v>
      </c>
      <c r="XJ17" s="240" t="s">
        <v>7</v>
      </c>
      <c r="XK17" s="240" t="s">
        <v>8</v>
      </c>
      <c r="XL17" s="204" t="s">
        <v>206</v>
      </c>
      <c r="XM17" s="246" t="s">
        <v>43</v>
      </c>
      <c r="XN17" s="159" t="s">
        <v>11</v>
      </c>
      <c r="XO17" s="159" t="s">
        <v>2</v>
      </c>
      <c r="XP17" s="246" t="s">
        <v>6</v>
      </c>
      <c r="XQ17" s="246" t="s">
        <v>43</v>
      </c>
      <c r="XR17" s="312" t="s">
        <v>43</v>
      </c>
      <c r="XS17" s="225" t="s">
        <v>207</v>
      </c>
      <c r="XT17" s="246" t="s">
        <v>14</v>
      </c>
      <c r="XU17" s="246" t="s">
        <v>185</v>
      </c>
      <c r="XV17" s="246" t="s">
        <v>3</v>
      </c>
      <c r="XW17" s="246" t="s">
        <v>43</v>
      </c>
      <c r="XX17" s="225" t="s">
        <v>208</v>
      </c>
      <c r="XY17" s="246" t="s">
        <v>43</v>
      </c>
      <c r="XZ17" s="166" t="s">
        <v>7</v>
      </c>
      <c r="YA17" s="166" t="s">
        <v>7</v>
      </c>
      <c r="YB17" s="327" t="s">
        <v>209</v>
      </c>
      <c r="YC17" s="246" t="s">
        <v>22</v>
      </c>
      <c r="YD17" s="246" t="s">
        <v>185</v>
      </c>
      <c r="YE17" s="246" t="s">
        <v>43</v>
      </c>
      <c r="YF17" s="246" t="s">
        <v>1</v>
      </c>
      <c r="YG17" s="246" t="s">
        <v>1</v>
      </c>
      <c r="YH17" s="246" t="s">
        <v>15</v>
      </c>
      <c r="YI17" s="246" t="s">
        <v>22</v>
      </c>
      <c r="YJ17" s="159" t="s">
        <v>7</v>
      </c>
      <c r="YK17" s="159" t="s">
        <v>43</v>
      </c>
      <c r="YL17" s="159" t="s">
        <v>15</v>
      </c>
      <c r="YM17" s="246" t="s">
        <v>5</v>
      </c>
      <c r="YN17" s="246" t="s">
        <v>261</v>
      </c>
      <c r="AFZ17" s="307"/>
    </row>
    <row r="18" spans="1:858" s="306" customFormat="1" ht="20.65" x14ac:dyDescent="0.5">
      <c r="A18" s="70">
        <v>9</v>
      </c>
      <c r="B18" s="305"/>
      <c r="C18" s="45" t="s">
        <v>92</v>
      </c>
      <c r="D18" s="45" t="s">
        <v>91</v>
      </c>
      <c r="E18" s="305"/>
      <c r="F18" s="128">
        <v>85.959212606499193</v>
      </c>
      <c r="X18" s="355"/>
      <c r="AA18" s="52" t="s">
        <v>50</v>
      </c>
      <c r="AB18" s="305" t="s">
        <v>16</v>
      </c>
      <c r="AC18" s="183" t="s">
        <v>1</v>
      </c>
      <c r="AD18" s="147" t="s">
        <v>2</v>
      </c>
      <c r="AE18" s="132" t="s">
        <v>3</v>
      </c>
      <c r="AF18" s="203" t="s">
        <v>4</v>
      </c>
      <c r="AG18" s="258" t="s">
        <v>5</v>
      </c>
      <c r="AH18" s="196" t="s">
        <v>6</v>
      </c>
      <c r="AI18" s="318" t="s">
        <v>43</v>
      </c>
      <c r="AJ18" s="318" t="s">
        <v>43</v>
      </c>
      <c r="AK18" s="215" t="s">
        <v>7</v>
      </c>
      <c r="AL18" s="245" t="s">
        <v>8</v>
      </c>
      <c r="AM18" s="181" t="s">
        <v>243</v>
      </c>
      <c r="AN18" s="318" t="s">
        <v>43</v>
      </c>
      <c r="AO18" s="183" t="s">
        <v>3</v>
      </c>
      <c r="AP18" s="229" t="s">
        <v>43</v>
      </c>
      <c r="AQ18" s="318" t="s">
        <v>43</v>
      </c>
      <c r="AR18" s="318" t="s">
        <v>43</v>
      </c>
      <c r="AS18" s="146" t="s">
        <v>9</v>
      </c>
      <c r="AT18" s="210" t="s">
        <v>10</v>
      </c>
      <c r="AU18" s="238" t="s">
        <v>11</v>
      </c>
      <c r="AV18" s="238" t="s">
        <v>12</v>
      </c>
      <c r="AW18" s="147" t="s">
        <v>5</v>
      </c>
      <c r="AX18" s="229" t="s">
        <v>43</v>
      </c>
      <c r="AY18" s="229" t="s">
        <v>43</v>
      </c>
      <c r="AZ18" s="318" t="s">
        <v>43</v>
      </c>
      <c r="BA18" s="318" t="s">
        <v>43</v>
      </c>
      <c r="BB18" s="318" t="s">
        <v>43</v>
      </c>
      <c r="BC18" s="174" t="s">
        <v>13</v>
      </c>
      <c r="BD18" s="224" t="s">
        <v>244</v>
      </c>
      <c r="BE18" s="318" t="s">
        <v>43</v>
      </c>
      <c r="BF18" s="318" t="s">
        <v>43</v>
      </c>
      <c r="BG18" s="253" t="s">
        <v>7</v>
      </c>
      <c r="BH18" s="318" t="s">
        <v>43</v>
      </c>
      <c r="BI18" s="183" t="s">
        <v>14</v>
      </c>
      <c r="BJ18" s="183" t="s">
        <v>5</v>
      </c>
      <c r="BK18" s="210" t="s">
        <v>3</v>
      </c>
      <c r="BL18" s="224" t="s">
        <v>245</v>
      </c>
      <c r="BM18" s="192" t="s">
        <v>5</v>
      </c>
      <c r="BN18" s="258" t="s">
        <v>15</v>
      </c>
      <c r="BO18" s="309"/>
      <c r="BP18" s="319">
        <f t="shared" si="59"/>
        <v>21542.844775229001</v>
      </c>
      <c r="BQ18" s="320" t="s">
        <v>58</v>
      </c>
      <c r="BR18" s="193" t="s">
        <v>8</v>
      </c>
      <c r="BS18" s="268" t="s">
        <v>15</v>
      </c>
      <c r="BT18" s="269" t="s">
        <v>20</v>
      </c>
      <c r="BU18" s="227" t="s">
        <v>43</v>
      </c>
      <c r="BV18" s="196" t="s">
        <v>20</v>
      </c>
      <c r="BW18" s="161" t="s">
        <v>46</v>
      </c>
      <c r="BX18" s="212" t="s">
        <v>47</v>
      </c>
      <c r="BY18" s="241" t="s">
        <v>48</v>
      </c>
      <c r="BZ18" s="177" t="s">
        <v>8</v>
      </c>
      <c r="CA18" s="227" t="s">
        <v>43</v>
      </c>
      <c r="CB18" s="227" t="s">
        <v>43</v>
      </c>
      <c r="CC18" s="193" t="s">
        <v>6</v>
      </c>
      <c r="CD18" s="143" t="s">
        <v>45</v>
      </c>
      <c r="CE18" s="193" t="s">
        <v>6</v>
      </c>
      <c r="CF18" s="208" t="s">
        <v>22</v>
      </c>
      <c r="CG18" s="193" t="s">
        <v>10</v>
      </c>
      <c r="CH18" s="193" t="s">
        <v>20</v>
      </c>
      <c r="CI18" s="193" t="s">
        <v>10</v>
      </c>
      <c r="CJ18" s="70">
        <v>43</v>
      </c>
      <c r="DG18" s="357"/>
      <c r="DI18" s="52" t="s">
        <v>50</v>
      </c>
      <c r="DJ18" s="305" t="s">
        <v>16</v>
      </c>
      <c r="DK18" s="363">
        <f t="shared" si="0"/>
        <v>7</v>
      </c>
      <c r="DL18" s="363">
        <f t="shared" si="1"/>
        <v>5</v>
      </c>
      <c r="DM18" s="363">
        <f t="shared" si="2"/>
        <v>7</v>
      </c>
      <c r="DN18" s="363">
        <f t="shared" si="3"/>
        <v>5</v>
      </c>
      <c r="DO18" s="363">
        <f t="shared" si="4"/>
        <v>7</v>
      </c>
      <c r="DP18" s="363">
        <f t="shared" si="5"/>
        <v>5</v>
      </c>
      <c r="DQ18" s="363">
        <f t="shared" si="6"/>
        <v>0</v>
      </c>
      <c r="DR18" s="363">
        <f t="shared" si="7"/>
        <v>0</v>
      </c>
      <c r="DS18" s="363">
        <f t="shared" si="8"/>
        <v>2</v>
      </c>
      <c r="DT18" s="363">
        <f t="shared" si="9"/>
        <v>2</v>
      </c>
      <c r="DU18" s="363">
        <f t="shared" si="10"/>
        <v>0</v>
      </c>
      <c r="DV18" s="363">
        <f t="shared" si="11"/>
        <v>0</v>
      </c>
      <c r="DW18" s="363">
        <f t="shared" si="12"/>
        <v>7</v>
      </c>
      <c r="DX18" s="363">
        <f t="shared" si="13"/>
        <v>0</v>
      </c>
      <c r="DY18" s="363">
        <f t="shared" si="14"/>
        <v>0</v>
      </c>
      <c r="DZ18" s="363">
        <f t="shared" si="15"/>
        <v>4</v>
      </c>
      <c r="EA18" s="363">
        <f t="shared" si="16"/>
        <v>7</v>
      </c>
      <c r="EB18" s="363">
        <f t="shared" si="17"/>
        <v>0</v>
      </c>
      <c r="EC18" s="363">
        <f t="shared" si="18"/>
        <v>0</v>
      </c>
      <c r="ED18" s="363">
        <f t="shared" si="19"/>
        <v>0</v>
      </c>
      <c r="EE18" s="363">
        <f t="shared" si="20"/>
        <v>2</v>
      </c>
      <c r="EF18" s="363">
        <f t="shared" si="21"/>
        <v>5</v>
      </c>
      <c r="EG18" s="363">
        <f t="shared" si="22"/>
        <v>5</v>
      </c>
      <c r="EH18" s="363">
        <f t="shared" si="23"/>
        <v>2</v>
      </c>
      <c r="EI18" s="363">
        <f t="shared" si="24"/>
        <v>2</v>
      </c>
      <c r="EJ18" s="363">
        <f t="shared" si="25"/>
        <v>0</v>
      </c>
      <c r="EK18" s="363">
        <f t="shared" si="26"/>
        <v>2</v>
      </c>
      <c r="EL18" s="363">
        <f t="shared" si="27"/>
        <v>0</v>
      </c>
      <c r="EM18" s="363">
        <f t="shared" si="28"/>
        <v>0</v>
      </c>
      <c r="EN18" s="363">
        <f t="shared" si="29"/>
        <v>3</v>
      </c>
      <c r="EO18" s="363">
        <f t="shared" si="30"/>
        <v>5</v>
      </c>
      <c r="EP18" s="363">
        <f t="shared" si="31"/>
        <v>2</v>
      </c>
      <c r="EQ18" s="363">
        <f t="shared" si="32"/>
        <v>6</v>
      </c>
      <c r="ER18" s="363">
        <f t="shared" si="33"/>
        <v>5</v>
      </c>
      <c r="ES18" s="363">
        <f t="shared" si="34"/>
        <v>0</v>
      </c>
      <c r="ET18" s="363">
        <f t="shared" si="35"/>
        <v>7</v>
      </c>
      <c r="EU18" s="363">
        <f t="shared" si="36"/>
        <v>7</v>
      </c>
      <c r="EV18" s="363">
        <f t="shared" si="37"/>
        <v>7</v>
      </c>
      <c r="EW18" s="364" t="s">
        <v>58</v>
      </c>
      <c r="EX18" s="363">
        <f t="shared" si="38"/>
        <v>1</v>
      </c>
      <c r="EY18" s="363">
        <f t="shared" si="39"/>
        <v>7</v>
      </c>
      <c r="EZ18" s="363">
        <f t="shared" si="40"/>
        <v>2</v>
      </c>
      <c r="FA18" s="363">
        <f t="shared" si="41"/>
        <v>7</v>
      </c>
      <c r="FB18" s="363">
        <f t="shared" si="42"/>
        <v>7</v>
      </c>
      <c r="FC18" s="363">
        <f t="shared" si="43"/>
        <v>0</v>
      </c>
      <c r="FD18" s="363">
        <f t="shared" si="44"/>
        <v>0</v>
      </c>
      <c r="FE18" s="363">
        <f t="shared" si="45"/>
        <v>0</v>
      </c>
      <c r="FF18" s="363">
        <f t="shared" si="46"/>
        <v>7</v>
      </c>
      <c r="FG18" s="363">
        <f t="shared" si="47"/>
        <v>7</v>
      </c>
      <c r="FH18" s="363">
        <f t="shared" si="48"/>
        <v>0</v>
      </c>
      <c r="FI18" s="363">
        <f t="shared" si="49"/>
        <v>0</v>
      </c>
      <c r="FJ18" s="363">
        <f t="shared" si="50"/>
        <v>7</v>
      </c>
      <c r="FK18" s="363">
        <f t="shared" si="51"/>
        <v>0</v>
      </c>
      <c r="FL18" s="363">
        <f t="shared" si="52"/>
        <v>1</v>
      </c>
      <c r="FM18" s="363">
        <f t="shared" si="53"/>
        <v>7</v>
      </c>
      <c r="FN18" s="363">
        <f t="shared" si="54"/>
        <v>0</v>
      </c>
      <c r="FO18" s="363">
        <f t="shared" si="55"/>
        <v>7</v>
      </c>
      <c r="FP18" s="363">
        <f t="shared" si="60"/>
        <v>13</v>
      </c>
      <c r="FQ18" s="363">
        <f t="shared" si="61"/>
        <v>7</v>
      </c>
      <c r="FR18" s="309">
        <f t="shared" si="62"/>
        <v>20</v>
      </c>
      <c r="GM18" s="357"/>
      <c r="GO18" s="52" t="s">
        <v>50</v>
      </c>
      <c r="GP18" s="305" t="s">
        <v>16</v>
      </c>
      <c r="GQ18" s="244" t="s">
        <v>1</v>
      </c>
      <c r="GR18" s="244" t="s">
        <v>2</v>
      </c>
      <c r="GS18" s="244" t="s">
        <v>3</v>
      </c>
      <c r="GT18" s="244" t="s">
        <v>4</v>
      </c>
      <c r="GU18" s="244" t="s">
        <v>5</v>
      </c>
      <c r="GV18" s="244" t="s">
        <v>6</v>
      </c>
      <c r="GW18" s="318" t="s">
        <v>43</v>
      </c>
      <c r="GX18" s="318" t="s">
        <v>43</v>
      </c>
      <c r="GY18" s="244" t="s">
        <v>7</v>
      </c>
      <c r="GZ18" s="223" t="s">
        <v>8</v>
      </c>
      <c r="HA18" s="365" t="s">
        <v>317</v>
      </c>
      <c r="HB18" s="318" t="s">
        <v>43</v>
      </c>
      <c r="HC18" s="244" t="s">
        <v>3</v>
      </c>
      <c r="HD18" s="244" t="s">
        <v>43</v>
      </c>
      <c r="HE18" s="318" t="s">
        <v>43</v>
      </c>
      <c r="HF18" s="318" t="s">
        <v>43</v>
      </c>
      <c r="HG18" s="244" t="s">
        <v>9</v>
      </c>
      <c r="HH18" s="244" t="s">
        <v>10</v>
      </c>
      <c r="HI18" s="244" t="s">
        <v>11</v>
      </c>
      <c r="HJ18" s="244" t="s">
        <v>12</v>
      </c>
      <c r="HK18" s="244" t="s">
        <v>5</v>
      </c>
      <c r="HL18" s="244" t="s">
        <v>43</v>
      </c>
      <c r="HM18" s="244" t="s">
        <v>43</v>
      </c>
      <c r="HN18" s="318" t="s">
        <v>43</v>
      </c>
      <c r="HO18" s="318" t="s">
        <v>43</v>
      </c>
      <c r="HP18" s="318" t="s">
        <v>43</v>
      </c>
      <c r="HQ18" s="366" t="s">
        <v>13</v>
      </c>
      <c r="HR18" s="366" t="s">
        <v>318</v>
      </c>
      <c r="HS18" s="318" t="s">
        <v>43</v>
      </c>
      <c r="HT18" s="318" t="s">
        <v>43</v>
      </c>
      <c r="HU18" s="244" t="s">
        <v>7</v>
      </c>
      <c r="HV18" s="318" t="s">
        <v>43</v>
      </c>
      <c r="HW18" s="244" t="s">
        <v>14</v>
      </c>
      <c r="HX18" s="244" t="s">
        <v>5</v>
      </c>
      <c r="HY18" s="244" t="s">
        <v>3</v>
      </c>
      <c r="HZ18" s="366" t="s">
        <v>319</v>
      </c>
      <c r="IA18" s="244" t="s">
        <v>5</v>
      </c>
      <c r="IB18" s="244" t="s">
        <v>15</v>
      </c>
      <c r="IC18" s="364" t="s">
        <v>58</v>
      </c>
      <c r="ID18" s="173" t="s">
        <v>8</v>
      </c>
      <c r="IE18" s="173" t="s">
        <v>15</v>
      </c>
      <c r="IF18" s="173" t="s">
        <v>20</v>
      </c>
      <c r="IG18" s="173" t="s">
        <v>43</v>
      </c>
      <c r="IH18" s="244" t="s">
        <v>20</v>
      </c>
      <c r="II18" s="173" t="s">
        <v>46</v>
      </c>
      <c r="IJ18" s="367" t="s">
        <v>47</v>
      </c>
      <c r="IK18" s="368" t="s">
        <v>48</v>
      </c>
      <c r="IL18" s="173" t="s">
        <v>8</v>
      </c>
      <c r="IM18" s="173" t="s">
        <v>43</v>
      </c>
      <c r="IN18" s="173" t="s">
        <v>43</v>
      </c>
      <c r="IO18" s="173" t="s">
        <v>6</v>
      </c>
      <c r="IP18" s="173" t="s">
        <v>45</v>
      </c>
      <c r="IQ18" s="173" t="s">
        <v>6</v>
      </c>
      <c r="IR18" s="173" t="s">
        <v>22</v>
      </c>
      <c r="IS18" s="173" t="s">
        <v>10</v>
      </c>
      <c r="IT18" s="173" t="s">
        <v>20</v>
      </c>
      <c r="IU18" s="173" t="s">
        <v>10</v>
      </c>
      <c r="JN18" s="357"/>
      <c r="JO18" s="369">
        <v>72</v>
      </c>
      <c r="JP18" s="305" t="s">
        <v>146</v>
      </c>
      <c r="JQ18" s="332" t="s">
        <v>144</v>
      </c>
      <c r="JR18" s="67" t="s">
        <v>145</v>
      </c>
      <c r="JS18" s="159" t="s">
        <v>7</v>
      </c>
      <c r="JT18" s="246" t="s">
        <v>43</v>
      </c>
      <c r="JU18" s="109" t="s">
        <v>6</v>
      </c>
      <c r="JV18" s="155" t="s">
        <v>20</v>
      </c>
      <c r="JW18" s="112" t="s">
        <v>188</v>
      </c>
      <c r="JX18" s="254" t="s">
        <v>8</v>
      </c>
      <c r="JY18" s="221" t="s">
        <v>7</v>
      </c>
      <c r="JZ18" s="159" t="s">
        <v>8</v>
      </c>
      <c r="KA18" s="111" t="s">
        <v>189</v>
      </c>
      <c r="KB18" s="115" t="s">
        <v>192</v>
      </c>
      <c r="KC18" s="246" t="s">
        <v>43</v>
      </c>
      <c r="KD18" s="246" t="s">
        <v>43</v>
      </c>
      <c r="KE18" s="159" t="s">
        <v>6</v>
      </c>
      <c r="KF18" s="230" t="s">
        <v>185</v>
      </c>
      <c r="KG18" s="114" t="s">
        <v>7</v>
      </c>
      <c r="KH18" s="118" t="s">
        <v>186</v>
      </c>
      <c r="KI18" s="246" t="s">
        <v>43</v>
      </c>
      <c r="KJ18" s="190" t="s">
        <v>187</v>
      </c>
      <c r="KK18" s="246" t="s">
        <v>43</v>
      </c>
      <c r="KL18" s="159" t="s">
        <v>12</v>
      </c>
      <c r="KM18" s="159" t="s">
        <v>14</v>
      </c>
      <c r="KN18" s="182" t="s">
        <v>6</v>
      </c>
      <c r="KO18" s="182" t="s">
        <v>5</v>
      </c>
      <c r="KP18" s="322">
        <f t="shared" si="63"/>
        <v>179.38360965168582</v>
      </c>
      <c r="KR18" s="329" t="s">
        <v>146</v>
      </c>
      <c r="KS18" s="159" t="s">
        <v>10</v>
      </c>
      <c r="KT18" s="170" t="s">
        <v>9</v>
      </c>
      <c r="KU18" s="221" t="s">
        <v>20</v>
      </c>
      <c r="KV18" s="166" t="s">
        <v>4</v>
      </c>
      <c r="KW18" s="204" t="s">
        <v>193</v>
      </c>
      <c r="KX18" s="240" t="s">
        <v>6</v>
      </c>
      <c r="KY18" s="240" t="s">
        <v>15</v>
      </c>
      <c r="KZ18" s="240" t="s">
        <v>6</v>
      </c>
      <c r="LA18" s="155" t="s">
        <v>10</v>
      </c>
      <c r="LB18" s="246" t="s">
        <v>43</v>
      </c>
      <c r="LC18" s="246" t="s">
        <v>43</v>
      </c>
      <c r="LD18" s="246" t="s">
        <v>43</v>
      </c>
      <c r="LE18" s="246" t="s">
        <v>43</v>
      </c>
      <c r="LF18" s="246" t="s">
        <v>43</v>
      </c>
      <c r="LG18" s="113" t="s">
        <v>228</v>
      </c>
      <c r="LH18" s="358">
        <v>5</v>
      </c>
      <c r="LW18" s="369">
        <v>72</v>
      </c>
      <c r="LX18" s="317" t="s">
        <v>146</v>
      </c>
      <c r="LY18" s="379" t="s">
        <v>144</v>
      </c>
      <c r="LZ18" s="306">
        <f t="shared" si="64"/>
        <v>20</v>
      </c>
      <c r="MA18" s="306">
        <f t="shared" si="65"/>
        <v>13</v>
      </c>
      <c r="MB18" s="306">
        <f t="shared" si="66"/>
        <v>14</v>
      </c>
      <c r="MC18" s="306">
        <f t="shared" si="67"/>
        <v>28</v>
      </c>
      <c r="MD18" s="306">
        <f t="shared" si="68"/>
        <v>17</v>
      </c>
      <c r="ME18" s="306">
        <f t="shared" si="69"/>
        <v>21</v>
      </c>
      <c r="MF18" s="306">
        <f t="shared" si="70"/>
        <v>19</v>
      </c>
      <c r="MG18" s="306">
        <f t="shared" si="71"/>
        <v>23</v>
      </c>
      <c r="MH18" s="306">
        <f t="shared" si="72"/>
        <v>18</v>
      </c>
      <c r="MI18" s="306">
        <f t="shared" si="73"/>
        <v>9</v>
      </c>
      <c r="MJ18" s="306">
        <f t="shared" si="74"/>
        <v>18</v>
      </c>
      <c r="MK18" s="306">
        <f t="shared" si="75"/>
        <v>9</v>
      </c>
      <c r="ML18" s="306">
        <f t="shared" si="76"/>
        <v>12</v>
      </c>
      <c r="MM18" s="306">
        <f t="shared" si="77"/>
        <v>18</v>
      </c>
      <c r="MN18" s="306">
        <f t="shared" si="78"/>
        <v>8</v>
      </c>
      <c r="MO18" s="306">
        <f t="shared" si="79"/>
        <v>19</v>
      </c>
      <c r="MP18" s="306">
        <f t="shared" si="80"/>
        <v>19</v>
      </c>
      <c r="MQ18" s="306">
        <f t="shared" si="81"/>
        <v>21</v>
      </c>
      <c r="MR18" s="306">
        <f t="shared" si="82"/>
        <v>22</v>
      </c>
      <c r="MS18" s="306">
        <f t="shared" si="83"/>
        <v>25</v>
      </c>
      <c r="MT18" s="306">
        <f t="shared" si="84"/>
        <v>26</v>
      </c>
      <c r="MU18" s="306">
        <f t="shared" si="85"/>
        <v>28</v>
      </c>
      <c r="MV18" s="306">
        <f t="shared" si="86"/>
        <v>23</v>
      </c>
      <c r="MY18" s="306">
        <f t="shared" si="87"/>
        <v>25</v>
      </c>
      <c r="MZ18" s="306">
        <f t="shared" si="88"/>
        <v>29</v>
      </c>
      <c r="NA18" s="306">
        <f t="shared" si="89"/>
        <v>28</v>
      </c>
      <c r="NB18" s="306">
        <f t="shared" si="90"/>
        <v>17</v>
      </c>
      <c r="NC18" s="306">
        <f t="shared" si="91"/>
        <v>16</v>
      </c>
      <c r="ND18" s="306">
        <f t="shared" si="92"/>
        <v>28</v>
      </c>
      <c r="NE18" s="306">
        <f t="shared" si="93"/>
        <v>29</v>
      </c>
      <c r="NF18" s="306">
        <f t="shared" si="94"/>
        <v>29</v>
      </c>
      <c r="NG18" s="306">
        <f t="shared" si="95"/>
        <v>17</v>
      </c>
      <c r="NH18" s="306">
        <f t="shared" si="96"/>
        <v>3</v>
      </c>
      <c r="NI18" s="306">
        <f t="shared" si="97"/>
        <v>3</v>
      </c>
      <c r="NJ18" s="306">
        <f t="shared" si="98"/>
        <v>3</v>
      </c>
      <c r="NK18" s="306">
        <f t="shared" si="99"/>
        <v>3</v>
      </c>
      <c r="NL18" s="306">
        <f t="shared" si="100"/>
        <v>3</v>
      </c>
      <c r="NM18" s="306">
        <f t="shared" si="57"/>
        <v>15</v>
      </c>
      <c r="NN18" s="306">
        <f t="shared" si="101"/>
        <v>0</v>
      </c>
      <c r="NO18" s="306">
        <f t="shared" si="102"/>
        <v>0</v>
      </c>
      <c r="NU18" s="379" t="s">
        <v>144</v>
      </c>
      <c r="NV18" s="357"/>
      <c r="NX18" s="246" t="s">
        <v>7</v>
      </c>
      <c r="NY18" s="246" t="s">
        <v>43</v>
      </c>
      <c r="NZ18" s="246" t="s">
        <v>6</v>
      </c>
      <c r="OA18" s="246" t="s">
        <v>20</v>
      </c>
      <c r="OB18" s="372" t="s">
        <v>188</v>
      </c>
      <c r="OC18" s="230" t="s">
        <v>8</v>
      </c>
      <c r="OD18" s="230" t="s">
        <v>7</v>
      </c>
      <c r="OE18" s="230" t="s">
        <v>8</v>
      </c>
      <c r="OF18" s="371" t="s">
        <v>189</v>
      </c>
      <c r="OG18" s="372" t="s">
        <v>192</v>
      </c>
      <c r="OH18" s="246" t="s">
        <v>43</v>
      </c>
      <c r="OI18" s="246" t="s">
        <v>43</v>
      </c>
      <c r="OJ18" s="163" t="s">
        <v>6</v>
      </c>
      <c r="OK18" s="163" t="s">
        <v>185</v>
      </c>
      <c r="OL18" s="246" t="s">
        <v>7</v>
      </c>
      <c r="OM18" s="372" t="s">
        <v>186</v>
      </c>
      <c r="ON18" s="246" t="s">
        <v>43</v>
      </c>
      <c r="OO18" s="225" t="s">
        <v>187</v>
      </c>
      <c r="OP18" s="246" t="s">
        <v>43</v>
      </c>
      <c r="OQ18" s="246" t="s">
        <v>12</v>
      </c>
      <c r="OR18" s="159" t="s">
        <v>14</v>
      </c>
      <c r="OS18" s="159" t="s">
        <v>6</v>
      </c>
      <c r="OT18" s="246" t="s">
        <v>5</v>
      </c>
      <c r="OV18" s="370" t="s">
        <v>146</v>
      </c>
      <c r="OW18" s="246" t="s">
        <v>10</v>
      </c>
      <c r="OX18" s="246" t="s">
        <v>9</v>
      </c>
      <c r="OY18" s="159" t="s">
        <v>20</v>
      </c>
      <c r="OZ18" s="159" t="s">
        <v>4</v>
      </c>
      <c r="PA18" s="225" t="s">
        <v>193</v>
      </c>
      <c r="PB18" s="246" t="s">
        <v>6</v>
      </c>
      <c r="PC18" s="246" t="s">
        <v>15</v>
      </c>
      <c r="PD18" s="246" t="s">
        <v>6</v>
      </c>
      <c r="PE18" s="246" t="s">
        <v>10</v>
      </c>
      <c r="PF18" s="246" t="s">
        <v>43</v>
      </c>
      <c r="PG18" s="246" t="s">
        <v>43</v>
      </c>
      <c r="PH18" s="246" t="s">
        <v>43</v>
      </c>
      <c r="PI18" s="246" t="s">
        <v>43</v>
      </c>
      <c r="PJ18" s="246" t="s">
        <v>43</v>
      </c>
      <c r="PK18" s="373" t="s">
        <v>228</v>
      </c>
      <c r="PM18"/>
      <c r="PN18"/>
      <c r="PO18"/>
      <c r="PP18"/>
      <c r="PQ18"/>
      <c r="PR18"/>
      <c r="PS18"/>
      <c r="PT18"/>
      <c r="QN18" s="357"/>
      <c r="QO18" s="45" t="s">
        <v>88</v>
      </c>
      <c r="QP18" s="204" t="s">
        <v>195</v>
      </c>
      <c r="QQ18" s="166" t="s">
        <v>20</v>
      </c>
      <c r="QR18" s="198" t="s">
        <v>2</v>
      </c>
      <c r="QS18" s="333" t="s">
        <v>204</v>
      </c>
      <c r="QT18" s="159" t="s">
        <v>1</v>
      </c>
      <c r="QU18" s="159" t="s">
        <v>15</v>
      </c>
      <c r="QV18" s="159" t="s">
        <v>1</v>
      </c>
      <c r="QW18" s="131" t="s">
        <v>22</v>
      </c>
      <c r="QX18" s="216" t="s">
        <v>198</v>
      </c>
      <c r="QY18" s="246" t="s">
        <v>8</v>
      </c>
      <c r="QZ18" s="230" t="s">
        <v>20</v>
      </c>
      <c r="RA18" s="221" t="s">
        <v>2</v>
      </c>
      <c r="RB18" s="246" t="s">
        <v>43</v>
      </c>
      <c r="RC18" s="182" t="s">
        <v>8</v>
      </c>
      <c r="RD18" s="166" t="s">
        <v>22</v>
      </c>
      <c r="RE18" s="131" t="s">
        <v>205</v>
      </c>
      <c r="RF18" s="159" t="s">
        <v>7</v>
      </c>
      <c r="RG18" s="159" t="s">
        <v>8</v>
      </c>
      <c r="RH18" s="246" t="s">
        <v>43</v>
      </c>
      <c r="RI18" s="246" t="s">
        <v>43</v>
      </c>
      <c r="RJ18" s="125" t="s">
        <v>11</v>
      </c>
      <c r="RK18" s="182" t="s">
        <v>2</v>
      </c>
      <c r="RL18" s="131" t="s">
        <v>6</v>
      </c>
      <c r="RM18" s="246" t="s">
        <v>43</v>
      </c>
      <c r="RN18" s="312" t="s">
        <v>43</v>
      </c>
      <c r="RO18" s="124" t="s">
        <v>207</v>
      </c>
      <c r="RP18" s="182" t="s">
        <v>14</v>
      </c>
      <c r="RQ18" s="166" t="s">
        <v>185</v>
      </c>
      <c r="RR18" s="254" t="s">
        <v>3</v>
      </c>
      <c r="RS18" s="246" t="s">
        <v>43</v>
      </c>
      <c r="RT18" s="124" t="s">
        <v>208</v>
      </c>
      <c r="RU18" s="246" t="s">
        <v>43</v>
      </c>
      <c r="RV18" s="182" t="s">
        <v>7</v>
      </c>
      <c r="RW18" s="240" t="s">
        <v>3</v>
      </c>
      <c r="RX18" s="334" t="s">
        <v>209</v>
      </c>
      <c r="RY18" s="158" t="s">
        <v>22</v>
      </c>
      <c r="RZ18" s="159" t="s">
        <v>185</v>
      </c>
      <c r="SA18" s="246" t="s">
        <v>43</v>
      </c>
      <c r="SB18" s="221" t="s">
        <v>1</v>
      </c>
      <c r="SC18" s="176" t="s">
        <v>1</v>
      </c>
      <c r="SD18" s="166" t="s">
        <v>15</v>
      </c>
      <c r="SE18" s="211" t="s">
        <v>22</v>
      </c>
      <c r="SF18" s="176" t="s">
        <v>7</v>
      </c>
      <c r="SG18" s="246" t="s">
        <v>43</v>
      </c>
      <c r="SH18" s="254" t="s">
        <v>15</v>
      </c>
      <c r="SI18" s="131" t="s">
        <v>5</v>
      </c>
      <c r="SJ18" s="221" t="s">
        <v>261</v>
      </c>
      <c r="SK18" s="322">
        <f t="shared" si="103"/>
        <v>1612.7665636929671</v>
      </c>
      <c r="SM18" s="362">
        <v>5</v>
      </c>
      <c r="SO18"/>
      <c r="SP18"/>
      <c r="TP18" s="357"/>
      <c r="TQ18" s="45" t="s">
        <v>88</v>
      </c>
      <c r="TR18" s="306">
        <f t="shared" si="104"/>
        <v>31</v>
      </c>
      <c r="TS18" s="306">
        <f t="shared" si="105"/>
        <v>23</v>
      </c>
      <c r="TT18" s="306">
        <f t="shared" si="106"/>
        <v>12</v>
      </c>
      <c r="TU18" s="306">
        <f t="shared" si="107"/>
        <v>9</v>
      </c>
      <c r="TV18" s="306">
        <f t="shared" si="108"/>
        <v>12</v>
      </c>
      <c r="TW18" s="306">
        <f t="shared" si="109"/>
        <v>12</v>
      </c>
      <c r="TX18" s="306">
        <f t="shared" si="110"/>
        <v>12</v>
      </c>
      <c r="TY18" s="306">
        <f t="shared" si="111"/>
        <v>33</v>
      </c>
      <c r="TZ18" s="306">
        <f t="shared" si="112"/>
        <v>33</v>
      </c>
      <c r="UA18" s="306">
        <f t="shared" si="113"/>
        <v>24</v>
      </c>
      <c r="UB18" s="306">
        <f t="shared" si="114"/>
        <v>11</v>
      </c>
      <c r="UC18" s="306">
        <f t="shared" si="115"/>
        <v>23</v>
      </c>
      <c r="UD18" s="306">
        <f t="shared" si="116"/>
        <v>27</v>
      </c>
      <c r="UE18" s="306">
        <f t="shared" si="117"/>
        <v>26</v>
      </c>
      <c r="UF18" s="306">
        <f t="shared" si="118"/>
        <v>12</v>
      </c>
      <c r="UG18" s="306">
        <f t="shared" si="119"/>
        <v>7</v>
      </c>
      <c r="UH18" s="306">
        <f t="shared" si="120"/>
        <v>28</v>
      </c>
      <c r="UI18" s="306">
        <f t="shared" si="121"/>
        <v>32</v>
      </c>
      <c r="UJ18" s="306">
        <f t="shared" si="122"/>
        <v>26</v>
      </c>
      <c r="UK18" s="306">
        <f t="shared" si="123"/>
        <v>31</v>
      </c>
      <c r="UL18" s="306">
        <f t="shared" si="124"/>
        <v>26</v>
      </c>
      <c r="UM18" s="306">
        <f t="shared" si="125"/>
        <v>28</v>
      </c>
      <c r="UN18" s="306">
        <f t="shared" si="126"/>
        <v>18</v>
      </c>
      <c r="UO18" s="306">
        <f t="shared" si="127"/>
        <v>23</v>
      </c>
      <c r="UP18" s="306">
        <f t="shared" si="128"/>
        <v>13</v>
      </c>
      <c r="UQ18" s="306">
        <f t="shared" si="129"/>
        <v>3</v>
      </c>
      <c r="UR18" s="306">
        <f t="shared" si="130"/>
        <v>16</v>
      </c>
      <c r="US18" s="306">
        <f t="shared" si="131"/>
        <v>7</v>
      </c>
      <c r="UT18" s="306">
        <f t="shared" si="132"/>
        <v>6</v>
      </c>
      <c r="UU18" s="306">
        <f t="shared" si="133"/>
        <v>3</v>
      </c>
      <c r="UV18" s="306">
        <f t="shared" si="134"/>
        <v>5</v>
      </c>
      <c r="UW18" s="306">
        <f t="shared" si="135"/>
        <v>33</v>
      </c>
      <c r="UX18" s="306">
        <f t="shared" si="136"/>
        <v>32</v>
      </c>
      <c r="UY18" s="306">
        <f t="shared" si="137"/>
        <v>19</v>
      </c>
      <c r="UZ18" s="306">
        <f t="shared" si="138"/>
        <v>12</v>
      </c>
      <c r="VA18" s="306">
        <f t="shared" si="139"/>
        <v>18</v>
      </c>
      <c r="VB18" s="306">
        <f t="shared" si="140"/>
        <v>25</v>
      </c>
      <c r="VC18" s="306">
        <f t="shared" si="141"/>
        <v>18</v>
      </c>
      <c r="VD18" s="306">
        <f t="shared" si="142"/>
        <v>23</v>
      </c>
      <c r="VE18" s="306">
        <f t="shared" si="143"/>
        <v>26</v>
      </c>
      <c r="VF18" s="306">
        <f t="shared" si="144"/>
        <v>19</v>
      </c>
      <c r="VG18" s="306">
        <f t="shared" si="145"/>
        <v>13</v>
      </c>
      <c r="VH18" s="306">
        <f t="shared" si="146"/>
        <v>29</v>
      </c>
      <c r="VI18" s="306">
        <f t="shared" si="147"/>
        <v>28</v>
      </c>
      <c r="VJ18" s="306">
        <f t="shared" si="148"/>
        <v>30</v>
      </c>
      <c r="VK18" s="306">
        <f t="shared" si="149"/>
        <v>32</v>
      </c>
      <c r="VL18" s="306">
        <f t="shared" si="150"/>
        <v>25</v>
      </c>
      <c r="VN18" s="306">
        <f t="shared" si="151"/>
        <v>0</v>
      </c>
      <c r="WR18" s="357"/>
      <c r="WS18" s="45" t="s">
        <v>88</v>
      </c>
      <c r="WT18" s="225" t="s">
        <v>195</v>
      </c>
      <c r="WU18" s="246" t="s">
        <v>20</v>
      </c>
      <c r="WV18" s="246" t="s">
        <v>2</v>
      </c>
      <c r="WW18" s="335" t="s">
        <v>204</v>
      </c>
      <c r="WX18" s="246" t="s">
        <v>1</v>
      </c>
      <c r="WY18" s="246" t="s">
        <v>15</v>
      </c>
      <c r="WZ18" s="246" t="s">
        <v>1</v>
      </c>
      <c r="XA18" s="246" t="s">
        <v>22</v>
      </c>
      <c r="XB18" s="225" t="s">
        <v>198</v>
      </c>
      <c r="XC18" s="141" t="s">
        <v>8</v>
      </c>
      <c r="XD18" s="141" t="s">
        <v>20</v>
      </c>
      <c r="XE18" s="246" t="s">
        <v>2</v>
      </c>
      <c r="XF18" s="246" t="s">
        <v>43</v>
      </c>
      <c r="XG18" s="240" t="s">
        <v>8</v>
      </c>
      <c r="XH18" s="240" t="s">
        <v>22</v>
      </c>
      <c r="XI18" s="240" t="s">
        <v>205</v>
      </c>
      <c r="XJ18" s="240" t="s">
        <v>7</v>
      </c>
      <c r="XK18" s="240" t="s">
        <v>8</v>
      </c>
      <c r="XL18" s="246" t="s">
        <v>43</v>
      </c>
      <c r="XM18" s="246" t="s">
        <v>43</v>
      </c>
      <c r="XN18" s="159" t="s">
        <v>11</v>
      </c>
      <c r="XO18" s="159" t="s">
        <v>2</v>
      </c>
      <c r="XP18" s="246" t="s">
        <v>6</v>
      </c>
      <c r="XQ18" s="246" t="s">
        <v>43</v>
      </c>
      <c r="XR18" s="312" t="s">
        <v>43</v>
      </c>
      <c r="XS18" s="225" t="s">
        <v>207</v>
      </c>
      <c r="XT18" s="246" t="s">
        <v>14</v>
      </c>
      <c r="XU18" s="246" t="s">
        <v>185</v>
      </c>
      <c r="XV18" s="246" t="s">
        <v>3</v>
      </c>
      <c r="XW18" s="246" t="s">
        <v>43</v>
      </c>
      <c r="XX18" s="225" t="s">
        <v>208</v>
      </c>
      <c r="XY18" s="246" t="s">
        <v>43</v>
      </c>
      <c r="XZ18" s="240" t="s">
        <v>7</v>
      </c>
      <c r="YA18" s="240" t="s">
        <v>3</v>
      </c>
      <c r="YB18" s="327" t="s">
        <v>209</v>
      </c>
      <c r="YC18" s="246" t="s">
        <v>22</v>
      </c>
      <c r="YD18" s="246" t="s">
        <v>185</v>
      </c>
      <c r="YE18" s="246" t="s">
        <v>43</v>
      </c>
      <c r="YF18" s="246" t="s">
        <v>1</v>
      </c>
      <c r="YG18" s="246" t="s">
        <v>1</v>
      </c>
      <c r="YH18" s="246" t="s">
        <v>15</v>
      </c>
      <c r="YI18" s="246" t="s">
        <v>22</v>
      </c>
      <c r="YJ18" s="159" t="s">
        <v>7</v>
      </c>
      <c r="YK18" s="159" t="s">
        <v>43</v>
      </c>
      <c r="YL18" s="159" t="s">
        <v>15</v>
      </c>
      <c r="YM18" s="246" t="s">
        <v>5</v>
      </c>
      <c r="YN18" s="246" t="s">
        <v>261</v>
      </c>
      <c r="AFZ18" s="307"/>
    </row>
    <row r="19" spans="1:858" s="306" customFormat="1" ht="20.65" x14ac:dyDescent="0.65">
      <c r="A19" s="70">
        <v>10</v>
      </c>
      <c r="B19" s="305"/>
      <c r="C19" s="45" t="s">
        <v>93</v>
      </c>
      <c r="D19" s="45" t="s">
        <v>91</v>
      </c>
      <c r="E19" s="305"/>
      <c r="F19" s="128">
        <v>81.033630987035224</v>
      </c>
      <c r="X19" s="355"/>
      <c r="AA19" s="53" t="s">
        <v>51</v>
      </c>
      <c r="AB19" s="305" t="s">
        <v>26</v>
      </c>
      <c r="AC19" s="183" t="s">
        <v>1</v>
      </c>
      <c r="AD19" s="210" t="s">
        <v>8</v>
      </c>
      <c r="AE19" s="132" t="s">
        <v>3</v>
      </c>
      <c r="AF19" s="203" t="s">
        <v>4</v>
      </c>
      <c r="AG19" s="229" t="s">
        <v>6</v>
      </c>
      <c r="AH19" s="318" t="s">
        <v>43</v>
      </c>
      <c r="AI19" s="253" t="s">
        <v>2</v>
      </c>
      <c r="AJ19" s="253" t="s">
        <v>2</v>
      </c>
      <c r="AK19" s="147" t="s">
        <v>10</v>
      </c>
      <c r="AL19" s="157" t="s">
        <v>2</v>
      </c>
      <c r="AM19" s="139" t="s">
        <v>24</v>
      </c>
      <c r="AN19" s="336" t="s">
        <v>246</v>
      </c>
      <c r="AO19" s="183" t="s">
        <v>3</v>
      </c>
      <c r="AP19" s="224" t="s">
        <v>247</v>
      </c>
      <c r="AQ19" s="232" t="s">
        <v>27</v>
      </c>
      <c r="AR19" s="174" t="s">
        <v>248</v>
      </c>
      <c r="AS19" s="229" t="s">
        <v>43</v>
      </c>
      <c r="AT19" s="196" t="s">
        <v>11</v>
      </c>
      <c r="AU19" s="238" t="s">
        <v>11</v>
      </c>
      <c r="AV19" s="238" t="s">
        <v>12</v>
      </c>
      <c r="AW19" s="318" t="s">
        <v>43</v>
      </c>
      <c r="AX19" s="318" t="s">
        <v>43</v>
      </c>
      <c r="AY19" s="174" t="s">
        <v>249</v>
      </c>
      <c r="AZ19" s="229" t="s">
        <v>43</v>
      </c>
      <c r="BA19" s="229" t="s">
        <v>43</v>
      </c>
      <c r="BB19" s="183" t="s">
        <v>7</v>
      </c>
      <c r="BC19" s="168" t="s">
        <v>21</v>
      </c>
      <c r="BD19" s="224" t="s">
        <v>244</v>
      </c>
      <c r="BE19" s="318" t="s">
        <v>43</v>
      </c>
      <c r="BF19" s="318" t="s">
        <v>43</v>
      </c>
      <c r="BG19" s="253" t="s">
        <v>7</v>
      </c>
      <c r="BH19" s="318" t="s">
        <v>43</v>
      </c>
      <c r="BI19" s="183" t="s">
        <v>14</v>
      </c>
      <c r="BJ19" s="183" t="s">
        <v>5</v>
      </c>
      <c r="BK19" s="183" t="s">
        <v>11</v>
      </c>
      <c r="BL19" s="318" t="s">
        <v>43</v>
      </c>
      <c r="BM19" s="192" t="s">
        <v>5</v>
      </c>
      <c r="BN19" s="192" t="s">
        <v>12</v>
      </c>
      <c r="BO19" s="309"/>
      <c r="BP19" s="319">
        <f t="shared" si="59"/>
        <v>17617.170001179878</v>
      </c>
      <c r="BQ19" s="320" t="s">
        <v>58</v>
      </c>
      <c r="BR19" s="193" t="s">
        <v>8</v>
      </c>
      <c r="BS19" s="268" t="s">
        <v>15</v>
      </c>
      <c r="BT19" s="269" t="s">
        <v>20</v>
      </c>
      <c r="BU19" s="227" t="s">
        <v>43</v>
      </c>
      <c r="BV19" s="196" t="s">
        <v>20</v>
      </c>
      <c r="BW19" s="161" t="s">
        <v>46</v>
      </c>
      <c r="BX19" s="212" t="s">
        <v>47</v>
      </c>
      <c r="BY19" s="241" t="s">
        <v>48</v>
      </c>
      <c r="BZ19" s="177" t="s">
        <v>8</v>
      </c>
      <c r="CA19" s="227" t="s">
        <v>43</v>
      </c>
      <c r="CB19" s="227" t="s">
        <v>43</v>
      </c>
      <c r="CC19" s="193" t="s">
        <v>6</v>
      </c>
      <c r="CD19" s="143" t="s">
        <v>45</v>
      </c>
      <c r="CE19" s="193" t="s">
        <v>6</v>
      </c>
      <c r="CF19" s="208" t="s">
        <v>22</v>
      </c>
      <c r="CG19" s="193" t="s">
        <v>10</v>
      </c>
      <c r="CH19" s="193" t="s">
        <v>20</v>
      </c>
      <c r="CI19" s="193" t="s">
        <v>10</v>
      </c>
      <c r="CJ19" s="70">
        <v>44</v>
      </c>
      <c r="DG19" s="357"/>
      <c r="DI19" s="53" t="s">
        <v>51</v>
      </c>
      <c r="DJ19" s="305" t="s">
        <v>26</v>
      </c>
      <c r="DK19" s="363">
        <f t="shared" si="0"/>
        <v>7</v>
      </c>
      <c r="DL19" s="363">
        <f t="shared" si="1"/>
        <v>2</v>
      </c>
      <c r="DM19" s="363">
        <f t="shared" si="2"/>
        <v>7</v>
      </c>
      <c r="DN19" s="363">
        <f t="shared" si="3"/>
        <v>5</v>
      </c>
      <c r="DO19" s="363">
        <f t="shared" si="4"/>
        <v>0</v>
      </c>
      <c r="DP19" s="363">
        <f t="shared" si="5"/>
        <v>2</v>
      </c>
      <c r="DQ19" s="363">
        <f t="shared" si="6"/>
        <v>3</v>
      </c>
      <c r="DR19" s="363">
        <f t="shared" si="7"/>
        <v>7</v>
      </c>
      <c r="DS19" s="363">
        <f t="shared" si="8"/>
        <v>5</v>
      </c>
      <c r="DT19" s="363">
        <f t="shared" si="9"/>
        <v>5</v>
      </c>
      <c r="DU19" s="363">
        <f t="shared" si="10"/>
        <v>7</v>
      </c>
      <c r="DV19" s="363">
        <f t="shared" si="11"/>
        <v>7</v>
      </c>
      <c r="DW19" s="363">
        <f t="shared" si="12"/>
        <v>7</v>
      </c>
      <c r="DX19" s="363">
        <f t="shared" si="13"/>
        <v>0</v>
      </c>
      <c r="DY19" s="363">
        <f t="shared" si="14"/>
        <v>7</v>
      </c>
      <c r="DZ19" s="363">
        <f t="shared" si="15"/>
        <v>0</v>
      </c>
      <c r="EA19" s="363">
        <f t="shared" si="16"/>
        <v>0</v>
      </c>
      <c r="EB19" s="363">
        <f t="shared" si="17"/>
        <v>3</v>
      </c>
      <c r="EC19" s="363">
        <f t="shared" si="18"/>
        <v>0</v>
      </c>
      <c r="ED19" s="363">
        <f t="shared" si="19"/>
        <v>0</v>
      </c>
      <c r="EE19" s="363">
        <f t="shared" si="20"/>
        <v>0</v>
      </c>
      <c r="EF19" s="363">
        <f t="shared" si="21"/>
        <v>5</v>
      </c>
      <c r="EG19" s="363">
        <f t="shared" si="22"/>
        <v>2</v>
      </c>
      <c r="EH19" s="363">
        <f t="shared" si="23"/>
        <v>2</v>
      </c>
      <c r="EI19" s="363">
        <f t="shared" si="24"/>
        <v>2</v>
      </c>
      <c r="EJ19" s="363">
        <f t="shared" si="25"/>
        <v>2</v>
      </c>
      <c r="EK19" s="363">
        <f t="shared" si="26"/>
        <v>5</v>
      </c>
      <c r="EL19" s="363">
        <f t="shared" si="27"/>
        <v>0</v>
      </c>
      <c r="EM19" s="363">
        <f t="shared" si="28"/>
        <v>0</v>
      </c>
      <c r="EN19" s="363">
        <f t="shared" si="29"/>
        <v>3</v>
      </c>
      <c r="EO19" s="363">
        <f t="shared" si="30"/>
        <v>5</v>
      </c>
      <c r="EP19" s="363">
        <f t="shared" si="31"/>
        <v>2</v>
      </c>
      <c r="EQ19" s="363">
        <f t="shared" si="32"/>
        <v>6</v>
      </c>
      <c r="ER19" s="363">
        <f t="shared" si="33"/>
        <v>5</v>
      </c>
      <c r="ES19" s="363">
        <f t="shared" si="34"/>
        <v>7</v>
      </c>
      <c r="ET19" s="363">
        <f t="shared" si="35"/>
        <v>0</v>
      </c>
      <c r="EU19" s="363">
        <f t="shared" si="36"/>
        <v>7</v>
      </c>
      <c r="EV19" s="363">
        <f t="shared" si="37"/>
        <v>0</v>
      </c>
      <c r="EW19" s="364" t="s">
        <v>58</v>
      </c>
      <c r="EX19" s="363">
        <f t="shared" si="38"/>
        <v>1</v>
      </c>
      <c r="EY19" s="363">
        <f t="shared" si="39"/>
        <v>7</v>
      </c>
      <c r="EZ19" s="363">
        <f t="shared" si="40"/>
        <v>2</v>
      </c>
      <c r="FA19" s="363">
        <f t="shared" si="41"/>
        <v>7</v>
      </c>
      <c r="FB19" s="363">
        <f t="shared" si="42"/>
        <v>7</v>
      </c>
      <c r="FC19" s="363">
        <f t="shared" si="43"/>
        <v>0</v>
      </c>
      <c r="FD19" s="363">
        <f t="shared" si="44"/>
        <v>0</v>
      </c>
      <c r="FE19" s="363">
        <f t="shared" si="45"/>
        <v>0</v>
      </c>
      <c r="FF19" s="363">
        <f t="shared" si="46"/>
        <v>7</v>
      </c>
      <c r="FG19" s="363">
        <f t="shared" si="47"/>
        <v>7</v>
      </c>
      <c r="FH19" s="363">
        <f t="shared" si="48"/>
        <v>0</v>
      </c>
      <c r="FI19" s="363">
        <f t="shared" si="49"/>
        <v>0</v>
      </c>
      <c r="FJ19" s="363">
        <f t="shared" si="50"/>
        <v>7</v>
      </c>
      <c r="FK19" s="363">
        <f t="shared" si="51"/>
        <v>0</v>
      </c>
      <c r="FL19" s="363">
        <f t="shared" si="52"/>
        <v>1</v>
      </c>
      <c r="FM19" s="363">
        <f t="shared" si="53"/>
        <v>7</v>
      </c>
      <c r="FN19" s="363">
        <f t="shared" si="54"/>
        <v>0</v>
      </c>
      <c r="FO19" s="363">
        <f t="shared" si="55"/>
        <v>7</v>
      </c>
      <c r="FP19" s="363">
        <f t="shared" si="60"/>
        <v>11</v>
      </c>
      <c r="FQ19" s="363">
        <f t="shared" si="61"/>
        <v>7</v>
      </c>
      <c r="FR19" s="309">
        <f t="shared" si="62"/>
        <v>18</v>
      </c>
      <c r="GM19" s="357"/>
      <c r="GO19" s="53" t="s">
        <v>51</v>
      </c>
      <c r="GP19" s="305" t="s">
        <v>26</v>
      </c>
      <c r="GQ19" s="244" t="s">
        <v>1</v>
      </c>
      <c r="GR19" s="244" t="s">
        <v>8</v>
      </c>
      <c r="GS19" s="244" t="s">
        <v>3</v>
      </c>
      <c r="GT19" s="244" t="s">
        <v>4</v>
      </c>
      <c r="GU19" s="244" t="s">
        <v>6</v>
      </c>
      <c r="GV19" s="318" t="s">
        <v>43</v>
      </c>
      <c r="GW19" s="244" t="s">
        <v>2</v>
      </c>
      <c r="GX19" s="244" t="s">
        <v>2</v>
      </c>
      <c r="GY19" s="244" t="s">
        <v>10</v>
      </c>
      <c r="GZ19" s="223" t="s">
        <v>2</v>
      </c>
      <c r="HA19" s="366" t="s">
        <v>24</v>
      </c>
      <c r="HB19" s="380" t="s">
        <v>323</v>
      </c>
      <c r="HC19" s="244" t="s">
        <v>3</v>
      </c>
      <c r="HD19" s="366" t="s">
        <v>324</v>
      </c>
      <c r="HE19" s="366" t="s">
        <v>27</v>
      </c>
      <c r="HF19" s="366" t="s">
        <v>325</v>
      </c>
      <c r="HG19" s="244" t="s">
        <v>43</v>
      </c>
      <c r="HH19" s="244" t="s">
        <v>11</v>
      </c>
      <c r="HI19" s="244" t="s">
        <v>11</v>
      </c>
      <c r="HJ19" s="244" t="s">
        <v>12</v>
      </c>
      <c r="HK19" s="318" t="s">
        <v>43</v>
      </c>
      <c r="HL19" s="318" t="s">
        <v>43</v>
      </c>
      <c r="HM19" s="366" t="s">
        <v>326</v>
      </c>
      <c r="HN19" s="244" t="s">
        <v>43</v>
      </c>
      <c r="HO19" s="244" t="s">
        <v>43</v>
      </c>
      <c r="HP19" s="244" t="s">
        <v>7</v>
      </c>
      <c r="HQ19" s="366" t="s">
        <v>21</v>
      </c>
      <c r="HR19" s="366" t="s">
        <v>318</v>
      </c>
      <c r="HS19" s="318" t="s">
        <v>43</v>
      </c>
      <c r="HT19" s="318" t="s">
        <v>43</v>
      </c>
      <c r="HU19" s="244" t="s">
        <v>7</v>
      </c>
      <c r="HV19" s="318" t="s">
        <v>43</v>
      </c>
      <c r="HW19" s="244" t="s">
        <v>14</v>
      </c>
      <c r="HX19" s="244" t="s">
        <v>5</v>
      </c>
      <c r="HY19" s="244" t="s">
        <v>11</v>
      </c>
      <c r="HZ19" s="318" t="s">
        <v>43</v>
      </c>
      <c r="IA19" s="244" t="s">
        <v>5</v>
      </c>
      <c r="IB19" s="244" t="s">
        <v>12</v>
      </c>
      <c r="IC19" s="364" t="s">
        <v>58</v>
      </c>
      <c r="ID19" s="173" t="s">
        <v>8</v>
      </c>
      <c r="IE19" s="173" t="s">
        <v>15</v>
      </c>
      <c r="IF19" s="173" t="s">
        <v>20</v>
      </c>
      <c r="IG19" s="173" t="s">
        <v>43</v>
      </c>
      <c r="IH19" s="244" t="s">
        <v>20</v>
      </c>
      <c r="II19" s="173" t="s">
        <v>46</v>
      </c>
      <c r="IJ19" s="367" t="s">
        <v>47</v>
      </c>
      <c r="IK19" s="368" t="s">
        <v>48</v>
      </c>
      <c r="IL19" s="173" t="s">
        <v>8</v>
      </c>
      <c r="IM19" s="173" t="s">
        <v>43</v>
      </c>
      <c r="IN19" s="173" t="s">
        <v>43</v>
      </c>
      <c r="IO19" s="173" t="s">
        <v>6</v>
      </c>
      <c r="IP19" s="173" t="s">
        <v>45</v>
      </c>
      <c r="IQ19" s="173" t="s">
        <v>6</v>
      </c>
      <c r="IR19" s="173" t="s">
        <v>22</v>
      </c>
      <c r="IS19" s="173" t="s">
        <v>10</v>
      </c>
      <c r="IT19" s="173" t="s">
        <v>20</v>
      </c>
      <c r="IU19" s="173" t="s">
        <v>10</v>
      </c>
      <c r="JN19" s="357"/>
      <c r="JO19" s="369">
        <v>73</v>
      </c>
      <c r="JP19" s="305" t="s">
        <v>138</v>
      </c>
      <c r="JQ19" s="332" t="s">
        <v>144</v>
      </c>
      <c r="JR19" s="67" t="s">
        <v>145</v>
      </c>
      <c r="JS19" s="159" t="s">
        <v>7</v>
      </c>
      <c r="JT19" s="246" t="s">
        <v>43</v>
      </c>
      <c r="JU19" s="109" t="s">
        <v>6</v>
      </c>
      <c r="JV19" s="155" t="s">
        <v>20</v>
      </c>
      <c r="JW19" s="112" t="s">
        <v>188</v>
      </c>
      <c r="JX19" s="254" t="s">
        <v>8</v>
      </c>
      <c r="JY19" s="221" t="s">
        <v>7</v>
      </c>
      <c r="JZ19" s="159" t="s">
        <v>8</v>
      </c>
      <c r="KA19" s="111" t="s">
        <v>189</v>
      </c>
      <c r="KB19" s="115" t="s">
        <v>192</v>
      </c>
      <c r="KC19" s="246" t="s">
        <v>43</v>
      </c>
      <c r="KD19" s="246" t="s">
        <v>43</v>
      </c>
      <c r="KE19" s="159" t="s">
        <v>6</v>
      </c>
      <c r="KF19" s="230" t="s">
        <v>185</v>
      </c>
      <c r="KG19" s="114" t="s">
        <v>7</v>
      </c>
      <c r="KH19" s="118" t="s">
        <v>186</v>
      </c>
      <c r="KI19" s="246" t="s">
        <v>43</v>
      </c>
      <c r="KJ19" s="190" t="s">
        <v>187</v>
      </c>
      <c r="KK19" s="246" t="s">
        <v>43</v>
      </c>
      <c r="KL19" s="159" t="s">
        <v>12</v>
      </c>
      <c r="KM19" s="159" t="s">
        <v>14</v>
      </c>
      <c r="KN19" s="182" t="s">
        <v>6</v>
      </c>
      <c r="KO19" s="182" t="s">
        <v>5</v>
      </c>
      <c r="KP19" s="322">
        <f t="shared" si="63"/>
        <v>249.77764064792322</v>
      </c>
      <c r="KR19" s="329" t="s">
        <v>138</v>
      </c>
      <c r="KS19" s="159" t="s">
        <v>10</v>
      </c>
      <c r="KT19" s="170" t="s">
        <v>9</v>
      </c>
      <c r="KU19" s="221" t="s">
        <v>20</v>
      </c>
      <c r="KV19" s="117" t="s">
        <v>14</v>
      </c>
      <c r="KW19" s="124" t="s">
        <v>194</v>
      </c>
      <c r="KX19" s="240" t="s">
        <v>6</v>
      </c>
      <c r="KY19" s="240" t="s">
        <v>15</v>
      </c>
      <c r="KZ19" s="240" t="s">
        <v>6</v>
      </c>
      <c r="LA19" s="155" t="s">
        <v>10</v>
      </c>
      <c r="LB19" s="166" t="s">
        <v>9</v>
      </c>
      <c r="LC19" s="117" t="s">
        <v>5</v>
      </c>
      <c r="LD19" s="159" t="s">
        <v>9</v>
      </c>
      <c r="LE19" s="155" t="s">
        <v>7</v>
      </c>
      <c r="LF19" s="166" t="s">
        <v>15</v>
      </c>
      <c r="LG19" s="123" t="s">
        <v>229</v>
      </c>
      <c r="LH19" s="358">
        <v>6</v>
      </c>
      <c r="LW19" s="369">
        <v>73</v>
      </c>
      <c r="LX19" s="317" t="s">
        <v>138</v>
      </c>
      <c r="LY19" s="379" t="s">
        <v>144</v>
      </c>
      <c r="LZ19" s="306">
        <f t="shared" si="64"/>
        <v>20</v>
      </c>
      <c r="MA19" s="306">
        <f t="shared" si="65"/>
        <v>13</v>
      </c>
      <c r="MB19" s="306">
        <f t="shared" si="66"/>
        <v>14</v>
      </c>
      <c r="MC19" s="306">
        <f t="shared" si="67"/>
        <v>28</v>
      </c>
      <c r="MD19" s="306">
        <f t="shared" si="68"/>
        <v>17</v>
      </c>
      <c r="ME19" s="306">
        <f t="shared" si="69"/>
        <v>21</v>
      </c>
      <c r="MF19" s="306">
        <f t="shared" si="70"/>
        <v>19</v>
      </c>
      <c r="MG19" s="306">
        <f t="shared" si="71"/>
        <v>23</v>
      </c>
      <c r="MH19" s="306">
        <f t="shared" si="72"/>
        <v>18</v>
      </c>
      <c r="MI19" s="306">
        <f t="shared" si="73"/>
        <v>9</v>
      </c>
      <c r="MJ19" s="306">
        <f t="shared" si="74"/>
        <v>18</v>
      </c>
      <c r="MK19" s="306">
        <f t="shared" si="75"/>
        <v>9</v>
      </c>
      <c r="ML19" s="306">
        <f t="shared" si="76"/>
        <v>12</v>
      </c>
      <c r="MM19" s="306">
        <f t="shared" si="77"/>
        <v>18</v>
      </c>
      <c r="MN19" s="306">
        <f t="shared" si="78"/>
        <v>8</v>
      </c>
      <c r="MO19" s="306">
        <f t="shared" si="79"/>
        <v>19</v>
      </c>
      <c r="MP19" s="306">
        <f t="shared" si="80"/>
        <v>19</v>
      </c>
      <c r="MQ19" s="306">
        <f t="shared" si="81"/>
        <v>21</v>
      </c>
      <c r="MR19" s="306">
        <f t="shared" si="82"/>
        <v>22</v>
      </c>
      <c r="MS19" s="306">
        <f t="shared" si="83"/>
        <v>25</v>
      </c>
      <c r="MT19" s="306">
        <f t="shared" si="84"/>
        <v>26</v>
      </c>
      <c r="MU19" s="306">
        <f t="shared" si="85"/>
        <v>28</v>
      </c>
      <c r="MV19" s="306">
        <f t="shared" si="86"/>
        <v>23</v>
      </c>
      <c r="MY19" s="306">
        <f t="shared" si="87"/>
        <v>25</v>
      </c>
      <c r="MZ19" s="306">
        <f t="shared" si="88"/>
        <v>29</v>
      </c>
      <c r="NA19" s="306">
        <f t="shared" si="89"/>
        <v>28</v>
      </c>
      <c r="NB19" s="306">
        <f t="shared" si="90"/>
        <v>13</v>
      </c>
      <c r="NC19" s="306">
        <f t="shared" si="91"/>
        <v>14</v>
      </c>
      <c r="ND19" s="306">
        <f t="shared" si="92"/>
        <v>28</v>
      </c>
      <c r="NE19" s="306">
        <f t="shared" si="93"/>
        <v>29</v>
      </c>
      <c r="NF19" s="306">
        <f t="shared" si="94"/>
        <v>29</v>
      </c>
      <c r="NG19" s="306">
        <f t="shared" si="95"/>
        <v>17</v>
      </c>
      <c r="NH19" s="306">
        <f t="shared" si="96"/>
        <v>26</v>
      </c>
      <c r="NI19" s="306">
        <f t="shared" si="97"/>
        <v>13</v>
      </c>
      <c r="NJ19" s="306">
        <f t="shared" si="98"/>
        <v>14</v>
      </c>
      <c r="NK19" s="306">
        <f t="shared" si="99"/>
        <v>16</v>
      </c>
      <c r="NL19" s="306">
        <f t="shared" si="100"/>
        <v>26</v>
      </c>
      <c r="NM19" s="306">
        <f t="shared" si="57"/>
        <v>10</v>
      </c>
      <c r="NN19" s="306">
        <f t="shared" si="101"/>
        <v>0</v>
      </c>
      <c r="NO19" s="306">
        <f t="shared" si="102"/>
        <v>0</v>
      </c>
      <c r="NU19" s="379" t="s">
        <v>144</v>
      </c>
      <c r="NV19" s="357"/>
      <c r="NX19" s="246" t="s">
        <v>7</v>
      </c>
      <c r="NY19" s="246" t="s">
        <v>43</v>
      </c>
      <c r="NZ19" s="246" t="s">
        <v>6</v>
      </c>
      <c r="OA19" s="246" t="s">
        <v>20</v>
      </c>
      <c r="OB19" s="372" t="s">
        <v>188</v>
      </c>
      <c r="OC19" s="230" t="s">
        <v>8</v>
      </c>
      <c r="OD19" s="230" t="s">
        <v>7</v>
      </c>
      <c r="OE19" s="230" t="s">
        <v>8</v>
      </c>
      <c r="OF19" s="371" t="s">
        <v>189</v>
      </c>
      <c r="OG19" s="372" t="s">
        <v>192</v>
      </c>
      <c r="OH19" s="246" t="s">
        <v>43</v>
      </c>
      <c r="OI19" s="246" t="s">
        <v>43</v>
      </c>
      <c r="OJ19" s="163" t="s">
        <v>6</v>
      </c>
      <c r="OK19" s="163" t="s">
        <v>185</v>
      </c>
      <c r="OL19" s="246" t="s">
        <v>7</v>
      </c>
      <c r="OM19" s="372" t="s">
        <v>186</v>
      </c>
      <c r="ON19" s="246" t="s">
        <v>43</v>
      </c>
      <c r="OO19" s="225" t="s">
        <v>187</v>
      </c>
      <c r="OP19" s="246" t="s">
        <v>43</v>
      </c>
      <c r="OQ19" s="246" t="s">
        <v>12</v>
      </c>
      <c r="OR19" s="159" t="s">
        <v>14</v>
      </c>
      <c r="OS19" s="159" t="s">
        <v>6</v>
      </c>
      <c r="OT19" s="246" t="s">
        <v>5</v>
      </c>
      <c r="OV19" s="375" t="s">
        <v>138</v>
      </c>
      <c r="OW19" s="246" t="s">
        <v>10</v>
      </c>
      <c r="OX19" s="246" t="s">
        <v>9</v>
      </c>
      <c r="OY19" s="240" t="s">
        <v>20</v>
      </c>
      <c r="OZ19" s="240" t="s">
        <v>14</v>
      </c>
      <c r="PA19" s="225" t="s">
        <v>194</v>
      </c>
      <c r="PB19" s="246" t="s">
        <v>6</v>
      </c>
      <c r="PC19" s="246" t="s">
        <v>15</v>
      </c>
      <c r="PD19" s="246" t="s">
        <v>6</v>
      </c>
      <c r="PE19" s="246" t="s">
        <v>10</v>
      </c>
      <c r="PF19" s="246" t="s">
        <v>9</v>
      </c>
      <c r="PG19" s="246" t="s">
        <v>5</v>
      </c>
      <c r="PH19" s="246" t="s">
        <v>9</v>
      </c>
      <c r="PI19" s="246" t="s">
        <v>7</v>
      </c>
      <c r="PJ19" s="246" t="s">
        <v>15</v>
      </c>
      <c r="PK19" s="376" t="s">
        <v>229</v>
      </c>
      <c r="PM19"/>
      <c r="PN19"/>
      <c r="PO19"/>
      <c r="PP19"/>
      <c r="PQ19"/>
      <c r="PR19"/>
      <c r="PS19"/>
      <c r="PT19"/>
      <c r="QN19" s="357"/>
      <c r="QO19" s="45" t="s">
        <v>90</v>
      </c>
      <c r="QP19" s="204" t="s">
        <v>195</v>
      </c>
      <c r="QQ19" s="166" t="s">
        <v>20</v>
      </c>
      <c r="QR19" s="166" t="s">
        <v>14</v>
      </c>
      <c r="QS19" s="318" t="s">
        <v>43</v>
      </c>
      <c r="QT19" s="159" t="s">
        <v>7</v>
      </c>
      <c r="QU19" s="182" t="s">
        <v>185</v>
      </c>
      <c r="QV19" s="230" t="s">
        <v>22</v>
      </c>
      <c r="QW19" s="131" t="s">
        <v>22</v>
      </c>
      <c r="QX19" s="216" t="s">
        <v>198</v>
      </c>
      <c r="QY19" s="246" t="s">
        <v>8</v>
      </c>
      <c r="QZ19" s="166" t="s">
        <v>11</v>
      </c>
      <c r="RA19" s="221" t="s">
        <v>2</v>
      </c>
      <c r="RB19" s="239" t="s">
        <v>210</v>
      </c>
      <c r="RC19" s="182" t="s">
        <v>8</v>
      </c>
      <c r="RD19" s="199" t="s">
        <v>2</v>
      </c>
      <c r="RE19" s="131" t="s">
        <v>2</v>
      </c>
      <c r="RF19" s="159" t="s">
        <v>7</v>
      </c>
      <c r="RG19" s="159" t="s">
        <v>8</v>
      </c>
      <c r="RH19" s="246" t="s">
        <v>43</v>
      </c>
      <c r="RI19" s="246" t="s">
        <v>43</v>
      </c>
      <c r="RJ19" s="125" t="s">
        <v>11</v>
      </c>
      <c r="RK19" s="182" t="s">
        <v>2</v>
      </c>
      <c r="RL19" s="131" t="s">
        <v>6</v>
      </c>
      <c r="RM19" s="246" t="s">
        <v>43</v>
      </c>
      <c r="RN19" s="324" t="s">
        <v>200</v>
      </c>
      <c r="RO19" s="255" t="s">
        <v>201</v>
      </c>
      <c r="RP19" s="182" t="s">
        <v>14</v>
      </c>
      <c r="RQ19" s="166" t="s">
        <v>185</v>
      </c>
      <c r="RR19" s="246" t="s">
        <v>43</v>
      </c>
      <c r="RS19" s="159" t="s">
        <v>10</v>
      </c>
      <c r="RT19" s="235" t="s">
        <v>21</v>
      </c>
      <c r="RU19" s="246" t="s">
        <v>43</v>
      </c>
      <c r="RV19" s="182" t="s">
        <v>7</v>
      </c>
      <c r="RW19" s="240" t="s">
        <v>3</v>
      </c>
      <c r="RX19" s="225" t="s">
        <v>255</v>
      </c>
      <c r="RY19" s="246" t="s">
        <v>43</v>
      </c>
      <c r="RZ19" s="182" t="s">
        <v>20</v>
      </c>
      <c r="SA19" s="190" t="s">
        <v>211</v>
      </c>
      <c r="SB19" s="246" t="s">
        <v>43</v>
      </c>
      <c r="SC19" s="254" t="s">
        <v>205</v>
      </c>
      <c r="SD19" s="166" t="s">
        <v>15</v>
      </c>
      <c r="SE19" s="159" t="s">
        <v>14</v>
      </c>
      <c r="SF19" s="318" t="s">
        <v>43</v>
      </c>
      <c r="SG19" s="246" t="s">
        <v>43</v>
      </c>
      <c r="SH19" s="254" t="s">
        <v>15</v>
      </c>
      <c r="SI19" s="131" t="s">
        <v>5</v>
      </c>
      <c r="SJ19" s="159" t="s">
        <v>277</v>
      </c>
      <c r="SK19" s="322">
        <f t="shared" si="103"/>
        <v>91.956691752186202</v>
      </c>
      <c r="SM19" s="362">
        <v>6</v>
      </c>
      <c r="SO19"/>
      <c r="SP19"/>
      <c r="TP19" s="357"/>
      <c r="TQ19" s="45" t="s">
        <v>90</v>
      </c>
      <c r="TR19" s="306">
        <f t="shared" si="104"/>
        <v>31</v>
      </c>
      <c r="TS19" s="306">
        <f t="shared" si="105"/>
        <v>23</v>
      </c>
      <c r="TT19" s="306">
        <f t="shared" si="106"/>
        <v>20</v>
      </c>
      <c r="TU19" s="306">
        <f t="shared" si="107"/>
        <v>18</v>
      </c>
      <c r="TV19" s="306">
        <f t="shared" si="108"/>
        <v>6</v>
      </c>
      <c r="TW19" s="306">
        <f t="shared" si="109"/>
        <v>24</v>
      </c>
      <c r="TX19" s="306">
        <f t="shared" si="110"/>
        <v>5</v>
      </c>
      <c r="TY19" s="306">
        <f t="shared" si="111"/>
        <v>33</v>
      </c>
      <c r="TZ19" s="306">
        <f t="shared" si="112"/>
        <v>33</v>
      </c>
      <c r="UA19" s="306">
        <f t="shared" si="113"/>
        <v>24</v>
      </c>
      <c r="UB19" s="306">
        <f t="shared" si="114"/>
        <v>19</v>
      </c>
      <c r="UC19" s="306">
        <f t="shared" si="115"/>
        <v>23</v>
      </c>
      <c r="UD19" s="306">
        <f t="shared" si="116"/>
        <v>9</v>
      </c>
      <c r="UE19" s="306">
        <f t="shared" si="117"/>
        <v>26</v>
      </c>
      <c r="UF19" s="306">
        <f t="shared" si="118"/>
        <v>24</v>
      </c>
      <c r="UG19" s="306">
        <f t="shared" si="119"/>
        <v>13</v>
      </c>
      <c r="UH19" s="306">
        <f t="shared" si="120"/>
        <v>28</v>
      </c>
      <c r="UI19" s="306">
        <f t="shared" si="121"/>
        <v>32</v>
      </c>
      <c r="UJ19" s="306">
        <f t="shared" si="122"/>
        <v>26</v>
      </c>
      <c r="UK19" s="306">
        <f t="shared" si="123"/>
        <v>31</v>
      </c>
      <c r="UL19" s="306">
        <f t="shared" si="124"/>
        <v>26</v>
      </c>
      <c r="UM19" s="306">
        <f t="shared" si="125"/>
        <v>28</v>
      </c>
      <c r="UN19" s="306">
        <f t="shared" si="126"/>
        <v>18</v>
      </c>
      <c r="UO19" s="306">
        <f t="shared" si="127"/>
        <v>23</v>
      </c>
      <c r="UP19" s="306">
        <f t="shared" si="128"/>
        <v>11</v>
      </c>
      <c r="UQ19" s="306">
        <f t="shared" si="129"/>
        <v>30</v>
      </c>
      <c r="UR19" s="306">
        <f t="shared" si="130"/>
        <v>16</v>
      </c>
      <c r="US19" s="306">
        <f t="shared" si="131"/>
        <v>7</v>
      </c>
      <c r="UT19" s="306">
        <f t="shared" si="132"/>
        <v>30</v>
      </c>
      <c r="UU19" s="306">
        <f t="shared" si="133"/>
        <v>22</v>
      </c>
      <c r="UV19" s="306">
        <f t="shared" si="134"/>
        <v>31</v>
      </c>
      <c r="UW19" s="306">
        <f t="shared" si="135"/>
        <v>33</v>
      </c>
      <c r="UX19" s="306">
        <f t="shared" si="136"/>
        <v>32</v>
      </c>
      <c r="UY19" s="306">
        <f t="shared" si="137"/>
        <v>19</v>
      </c>
      <c r="UZ19" s="306">
        <f t="shared" si="138"/>
        <v>5</v>
      </c>
      <c r="VA19" s="306">
        <f t="shared" si="139"/>
        <v>5</v>
      </c>
      <c r="VB19" s="306">
        <f t="shared" si="140"/>
        <v>8</v>
      </c>
      <c r="VC19" s="306">
        <f t="shared" si="141"/>
        <v>13</v>
      </c>
      <c r="VD19" s="306">
        <f t="shared" si="142"/>
        <v>13</v>
      </c>
      <c r="VE19" s="306">
        <f t="shared" si="143"/>
        <v>10</v>
      </c>
      <c r="VF19" s="306">
        <f t="shared" si="144"/>
        <v>19</v>
      </c>
      <c r="VG19" s="306">
        <f t="shared" si="145"/>
        <v>23</v>
      </c>
      <c r="VH19" s="306">
        <f t="shared" si="146"/>
        <v>7</v>
      </c>
      <c r="VI19" s="306">
        <f t="shared" si="147"/>
        <v>28</v>
      </c>
      <c r="VJ19" s="306">
        <f t="shared" si="148"/>
        <v>30</v>
      </c>
      <c r="VK19" s="306">
        <f t="shared" si="149"/>
        <v>32</v>
      </c>
      <c r="VL19" s="306">
        <f t="shared" si="150"/>
        <v>5</v>
      </c>
      <c r="VN19" s="306">
        <f t="shared" si="151"/>
        <v>0</v>
      </c>
      <c r="WR19" s="357"/>
      <c r="WS19" s="45" t="s">
        <v>90</v>
      </c>
      <c r="WT19" s="225" t="s">
        <v>195</v>
      </c>
      <c r="WU19" s="246" t="s">
        <v>20</v>
      </c>
      <c r="WV19" s="246" t="s">
        <v>14</v>
      </c>
      <c r="WW19" s="318" t="s">
        <v>43</v>
      </c>
      <c r="WX19" s="246" t="s">
        <v>7</v>
      </c>
      <c r="WY19" s="246" t="s">
        <v>185</v>
      </c>
      <c r="WZ19" s="246" t="s">
        <v>22</v>
      </c>
      <c r="XA19" s="246" t="s">
        <v>22</v>
      </c>
      <c r="XB19" s="225" t="s">
        <v>198</v>
      </c>
      <c r="XC19" s="240" t="s">
        <v>8</v>
      </c>
      <c r="XD19" s="240" t="s">
        <v>11</v>
      </c>
      <c r="XE19" s="240" t="s">
        <v>2</v>
      </c>
      <c r="XF19" s="225" t="s">
        <v>210</v>
      </c>
      <c r="XG19" s="163" t="s">
        <v>8</v>
      </c>
      <c r="XH19" s="163" t="s">
        <v>2</v>
      </c>
      <c r="XI19" s="166" t="s">
        <v>2</v>
      </c>
      <c r="XJ19" s="166" t="s">
        <v>7</v>
      </c>
      <c r="XK19" s="166" t="s">
        <v>8</v>
      </c>
      <c r="XL19" s="246" t="s">
        <v>43</v>
      </c>
      <c r="XM19" s="246" t="s">
        <v>43</v>
      </c>
      <c r="XN19" s="159" t="s">
        <v>11</v>
      </c>
      <c r="XO19" s="159" t="s">
        <v>2</v>
      </c>
      <c r="XP19" s="246" t="s">
        <v>6</v>
      </c>
      <c r="XQ19" s="246" t="s">
        <v>43</v>
      </c>
      <c r="XR19" s="337" t="s">
        <v>200</v>
      </c>
      <c r="XS19" s="175" t="s">
        <v>201</v>
      </c>
      <c r="XT19" s="246" t="s">
        <v>14</v>
      </c>
      <c r="XU19" s="246" t="s">
        <v>185</v>
      </c>
      <c r="XV19" s="246" t="s">
        <v>43</v>
      </c>
      <c r="XW19" s="159" t="s">
        <v>10</v>
      </c>
      <c r="XX19" s="225" t="s">
        <v>21</v>
      </c>
      <c r="XY19" s="246" t="s">
        <v>43</v>
      </c>
      <c r="XZ19" s="240" t="s">
        <v>7</v>
      </c>
      <c r="YA19" s="240" t="s">
        <v>3</v>
      </c>
      <c r="YB19" s="225" t="s">
        <v>255</v>
      </c>
      <c r="YC19" s="246" t="s">
        <v>43</v>
      </c>
      <c r="YD19" s="246" t="s">
        <v>20</v>
      </c>
      <c r="YE19" s="225" t="s">
        <v>211</v>
      </c>
      <c r="YF19" s="246" t="s">
        <v>43</v>
      </c>
      <c r="YG19" s="246" t="s">
        <v>205</v>
      </c>
      <c r="YH19" s="246" t="s">
        <v>15</v>
      </c>
      <c r="YI19" s="246" t="s">
        <v>14</v>
      </c>
      <c r="YJ19" s="318" t="s">
        <v>43</v>
      </c>
      <c r="YK19" s="246" t="s">
        <v>43</v>
      </c>
      <c r="YL19" s="246" t="s">
        <v>15</v>
      </c>
      <c r="YM19" s="246" t="s">
        <v>5</v>
      </c>
      <c r="YN19" s="246" t="s">
        <v>277</v>
      </c>
      <c r="AFZ19" s="307"/>
    </row>
    <row r="20" spans="1:858" s="306" customFormat="1" ht="20.65" x14ac:dyDescent="0.7">
      <c r="A20" s="70">
        <v>11</v>
      </c>
      <c r="B20" s="305"/>
      <c r="C20" s="45" t="s">
        <v>94</v>
      </c>
      <c r="D20" s="45" t="s">
        <v>91</v>
      </c>
      <c r="E20" s="305"/>
      <c r="F20" s="128">
        <v>32.762936385882213</v>
      </c>
      <c r="X20" s="355"/>
      <c r="AA20" s="53" t="s">
        <v>51</v>
      </c>
      <c r="AB20" s="305" t="s">
        <v>26</v>
      </c>
      <c r="AC20" s="183" t="s">
        <v>1</v>
      </c>
      <c r="AD20" s="210" t="s">
        <v>8</v>
      </c>
      <c r="AE20" s="132" t="s">
        <v>3</v>
      </c>
      <c r="AF20" s="203" t="s">
        <v>4</v>
      </c>
      <c r="AG20" s="229" t="s">
        <v>6</v>
      </c>
      <c r="AH20" s="318" t="s">
        <v>43</v>
      </c>
      <c r="AI20" s="253" t="s">
        <v>2</v>
      </c>
      <c r="AJ20" s="253" t="s">
        <v>2</v>
      </c>
      <c r="AK20" s="147" t="s">
        <v>10</v>
      </c>
      <c r="AL20" s="157" t="s">
        <v>2</v>
      </c>
      <c r="AM20" s="217" t="s">
        <v>24</v>
      </c>
      <c r="AN20" s="336" t="s">
        <v>246</v>
      </c>
      <c r="AO20" s="183" t="s">
        <v>3</v>
      </c>
      <c r="AP20" s="224" t="s">
        <v>247</v>
      </c>
      <c r="AQ20" s="232" t="s">
        <v>27</v>
      </c>
      <c r="AR20" s="174" t="s">
        <v>248</v>
      </c>
      <c r="AS20" s="229" t="s">
        <v>43</v>
      </c>
      <c r="AT20" s="196" t="s">
        <v>11</v>
      </c>
      <c r="AU20" s="238" t="s">
        <v>11</v>
      </c>
      <c r="AV20" s="238" t="s">
        <v>12</v>
      </c>
      <c r="AW20" s="318" t="s">
        <v>43</v>
      </c>
      <c r="AX20" s="318" t="s">
        <v>43</v>
      </c>
      <c r="AY20" s="174" t="s">
        <v>249</v>
      </c>
      <c r="AZ20" s="229" t="s">
        <v>43</v>
      </c>
      <c r="BA20" s="229" t="s">
        <v>43</v>
      </c>
      <c r="BB20" s="183" t="s">
        <v>7</v>
      </c>
      <c r="BC20" s="168" t="s">
        <v>21</v>
      </c>
      <c r="BD20" s="224" t="s">
        <v>244</v>
      </c>
      <c r="BE20" s="318" t="s">
        <v>43</v>
      </c>
      <c r="BF20" s="318" t="s">
        <v>43</v>
      </c>
      <c r="BG20" s="253" t="s">
        <v>7</v>
      </c>
      <c r="BH20" s="318" t="s">
        <v>43</v>
      </c>
      <c r="BI20" s="183" t="s">
        <v>14</v>
      </c>
      <c r="BJ20" s="183" t="s">
        <v>5</v>
      </c>
      <c r="BK20" s="183" t="s">
        <v>11</v>
      </c>
      <c r="BL20" s="318" t="s">
        <v>43</v>
      </c>
      <c r="BM20" s="192" t="s">
        <v>5</v>
      </c>
      <c r="BN20" s="192" t="s">
        <v>12</v>
      </c>
      <c r="BO20" s="309"/>
      <c r="BP20" s="319">
        <f t="shared" si="59"/>
        <v>22566.264992828299</v>
      </c>
      <c r="BQ20" s="320" t="s">
        <v>62</v>
      </c>
      <c r="BR20" s="143" t="s">
        <v>2</v>
      </c>
      <c r="BS20" s="227" t="s">
        <v>43</v>
      </c>
      <c r="BT20" s="269" t="s">
        <v>20</v>
      </c>
      <c r="BU20" s="227" t="s">
        <v>43</v>
      </c>
      <c r="BV20" s="196" t="s">
        <v>20</v>
      </c>
      <c r="BW20" s="161" t="s">
        <v>46</v>
      </c>
      <c r="BX20" s="235" t="s">
        <v>252</v>
      </c>
      <c r="BY20" s="241" t="s">
        <v>48</v>
      </c>
      <c r="BZ20" s="177" t="s">
        <v>8</v>
      </c>
      <c r="CA20" s="161" t="s">
        <v>5</v>
      </c>
      <c r="CB20" s="177" t="s">
        <v>8</v>
      </c>
      <c r="CC20" s="193" t="s">
        <v>6</v>
      </c>
      <c r="CD20" s="143" t="s">
        <v>45</v>
      </c>
      <c r="CE20" s="227" t="s">
        <v>43</v>
      </c>
      <c r="CF20" s="208" t="s">
        <v>22</v>
      </c>
      <c r="CG20" s="250" t="s">
        <v>11</v>
      </c>
      <c r="CH20" s="193" t="s">
        <v>20</v>
      </c>
      <c r="CI20" s="318" t="s">
        <v>43</v>
      </c>
      <c r="CJ20" s="70">
        <v>45</v>
      </c>
      <c r="DG20" s="357"/>
      <c r="DI20" s="53" t="s">
        <v>51</v>
      </c>
      <c r="DJ20" s="305" t="s">
        <v>26</v>
      </c>
      <c r="DK20" s="363">
        <f t="shared" si="0"/>
        <v>7</v>
      </c>
      <c r="DL20" s="363">
        <f t="shared" si="1"/>
        <v>2</v>
      </c>
      <c r="DM20" s="363">
        <f t="shared" si="2"/>
        <v>7</v>
      </c>
      <c r="DN20" s="363">
        <f t="shared" si="3"/>
        <v>5</v>
      </c>
      <c r="DO20" s="363">
        <f t="shared" si="4"/>
        <v>0</v>
      </c>
      <c r="DP20" s="363">
        <f t="shared" si="5"/>
        <v>2</v>
      </c>
      <c r="DQ20" s="363">
        <f t="shared" si="6"/>
        <v>3</v>
      </c>
      <c r="DR20" s="363">
        <f t="shared" si="7"/>
        <v>7</v>
      </c>
      <c r="DS20" s="363">
        <f t="shared" si="8"/>
        <v>5</v>
      </c>
      <c r="DT20" s="363">
        <f t="shared" si="9"/>
        <v>5</v>
      </c>
      <c r="DU20" s="363">
        <f t="shared" si="10"/>
        <v>7</v>
      </c>
      <c r="DV20" s="363">
        <f t="shared" si="11"/>
        <v>7</v>
      </c>
      <c r="DW20" s="363">
        <f t="shared" si="12"/>
        <v>7</v>
      </c>
      <c r="DX20" s="363">
        <f t="shared" si="13"/>
        <v>0</v>
      </c>
      <c r="DY20" s="363">
        <f t="shared" si="14"/>
        <v>7</v>
      </c>
      <c r="DZ20" s="363">
        <f t="shared" si="15"/>
        <v>0</v>
      </c>
      <c r="EA20" s="363">
        <f t="shared" si="16"/>
        <v>0</v>
      </c>
      <c r="EB20" s="363">
        <f t="shared" si="17"/>
        <v>3</v>
      </c>
      <c r="EC20" s="363">
        <f t="shared" si="18"/>
        <v>0</v>
      </c>
      <c r="ED20" s="363">
        <f t="shared" si="19"/>
        <v>0</v>
      </c>
      <c r="EE20" s="363">
        <f t="shared" si="20"/>
        <v>0</v>
      </c>
      <c r="EF20" s="363">
        <f t="shared" si="21"/>
        <v>5</v>
      </c>
      <c r="EG20" s="363">
        <f t="shared" si="22"/>
        <v>2</v>
      </c>
      <c r="EH20" s="363">
        <f t="shared" si="23"/>
        <v>2</v>
      </c>
      <c r="EI20" s="363">
        <f t="shared" si="24"/>
        <v>2</v>
      </c>
      <c r="EJ20" s="363">
        <f t="shared" si="25"/>
        <v>2</v>
      </c>
      <c r="EK20" s="363">
        <f t="shared" si="26"/>
        <v>5</v>
      </c>
      <c r="EL20" s="363">
        <f t="shared" si="27"/>
        <v>0</v>
      </c>
      <c r="EM20" s="363">
        <f t="shared" si="28"/>
        <v>0</v>
      </c>
      <c r="EN20" s="363">
        <f t="shared" si="29"/>
        <v>3</v>
      </c>
      <c r="EO20" s="363">
        <f t="shared" si="30"/>
        <v>5</v>
      </c>
      <c r="EP20" s="363">
        <f t="shared" si="31"/>
        <v>2</v>
      </c>
      <c r="EQ20" s="363">
        <f t="shared" si="32"/>
        <v>6</v>
      </c>
      <c r="ER20" s="363">
        <f t="shared" si="33"/>
        <v>5</v>
      </c>
      <c r="ES20" s="363">
        <f t="shared" si="34"/>
        <v>7</v>
      </c>
      <c r="ET20" s="363">
        <f t="shared" si="35"/>
        <v>0</v>
      </c>
      <c r="EU20" s="363">
        <f t="shared" si="36"/>
        <v>7</v>
      </c>
      <c r="EV20" s="363">
        <f t="shared" si="37"/>
        <v>0</v>
      </c>
      <c r="EW20" s="320" t="s">
        <v>62</v>
      </c>
      <c r="EX20" s="363">
        <f t="shared" si="38"/>
        <v>6</v>
      </c>
      <c r="EY20" s="363">
        <f t="shared" si="39"/>
        <v>0</v>
      </c>
      <c r="EZ20" s="363">
        <f t="shared" si="40"/>
        <v>2</v>
      </c>
      <c r="FA20" s="363">
        <f t="shared" si="41"/>
        <v>7</v>
      </c>
      <c r="FB20" s="363">
        <f t="shared" si="42"/>
        <v>7</v>
      </c>
      <c r="FC20" s="363">
        <f t="shared" si="43"/>
        <v>0</v>
      </c>
      <c r="FD20" s="363">
        <f t="shared" si="44"/>
        <v>0</v>
      </c>
      <c r="FE20" s="363">
        <f t="shared" si="45"/>
        <v>0</v>
      </c>
      <c r="FF20" s="363">
        <f t="shared" si="46"/>
        <v>7</v>
      </c>
      <c r="FG20" s="363">
        <f t="shared" si="47"/>
        <v>0</v>
      </c>
      <c r="FH20" s="363">
        <f t="shared" si="48"/>
        <v>7</v>
      </c>
      <c r="FI20" s="363">
        <f t="shared" si="49"/>
        <v>0</v>
      </c>
      <c r="FJ20" s="363">
        <f t="shared" si="50"/>
        <v>7</v>
      </c>
      <c r="FK20" s="363">
        <f t="shared" si="51"/>
        <v>7</v>
      </c>
      <c r="FL20" s="363">
        <f t="shared" si="52"/>
        <v>1</v>
      </c>
      <c r="FM20" s="363">
        <f t="shared" si="53"/>
        <v>0</v>
      </c>
      <c r="FN20" s="363">
        <f t="shared" si="54"/>
        <v>0</v>
      </c>
      <c r="FO20" s="363">
        <f t="shared" si="55"/>
        <v>0</v>
      </c>
      <c r="FP20" s="363">
        <f t="shared" si="60"/>
        <v>11</v>
      </c>
      <c r="FQ20" s="363">
        <f t="shared" si="61"/>
        <v>9</v>
      </c>
      <c r="FR20" s="309">
        <f t="shared" si="62"/>
        <v>20</v>
      </c>
      <c r="GM20" s="357"/>
      <c r="GO20" s="53" t="s">
        <v>51</v>
      </c>
      <c r="GP20" s="305" t="s">
        <v>26</v>
      </c>
      <c r="GQ20" s="244" t="s">
        <v>1</v>
      </c>
      <c r="GR20" s="244" t="s">
        <v>8</v>
      </c>
      <c r="GS20" s="244" t="s">
        <v>3</v>
      </c>
      <c r="GT20" s="244" t="s">
        <v>4</v>
      </c>
      <c r="GU20" s="244" t="s">
        <v>6</v>
      </c>
      <c r="GV20" s="318" t="s">
        <v>43</v>
      </c>
      <c r="GW20" s="244" t="s">
        <v>2</v>
      </c>
      <c r="GX20" s="244" t="s">
        <v>2</v>
      </c>
      <c r="GY20" s="244" t="s">
        <v>10</v>
      </c>
      <c r="GZ20" s="223" t="s">
        <v>2</v>
      </c>
      <c r="HA20" s="366" t="s">
        <v>24</v>
      </c>
      <c r="HB20" s="380" t="s">
        <v>323</v>
      </c>
      <c r="HC20" s="244" t="s">
        <v>3</v>
      </c>
      <c r="HD20" s="366" t="s">
        <v>324</v>
      </c>
      <c r="HE20" s="366" t="s">
        <v>27</v>
      </c>
      <c r="HF20" s="366" t="s">
        <v>325</v>
      </c>
      <c r="HG20" s="244" t="s">
        <v>43</v>
      </c>
      <c r="HH20" s="244" t="s">
        <v>11</v>
      </c>
      <c r="HI20" s="244" t="s">
        <v>11</v>
      </c>
      <c r="HJ20" s="244" t="s">
        <v>12</v>
      </c>
      <c r="HK20" s="318" t="s">
        <v>43</v>
      </c>
      <c r="HL20" s="318" t="s">
        <v>43</v>
      </c>
      <c r="HM20" s="366" t="s">
        <v>326</v>
      </c>
      <c r="HN20" s="244" t="s">
        <v>43</v>
      </c>
      <c r="HO20" s="244" t="s">
        <v>43</v>
      </c>
      <c r="HP20" s="244" t="s">
        <v>7</v>
      </c>
      <c r="HQ20" s="366" t="s">
        <v>21</v>
      </c>
      <c r="HR20" s="366" t="s">
        <v>318</v>
      </c>
      <c r="HS20" s="318" t="s">
        <v>43</v>
      </c>
      <c r="HT20" s="318" t="s">
        <v>43</v>
      </c>
      <c r="HU20" s="244" t="s">
        <v>7</v>
      </c>
      <c r="HV20" s="318" t="s">
        <v>43</v>
      </c>
      <c r="HW20" s="244" t="s">
        <v>14</v>
      </c>
      <c r="HX20" s="244" t="s">
        <v>5</v>
      </c>
      <c r="HY20" s="244" t="s">
        <v>11</v>
      </c>
      <c r="HZ20" s="318" t="s">
        <v>43</v>
      </c>
      <c r="IA20" s="244" t="s">
        <v>5</v>
      </c>
      <c r="IB20" s="244" t="s">
        <v>12</v>
      </c>
      <c r="IC20" s="320" t="s">
        <v>62</v>
      </c>
      <c r="ID20" s="173" t="s">
        <v>2</v>
      </c>
      <c r="IE20" s="173" t="s">
        <v>43</v>
      </c>
      <c r="IF20" s="173" t="s">
        <v>20</v>
      </c>
      <c r="IG20" s="173" t="s">
        <v>43</v>
      </c>
      <c r="IH20" s="244" t="s">
        <v>20</v>
      </c>
      <c r="II20" s="173" t="s">
        <v>46</v>
      </c>
      <c r="IJ20" s="367" t="s">
        <v>320</v>
      </c>
      <c r="IK20" s="368" t="s">
        <v>48</v>
      </c>
      <c r="IL20" s="173" t="s">
        <v>8</v>
      </c>
      <c r="IM20" s="173" t="s">
        <v>5</v>
      </c>
      <c r="IN20" s="173" t="s">
        <v>8</v>
      </c>
      <c r="IO20" s="173" t="s">
        <v>6</v>
      </c>
      <c r="IP20" s="173" t="s">
        <v>45</v>
      </c>
      <c r="IQ20" s="173" t="s">
        <v>43</v>
      </c>
      <c r="IR20" s="173" t="s">
        <v>22</v>
      </c>
      <c r="IS20" s="173" t="s">
        <v>11</v>
      </c>
      <c r="IT20" s="173" t="s">
        <v>20</v>
      </c>
      <c r="IU20" s="318" t="s">
        <v>43</v>
      </c>
      <c r="JN20" s="357"/>
      <c r="JO20" s="369">
        <v>74</v>
      </c>
      <c r="JP20" s="305" t="s">
        <v>135</v>
      </c>
      <c r="JQ20" s="338" t="s">
        <v>147</v>
      </c>
      <c r="JR20" s="67" t="s">
        <v>148</v>
      </c>
      <c r="JS20" s="254" t="s">
        <v>6</v>
      </c>
      <c r="JT20" s="254" t="s">
        <v>8</v>
      </c>
      <c r="JU20" s="205" t="s">
        <v>3</v>
      </c>
      <c r="JV20" s="155" t="s">
        <v>20</v>
      </c>
      <c r="JW20" s="149" t="s">
        <v>43</v>
      </c>
      <c r="JX20" s="254" t="s">
        <v>8</v>
      </c>
      <c r="JY20" s="155" t="s">
        <v>10</v>
      </c>
      <c r="JZ20" s="159" t="s">
        <v>8</v>
      </c>
      <c r="KA20" s="126" t="s">
        <v>184</v>
      </c>
      <c r="KB20" s="129" t="s">
        <v>43</v>
      </c>
      <c r="KC20" s="172" t="s">
        <v>10</v>
      </c>
      <c r="KD20" s="163" t="s">
        <v>20</v>
      </c>
      <c r="KE20" s="246" t="s">
        <v>7</v>
      </c>
      <c r="KF20" s="230" t="s">
        <v>185</v>
      </c>
      <c r="KG20" s="125" t="s">
        <v>4</v>
      </c>
      <c r="KH20" s="226" t="s">
        <v>191</v>
      </c>
      <c r="KI20" s="254" t="s">
        <v>3</v>
      </c>
      <c r="KJ20" s="246" t="s">
        <v>43</v>
      </c>
      <c r="KK20" s="254" t="s">
        <v>5</v>
      </c>
      <c r="KL20" s="254" t="s">
        <v>15</v>
      </c>
      <c r="KM20" s="110" t="s">
        <v>15</v>
      </c>
      <c r="KN20" s="182" t="s">
        <v>6</v>
      </c>
      <c r="KO20" s="182" t="s">
        <v>5</v>
      </c>
      <c r="KP20" s="322">
        <f t="shared" si="63"/>
        <v>-3.1772835945010911</v>
      </c>
      <c r="KR20" s="329" t="s">
        <v>135</v>
      </c>
      <c r="KS20" s="159" t="s">
        <v>10</v>
      </c>
      <c r="KT20" s="170" t="s">
        <v>9</v>
      </c>
      <c r="KU20" s="221" t="s">
        <v>20</v>
      </c>
      <c r="KV20" s="166" t="s">
        <v>4</v>
      </c>
      <c r="KW20" s="204" t="s">
        <v>193</v>
      </c>
      <c r="KX20" s="240" t="s">
        <v>6</v>
      </c>
      <c r="KY20" s="240" t="s">
        <v>15</v>
      </c>
      <c r="KZ20" s="240" t="s">
        <v>6</v>
      </c>
      <c r="LA20" s="158" t="s">
        <v>15</v>
      </c>
      <c r="LB20" s="166" t="s">
        <v>9</v>
      </c>
      <c r="LC20" s="159" t="s">
        <v>185</v>
      </c>
      <c r="LD20" s="159" t="s">
        <v>6</v>
      </c>
      <c r="LE20" s="159" t="s">
        <v>8</v>
      </c>
      <c r="LF20" s="166" t="s">
        <v>15</v>
      </c>
      <c r="LG20" s="113" t="s">
        <v>228</v>
      </c>
      <c r="LH20" s="358">
        <v>7</v>
      </c>
      <c r="LW20" s="369">
        <v>74</v>
      </c>
      <c r="LX20" s="317" t="s">
        <v>135</v>
      </c>
      <c r="LY20" s="381" t="s">
        <v>147</v>
      </c>
      <c r="LZ20" s="306">
        <f t="shared" si="64"/>
        <v>10</v>
      </c>
      <c r="MA20" s="306">
        <f t="shared" si="65"/>
        <v>10</v>
      </c>
      <c r="MB20" s="306">
        <f t="shared" si="66"/>
        <v>16</v>
      </c>
      <c r="MC20" s="306">
        <f t="shared" si="67"/>
        <v>28</v>
      </c>
      <c r="MD20" s="306">
        <f t="shared" si="68"/>
        <v>13</v>
      </c>
      <c r="ME20" s="306">
        <f t="shared" si="69"/>
        <v>21</v>
      </c>
      <c r="MF20" s="306">
        <f t="shared" si="70"/>
        <v>11</v>
      </c>
      <c r="MG20" s="306">
        <f t="shared" si="71"/>
        <v>23</v>
      </c>
      <c r="MH20" s="306">
        <f t="shared" si="72"/>
        <v>12</v>
      </c>
      <c r="MI20" s="306">
        <f t="shared" si="73"/>
        <v>12</v>
      </c>
      <c r="MJ20" s="306">
        <f t="shared" si="74"/>
        <v>9</v>
      </c>
      <c r="MK20" s="306">
        <f t="shared" si="75"/>
        <v>21</v>
      </c>
      <c r="ML20" s="306">
        <f t="shared" si="76"/>
        <v>1</v>
      </c>
      <c r="MM20" s="306">
        <f t="shared" si="77"/>
        <v>18</v>
      </c>
      <c r="MN20" s="306">
        <f t="shared" si="78"/>
        <v>18</v>
      </c>
      <c r="MO20" s="306">
        <f t="shared" si="79"/>
        <v>11</v>
      </c>
      <c r="MP20" s="306">
        <f t="shared" si="80"/>
        <v>4</v>
      </c>
      <c r="MQ20" s="306">
        <f t="shared" si="81"/>
        <v>9</v>
      </c>
      <c r="MR20" s="306">
        <f t="shared" si="82"/>
        <v>8</v>
      </c>
      <c r="MS20" s="306">
        <f t="shared" si="83"/>
        <v>4</v>
      </c>
      <c r="MT20" s="306">
        <f t="shared" si="84"/>
        <v>3</v>
      </c>
      <c r="MU20" s="306">
        <f t="shared" si="85"/>
        <v>28</v>
      </c>
      <c r="MV20" s="306">
        <f t="shared" si="86"/>
        <v>23</v>
      </c>
      <c r="MY20" s="306">
        <f t="shared" si="87"/>
        <v>25</v>
      </c>
      <c r="MZ20" s="306">
        <f t="shared" si="88"/>
        <v>29</v>
      </c>
      <c r="NA20" s="306">
        <f t="shared" si="89"/>
        <v>28</v>
      </c>
      <c r="NB20" s="306">
        <f t="shared" si="90"/>
        <v>17</v>
      </c>
      <c r="NC20" s="306">
        <f t="shared" si="91"/>
        <v>16</v>
      </c>
      <c r="ND20" s="306">
        <f t="shared" si="92"/>
        <v>28</v>
      </c>
      <c r="NE20" s="306">
        <f t="shared" si="93"/>
        <v>29</v>
      </c>
      <c r="NF20" s="306">
        <f t="shared" si="94"/>
        <v>29</v>
      </c>
      <c r="NG20" s="306">
        <f t="shared" si="95"/>
        <v>13</v>
      </c>
      <c r="NH20" s="306">
        <f t="shared" si="96"/>
        <v>26</v>
      </c>
      <c r="NI20" s="306">
        <f t="shared" si="97"/>
        <v>14</v>
      </c>
      <c r="NJ20" s="306">
        <f t="shared" si="98"/>
        <v>13</v>
      </c>
      <c r="NK20" s="306">
        <f t="shared" si="99"/>
        <v>11</v>
      </c>
      <c r="NL20" s="306">
        <f t="shared" si="100"/>
        <v>26</v>
      </c>
      <c r="NM20" s="306">
        <f t="shared" si="57"/>
        <v>15</v>
      </c>
      <c r="NN20" s="306">
        <f t="shared" si="101"/>
        <v>0</v>
      </c>
      <c r="NO20" s="306">
        <f t="shared" si="102"/>
        <v>0</v>
      </c>
      <c r="NU20" s="381" t="s">
        <v>147</v>
      </c>
      <c r="NV20" s="357"/>
      <c r="NX20" s="230" t="s">
        <v>6</v>
      </c>
      <c r="NY20" s="230" t="s">
        <v>8</v>
      </c>
      <c r="NZ20" s="230" t="s">
        <v>3</v>
      </c>
      <c r="OA20" s="246" t="s">
        <v>20</v>
      </c>
      <c r="OB20" s="149" t="s">
        <v>43</v>
      </c>
      <c r="OC20" s="163" t="s">
        <v>8</v>
      </c>
      <c r="OD20" s="163" t="s">
        <v>10</v>
      </c>
      <c r="OE20" s="163" t="s">
        <v>8</v>
      </c>
      <c r="OF20" s="371" t="s">
        <v>184</v>
      </c>
      <c r="OG20" s="129" t="s">
        <v>43</v>
      </c>
      <c r="OH20" s="246" t="s">
        <v>10</v>
      </c>
      <c r="OI20" s="246" t="s">
        <v>20</v>
      </c>
      <c r="OJ20" s="246" t="s">
        <v>7</v>
      </c>
      <c r="OK20" s="246" t="s">
        <v>185</v>
      </c>
      <c r="OL20" s="246" t="s">
        <v>4</v>
      </c>
      <c r="OM20" s="372" t="s">
        <v>191</v>
      </c>
      <c r="ON20" s="246" t="s">
        <v>3</v>
      </c>
      <c r="OO20" s="246" t="s">
        <v>43</v>
      </c>
      <c r="OP20" s="246" t="s">
        <v>5</v>
      </c>
      <c r="OQ20" s="246" t="s">
        <v>15</v>
      </c>
      <c r="OR20" s="246" t="s">
        <v>15</v>
      </c>
      <c r="OS20" s="246" t="s">
        <v>6</v>
      </c>
      <c r="OT20" s="246" t="s">
        <v>5</v>
      </c>
      <c r="OV20" s="370" t="s">
        <v>135</v>
      </c>
      <c r="OW20" s="246" t="s">
        <v>10</v>
      </c>
      <c r="OX20" s="246" t="s">
        <v>9</v>
      </c>
      <c r="OY20" s="159" t="s">
        <v>20</v>
      </c>
      <c r="OZ20" s="159" t="s">
        <v>4</v>
      </c>
      <c r="PA20" s="225" t="s">
        <v>193</v>
      </c>
      <c r="PB20" s="246" t="s">
        <v>6</v>
      </c>
      <c r="PC20" s="246" t="s">
        <v>15</v>
      </c>
      <c r="PD20" s="246" t="s">
        <v>6</v>
      </c>
      <c r="PE20" s="246" t="s">
        <v>15</v>
      </c>
      <c r="PF20" s="246" t="s">
        <v>9</v>
      </c>
      <c r="PG20" s="246" t="s">
        <v>185</v>
      </c>
      <c r="PH20" s="246" t="s">
        <v>6</v>
      </c>
      <c r="PI20" s="246" t="s">
        <v>8</v>
      </c>
      <c r="PJ20" s="246" t="s">
        <v>15</v>
      </c>
      <c r="PK20" s="373" t="s">
        <v>228</v>
      </c>
      <c r="PM20"/>
      <c r="PN20"/>
      <c r="PO20"/>
      <c r="PP20"/>
      <c r="PQ20"/>
      <c r="PR20"/>
      <c r="PS20"/>
      <c r="PT20"/>
      <c r="QN20" s="357"/>
      <c r="QO20" s="45" t="s">
        <v>92</v>
      </c>
      <c r="QP20" s="204" t="s">
        <v>195</v>
      </c>
      <c r="QQ20" s="166" t="s">
        <v>20</v>
      </c>
      <c r="QR20" s="166" t="s">
        <v>14</v>
      </c>
      <c r="QS20" s="318" t="s">
        <v>43</v>
      </c>
      <c r="QT20" s="159" t="s">
        <v>7</v>
      </c>
      <c r="QU20" s="182" t="s">
        <v>185</v>
      </c>
      <c r="QV20" s="230" t="s">
        <v>22</v>
      </c>
      <c r="QW20" s="131" t="s">
        <v>22</v>
      </c>
      <c r="QX20" s="216" t="s">
        <v>198</v>
      </c>
      <c r="QY20" s="246" t="s">
        <v>8</v>
      </c>
      <c r="QZ20" s="166" t="s">
        <v>11</v>
      </c>
      <c r="RA20" s="221" t="s">
        <v>2</v>
      </c>
      <c r="RB20" s="239" t="s">
        <v>210</v>
      </c>
      <c r="RC20" s="182" t="s">
        <v>8</v>
      </c>
      <c r="RD20" s="199" t="s">
        <v>2</v>
      </c>
      <c r="RE20" s="131" t="s">
        <v>2</v>
      </c>
      <c r="RF20" s="159" t="s">
        <v>7</v>
      </c>
      <c r="RG20" s="159" t="s">
        <v>8</v>
      </c>
      <c r="RH20" s="246" t="s">
        <v>43</v>
      </c>
      <c r="RI20" s="246" t="s">
        <v>43</v>
      </c>
      <c r="RJ20" s="125" t="s">
        <v>11</v>
      </c>
      <c r="RK20" s="182" t="s">
        <v>2</v>
      </c>
      <c r="RL20" s="131" t="s">
        <v>12</v>
      </c>
      <c r="RM20" s="140" t="s">
        <v>203</v>
      </c>
      <c r="RN20" s="339" t="s">
        <v>212</v>
      </c>
      <c r="RO20" s="124" t="s">
        <v>201</v>
      </c>
      <c r="RP20" s="246" t="s">
        <v>43</v>
      </c>
      <c r="RQ20" s="263" t="s">
        <v>20</v>
      </c>
      <c r="RR20" s="246" t="s">
        <v>43</v>
      </c>
      <c r="RS20" s="159" t="s">
        <v>10</v>
      </c>
      <c r="RT20" s="235" t="s">
        <v>21</v>
      </c>
      <c r="RU20" s="246" t="s">
        <v>43</v>
      </c>
      <c r="RV20" s="182" t="s">
        <v>7</v>
      </c>
      <c r="RW20" s="182" t="s">
        <v>7</v>
      </c>
      <c r="RX20" s="225" t="s">
        <v>255</v>
      </c>
      <c r="RY20" s="246" t="s">
        <v>43</v>
      </c>
      <c r="RZ20" s="182" t="s">
        <v>20</v>
      </c>
      <c r="SA20" s="190" t="s">
        <v>211</v>
      </c>
      <c r="SB20" s="246" t="s">
        <v>43</v>
      </c>
      <c r="SC20" s="254" t="s">
        <v>205</v>
      </c>
      <c r="SD20" s="166" t="s">
        <v>15</v>
      </c>
      <c r="SE20" s="159" t="s">
        <v>14</v>
      </c>
      <c r="SF20" s="318" t="s">
        <v>43</v>
      </c>
      <c r="SG20" s="246" t="s">
        <v>43</v>
      </c>
      <c r="SH20" s="254" t="s">
        <v>15</v>
      </c>
      <c r="SI20" s="131" t="s">
        <v>5</v>
      </c>
      <c r="SJ20" s="159" t="s">
        <v>277</v>
      </c>
      <c r="SK20" s="322">
        <f t="shared" si="103"/>
        <v>85.959212606499193</v>
      </c>
      <c r="SM20" s="362">
        <v>7</v>
      </c>
      <c r="SO20"/>
      <c r="SP20"/>
      <c r="TP20" s="357"/>
      <c r="TQ20" s="45" t="s">
        <v>92</v>
      </c>
      <c r="TR20" s="306">
        <f t="shared" si="104"/>
        <v>31</v>
      </c>
      <c r="TS20" s="306">
        <f t="shared" si="105"/>
        <v>23</v>
      </c>
      <c r="TT20" s="306">
        <f t="shared" si="106"/>
        <v>20</v>
      </c>
      <c r="TU20" s="306">
        <f t="shared" si="107"/>
        <v>18</v>
      </c>
      <c r="TV20" s="306">
        <f t="shared" si="108"/>
        <v>6</v>
      </c>
      <c r="TW20" s="306">
        <f t="shared" si="109"/>
        <v>24</v>
      </c>
      <c r="TX20" s="306">
        <f t="shared" si="110"/>
        <v>5</v>
      </c>
      <c r="TY20" s="306">
        <f t="shared" si="111"/>
        <v>33</v>
      </c>
      <c r="TZ20" s="306">
        <f t="shared" si="112"/>
        <v>33</v>
      </c>
      <c r="UA20" s="306">
        <f t="shared" si="113"/>
        <v>24</v>
      </c>
      <c r="UB20" s="306">
        <f t="shared" si="114"/>
        <v>19</v>
      </c>
      <c r="UC20" s="306">
        <f t="shared" si="115"/>
        <v>23</v>
      </c>
      <c r="UD20" s="306">
        <f t="shared" si="116"/>
        <v>9</v>
      </c>
      <c r="UE20" s="306">
        <f t="shared" si="117"/>
        <v>26</v>
      </c>
      <c r="UF20" s="306">
        <f t="shared" si="118"/>
        <v>24</v>
      </c>
      <c r="UG20" s="306">
        <f t="shared" si="119"/>
        <v>13</v>
      </c>
      <c r="UH20" s="306">
        <f t="shared" si="120"/>
        <v>28</v>
      </c>
      <c r="UI20" s="306">
        <f t="shared" si="121"/>
        <v>32</v>
      </c>
      <c r="UJ20" s="306">
        <f t="shared" si="122"/>
        <v>26</v>
      </c>
      <c r="UK20" s="306">
        <f t="shared" si="123"/>
        <v>31</v>
      </c>
      <c r="UL20" s="306">
        <f t="shared" si="124"/>
        <v>26</v>
      </c>
      <c r="UM20" s="306">
        <f t="shared" si="125"/>
        <v>28</v>
      </c>
      <c r="UN20" s="306">
        <f t="shared" si="126"/>
        <v>10</v>
      </c>
      <c r="UO20" s="306">
        <f t="shared" si="127"/>
        <v>13</v>
      </c>
      <c r="UP20" s="306">
        <f t="shared" si="128"/>
        <v>12</v>
      </c>
      <c r="UQ20" s="306">
        <f t="shared" si="129"/>
        <v>30</v>
      </c>
      <c r="UR20" s="306">
        <f t="shared" si="130"/>
        <v>13</v>
      </c>
      <c r="US20" s="306">
        <f t="shared" si="131"/>
        <v>3</v>
      </c>
      <c r="UT20" s="306">
        <f t="shared" si="132"/>
        <v>30</v>
      </c>
      <c r="UU20" s="306">
        <f t="shared" si="133"/>
        <v>22</v>
      </c>
      <c r="UV20" s="306">
        <f t="shared" si="134"/>
        <v>31</v>
      </c>
      <c r="UW20" s="306">
        <f t="shared" si="135"/>
        <v>33</v>
      </c>
      <c r="UX20" s="306">
        <f t="shared" si="136"/>
        <v>32</v>
      </c>
      <c r="UY20" s="306">
        <f t="shared" si="137"/>
        <v>17</v>
      </c>
      <c r="UZ20" s="306">
        <f t="shared" si="138"/>
        <v>5</v>
      </c>
      <c r="VA20" s="306">
        <f t="shared" si="139"/>
        <v>5</v>
      </c>
      <c r="VB20" s="306">
        <f t="shared" si="140"/>
        <v>8</v>
      </c>
      <c r="VC20" s="306">
        <f t="shared" si="141"/>
        <v>13</v>
      </c>
      <c r="VD20" s="306">
        <f t="shared" si="142"/>
        <v>13</v>
      </c>
      <c r="VE20" s="306">
        <f t="shared" si="143"/>
        <v>10</v>
      </c>
      <c r="VF20" s="306">
        <f t="shared" si="144"/>
        <v>19</v>
      </c>
      <c r="VG20" s="306">
        <f t="shared" si="145"/>
        <v>23</v>
      </c>
      <c r="VH20" s="306">
        <f t="shared" si="146"/>
        <v>7</v>
      </c>
      <c r="VI20" s="306">
        <f t="shared" si="147"/>
        <v>28</v>
      </c>
      <c r="VJ20" s="306">
        <f t="shared" si="148"/>
        <v>30</v>
      </c>
      <c r="VK20" s="306">
        <f t="shared" si="149"/>
        <v>32</v>
      </c>
      <c r="VL20" s="306">
        <f t="shared" si="150"/>
        <v>5</v>
      </c>
      <c r="VN20" s="306">
        <f t="shared" si="151"/>
        <v>0</v>
      </c>
      <c r="WR20" s="357"/>
      <c r="WS20" s="45" t="s">
        <v>92</v>
      </c>
      <c r="WT20" s="225" t="s">
        <v>195</v>
      </c>
      <c r="WU20" s="246" t="s">
        <v>20</v>
      </c>
      <c r="WV20" s="246" t="s">
        <v>14</v>
      </c>
      <c r="WW20" s="318" t="s">
        <v>43</v>
      </c>
      <c r="WX20" s="246" t="s">
        <v>7</v>
      </c>
      <c r="WY20" s="246" t="s">
        <v>185</v>
      </c>
      <c r="WZ20" s="246" t="s">
        <v>22</v>
      </c>
      <c r="XA20" s="246" t="s">
        <v>22</v>
      </c>
      <c r="XB20" s="225" t="s">
        <v>198</v>
      </c>
      <c r="XC20" s="240" t="s">
        <v>8</v>
      </c>
      <c r="XD20" s="240" t="s">
        <v>11</v>
      </c>
      <c r="XE20" s="240" t="s">
        <v>2</v>
      </c>
      <c r="XF20" s="225" t="s">
        <v>210</v>
      </c>
      <c r="XG20" s="163" t="s">
        <v>8</v>
      </c>
      <c r="XH20" s="163" t="s">
        <v>2</v>
      </c>
      <c r="XI20" s="166" t="s">
        <v>2</v>
      </c>
      <c r="XJ20" s="166" t="s">
        <v>7</v>
      </c>
      <c r="XK20" s="166" t="s">
        <v>8</v>
      </c>
      <c r="XL20" s="246" t="s">
        <v>43</v>
      </c>
      <c r="XM20" s="246" t="s">
        <v>43</v>
      </c>
      <c r="XN20" s="159" t="s">
        <v>11</v>
      </c>
      <c r="XO20" s="159" t="s">
        <v>2</v>
      </c>
      <c r="XP20" s="246" t="s">
        <v>12</v>
      </c>
      <c r="XQ20" s="242" t="s">
        <v>203</v>
      </c>
      <c r="XR20" s="339" t="s">
        <v>212</v>
      </c>
      <c r="XS20" s="225" t="s">
        <v>201</v>
      </c>
      <c r="XT20" s="246" t="s">
        <v>43</v>
      </c>
      <c r="XU20" s="246" t="s">
        <v>20</v>
      </c>
      <c r="XV20" s="246" t="s">
        <v>43</v>
      </c>
      <c r="XW20" s="159" t="s">
        <v>10</v>
      </c>
      <c r="XX20" s="225" t="s">
        <v>21</v>
      </c>
      <c r="XY20" s="246" t="s">
        <v>43</v>
      </c>
      <c r="XZ20" s="166" t="s">
        <v>7</v>
      </c>
      <c r="YA20" s="166" t="s">
        <v>7</v>
      </c>
      <c r="YB20" s="225" t="s">
        <v>255</v>
      </c>
      <c r="YC20" s="246" t="s">
        <v>43</v>
      </c>
      <c r="YD20" s="246" t="s">
        <v>20</v>
      </c>
      <c r="YE20" s="225" t="s">
        <v>211</v>
      </c>
      <c r="YF20" s="246" t="s">
        <v>43</v>
      </c>
      <c r="YG20" s="246" t="s">
        <v>205</v>
      </c>
      <c r="YH20" s="246" t="s">
        <v>15</v>
      </c>
      <c r="YI20" s="246" t="s">
        <v>14</v>
      </c>
      <c r="YJ20" s="318" t="s">
        <v>43</v>
      </c>
      <c r="YK20" s="246" t="s">
        <v>43</v>
      </c>
      <c r="YL20" s="246" t="s">
        <v>15</v>
      </c>
      <c r="YM20" s="246" t="s">
        <v>5</v>
      </c>
      <c r="YN20" s="246" t="s">
        <v>277</v>
      </c>
      <c r="AFZ20" s="307"/>
    </row>
    <row r="21" spans="1:858" s="306" customFormat="1" ht="20.65" x14ac:dyDescent="0.65">
      <c r="A21" s="70">
        <v>12</v>
      </c>
      <c r="B21" s="305"/>
      <c r="C21" s="45" t="s">
        <v>95</v>
      </c>
      <c r="D21" s="45" t="s">
        <v>96</v>
      </c>
      <c r="E21" s="305"/>
      <c r="F21" s="128">
        <v>3264.4236423314196</v>
      </c>
      <c r="X21" s="355"/>
      <c r="AA21" s="120" t="s">
        <v>51</v>
      </c>
      <c r="AB21" s="305" t="s">
        <v>28</v>
      </c>
      <c r="AC21" s="183" t="s">
        <v>1</v>
      </c>
      <c r="AD21" s="210" t="s">
        <v>8</v>
      </c>
      <c r="AE21" s="132" t="s">
        <v>3</v>
      </c>
      <c r="AF21" s="203" t="s">
        <v>4</v>
      </c>
      <c r="AG21" s="258" t="s">
        <v>5</v>
      </c>
      <c r="AH21" s="318" t="s">
        <v>43</v>
      </c>
      <c r="AI21" s="253" t="s">
        <v>2</v>
      </c>
      <c r="AJ21" s="253" t="s">
        <v>2</v>
      </c>
      <c r="AK21" s="147" t="s">
        <v>10</v>
      </c>
      <c r="AL21" s="157" t="s">
        <v>2</v>
      </c>
      <c r="AM21" s="217" t="s">
        <v>24</v>
      </c>
      <c r="AN21" s="336" t="s">
        <v>246</v>
      </c>
      <c r="AO21" s="183" t="s">
        <v>3</v>
      </c>
      <c r="AP21" s="224" t="s">
        <v>247</v>
      </c>
      <c r="AQ21" s="232" t="s">
        <v>27</v>
      </c>
      <c r="AR21" s="174" t="s">
        <v>248</v>
      </c>
      <c r="AS21" s="229" t="s">
        <v>43</v>
      </c>
      <c r="AT21" s="196" t="s">
        <v>11</v>
      </c>
      <c r="AU21" s="238" t="s">
        <v>11</v>
      </c>
      <c r="AV21" s="238" t="s">
        <v>12</v>
      </c>
      <c r="AW21" s="318" t="s">
        <v>43</v>
      </c>
      <c r="AX21" s="318" t="s">
        <v>43</v>
      </c>
      <c r="AY21" s="174" t="s">
        <v>249</v>
      </c>
      <c r="AZ21" s="229" t="s">
        <v>43</v>
      </c>
      <c r="BA21" s="229" t="s">
        <v>43</v>
      </c>
      <c r="BB21" s="183" t="s">
        <v>7</v>
      </c>
      <c r="BC21" s="168" t="s">
        <v>21</v>
      </c>
      <c r="BD21" s="224" t="s">
        <v>244</v>
      </c>
      <c r="BE21" s="318" t="s">
        <v>43</v>
      </c>
      <c r="BF21" s="318" t="s">
        <v>43</v>
      </c>
      <c r="BG21" s="253" t="s">
        <v>7</v>
      </c>
      <c r="BH21" s="318" t="s">
        <v>43</v>
      </c>
      <c r="BI21" s="183" t="s">
        <v>14</v>
      </c>
      <c r="BJ21" s="183" t="s">
        <v>5</v>
      </c>
      <c r="BK21" s="183" t="s">
        <v>11</v>
      </c>
      <c r="BL21" s="318" t="s">
        <v>43</v>
      </c>
      <c r="BM21" s="192" t="s">
        <v>5</v>
      </c>
      <c r="BN21" s="192" t="s">
        <v>12</v>
      </c>
      <c r="BO21" s="309"/>
      <c r="BP21" s="319">
        <f t="shared" si="59"/>
        <v>22322.855093608305</v>
      </c>
      <c r="BQ21" s="320" t="s">
        <v>58</v>
      </c>
      <c r="BR21" s="193" t="s">
        <v>8</v>
      </c>
      <c r="BS21" s="268" t="s">
        <v>15</v>
      </c>
      <c r="BT21" s="269" t="s">
        <v>20</v>
      </c>
      <c r="BU21" s="227" t="s">
        <v>43</v>
      </c>
      <c r="BV21" s="196" t="s">
        <v>20</v>
      </c>
      <c r="BW21" s="161" t="s">
        <v>46</v>
      </c>
      <c r="BX21" s="212" t="s">
        <v>47</v>
      </c>
      <c r="BY21" s="241" t="s">
        <v>48</v>
      </c>
      <c r="BZ21" s="177" t="s">
        <v>8</v>
      </c>
      <c r="CA21" s="227" t="s">
        <v>43</v>
      </c>
      <c r="CB21" s="227" t="s">
        <v>43</v>
      </c>
      <c r="CC21" s="193" t="s">
        <v>6</v>
      </c>
      <c r="CD21" s="143" t="s">
        <v>45</v>
      </c>
      <c r="CE21" s="193" t="s">
        <v>6</v>
      </c>
      <c r="CF21" s="208" t="s">
        <v>22</v>
      </c>
      <c r="CG21" s="193" t="s">
        <v>10</v>
      </c>
      <c r="CH21" s="193" t="s">
        <v>20</v>
      </c>
      <c r="CI21" s="193" t="s">
        <v>10</v>
      </c>
      <c r="CJ21" s="70">
        <v>46</v>
      </c>
      <c r="DG21" s="357"/>
      <c r="DI21" s="120" t="s">
        <v>51</v>
      </c>
      <c r="DJ21" s="305" t="s">
        <v>28</v>
      </c>
      <c r="DK21" s="363">
        <f t="shared" si="0"/>
        <v>7</v>
      </c>
      <c r="DL21" s="363">
        <f t="shared" si="1"/>
        <v>2</v>
      </c>
      <c r="DM21" s="363">
        <f t="shared" si="2"/>
        <v>7</v>
      </c>
      <c r="DN21" s="363">
        <f t="shared" si="3"/>
        <v>5</v>
      </c>
      <c r="DO21" s="363">
        <f t="shared" si="4"/>
        <v>7</v>
      </c>
      <c r="DP21" s="363">
        <f t="shared" si="5"/>
        <v>2</v>
      </c>
      <c r="DQ21" s="363">
        <f t="shared" si="6"/>
        <v>3</v>
      </c>
      <c r="DR21" s="363">
        <f t="shared" si="7"/>
        <v>7</v>
      </c>
      <c r="DS21" s="363">
        <f t="shared" si="8"/>
        <v>5</v>
      </c>
      <c r="DT21" s="363">
        <f t="shared" si="9"/>
        <v>5</v>
      </c>
      <c r="DU21" s="363">
        <f t="shared" si="10"/>
        <v>7</v>
      </c>
      <c r="DV21" s="363">
        <f t="shared" si="11"/>
        <v>7</v>
      </c>
      <c r="DW21" s="363">
        <f t="shared" si="12"/>
        <v>7</v>
      </c>
      <c r="DX21" s="363">
        <f t="shared" si="13"/>
        <v>0</v>
      </c>
      <c r="DY21" s="363">
        <f t="shared" si="14"/>
        <v>7</v>
      </c>
      <c r="DZ21" s="363">
        <f t="shared" si="15"/>
        <v>0</v>
      </c>
      <c r="EA21" s="363">
        <f t="shared" si="16"/>
        <v>0</v>
      </c>
      <c r="EB21" s="363">
        <f t="shared" si="17"/>
        <v>3</v>
      </c>
      <c r="EC21" s="363">
        <f t="shared" si="18"/>
        <v>0</v>
      </c>
      <c r="ED21" s="363">
        <f t="shared" si="19"/>
        <v>0</v>
      </c>
      <c r="EE21" s="363">
        <f t="shared" si="20"/>
        <v>0</v>
      </c>
      <c r="EF21" s="363">
        <f t="shared" si="21"/>
        <v>5</v>
      </c>
      <c r="EG21" s="363">
        <f t="shared" si="22"/>
        <v>2</v>
      </c>
      <c r="EH21" s="363">
        <f t="shared" si="23"/>
        <v>2</v>
      </c>
      <c r="EI21" s="363">
        <f t="shared" si="24"/>
        <v>2</v>
      </c>
      <c r="EJ21" s="363">
        <f t="shared" si="25"/>
        <v>2</v>
      </c>
      <c r="EK21" s="363">
        <f t="shared" si="26"/>
        <v>5</v>
      </c>
      <c r="EL21" s="363">
        <f t="shared" si="27"/>
        <v>0</v>
      </c>
      <c r="EM21" s="363">
        <f t="shared" si="28"/>
        <v>0</v>
      </c>
      <c r="EN21" s="363">
        <f t="shared" si="29"/>
        <v>3</v>
      </c>
      <c r="EO21" s="363">
        <f t="shared" si="30"/>
        <v>5</v>
      </c>
      <c r="EP21" s="363">
        <f t="shared" si="31"/>
        <v>2</v>
      </c>
      <c r="EQ21" s="363">
        <f t="shared" si="32"/>
        <v>6</v>
      </c>
      <c r="ER21" s="363">
        <f t="shared" si="33"/>
        <v>5</v>
      </c>
      <c r="ES21" s="363">
        <f t="shared" si="34"/>
        <v>7</v>
      </c>
      <c r="ET21" s="363">
        <f t="shared" si="35"/>
        <v>0</v>
      </c>
      <c r="EU21" s="363">
        <f t="shared" si="36"/>
        <v>7</v>
      </c>
      <c r="EV21" s="363">
        <f t="shared" si="37"/>
        <v>0</v>
      </c>
      <c r="EW21" s="364" t="s">
        <v>58</v>
      </c>
      <c r="EX21" s="363">
        <f t="shared" si="38"/>
        <v>1</v>
      </c>
      <c r="EY21" s="363">
        <f t="shared" si="39"/>
        <v>7</v>
      </c>
      <c r="EZ21" s="363">
        <f t="shared" si="40"/>
        <v>2</v>
      </c>
      <c r="FA21" s="363">
        <f t="shared" si="41"/>
        <v>7</v>
      </c>
      <c r="FB21" s="363">
        <f t="shared" si="42"/>
        <v>7</v>
      </c>
      <c r="FC21" s="363">
        <f t="shared" si="43"/>
        <v>0</v>
      </c>
      <c r="FD21" s="363">
        <f t="shared" si="44"/>
        <v>0</v>
      </c>
      <c r="FE21" s="363">
        <f t="shared" si="45"/>
        <v>0</v>
      </c>
      <c r="FF21" s="363">
        <f t="shared" si="46"/>
        <v>7</v>
      </c>
      <c r="FG21" s="363">
        <f t="shared" si="47"/>
        <v>7</v>
      </c>
      <c r="FH21" s="363">
        <f t="shared" si="48"/>
        <v>0</v>
      </c>
      <c r="FI21" s="363">
        <f t="shared" si="49"/>
        <v>0</v>
      </c>
      <c r="FJ21" s="363">
        <f t="shared" si="50"/>
        <v>7</v>
      </c>
      <c r="FK21" s="363">
        <f t="shared" si="51"/>
        <v>0</v>
      </c>
      <c r="FL21" s="363">
        <f t="shared" si="52"/>
        <v>1</v>
      </c>
      <c r="FM21" s="363">
        <f t="shared" si="53"/>
        <v>7</v>
      </c>
      <c r="FN21" s="363">
        <f t="shared" si="54"/>
        <v>0</v>
      </c>
      <c r="FO21" s="363">
        <f t="shared" si="55"/>
        <v>7</v>
      </c>
      <c r="FP21" s="363">
        <f t="shared" si="60"/>
        <v>10</v>
      </c>
      <c r="FQ21" s="363">
        <f t="shared" si="61"/>
        <v>7</v>
      </c>
      <c r="FR21" s="309">
        <f t="shared" si="62"/>
        <v>17</v>
      </c>
      <c r="GM21" s="357"/>
      <c r="GO21" s="120" t="s">
        <v>51</v>
      </c>
      <c r="GP21" s="305" t="s">
        <v>28</v>
      </c>
      <c r="GQ21" s="244" t="s">
        <v>1</v>
      </c>
      <c r="GR21" s="244" t="s">
        <v>8</v>
      </c>
      <c r="GS21" s="244" t="s">
        <v>3</v>
      </c>
      <c r="GT21" s="244" t="s">
        <v>4</v>
      </c>
      <c r="GU21" s="244" t="s">
        <v>5</v>
      </c>
      <c r="GV21" s="318" t="s">
        <v>43</v>
      </c>
      <c r="GW21" s="244" t="s">
        <v>2</v>
      </c>
      <c r="GX21" s="244" t="s">
        <v>2</v>
      </c>
      <c r="GY21" s="244" t="s">
        <v>10</v>
      </c>
      <c r="GZ21" s="223" t="s">
        <v>2</v>
      </c>
      <c r="HA21" s="366" t="s">
        <v>24</v>
      </c>
      <c r="HB21" s="380" t="s">
        <v>323</v>
      </c>
      <c r="HC21" s="244" t="s">
        <v>3</v>
      </c>
      <c r="HD21" s="366" t="s">
        <v>324</v>
      </c>
      <c r="HE21" s="366" t="s">
        <v>27</v>
      </c>
      <c r="HF21" s="366" t="s">
        <v>325</v>
      </c>
      <c r="HG21" s="244" t="s">
        <v>43</v>
      </c>
      <c r="HH21" s="244" t="s">
        <v>11</v>
      </c>
      <c r="HI21" s="244" t="s">
        <v>11</v>
      </c>
      <c r="HJ21" s="244" t="s">
        <v>12</v>
      </c>
      <c r="HK21" s="318" t="s">
        <v>43</v>
      </c>
      <c r="HL21" s="318" t="s">
        <v>43</v>
      </c>
      <c r="HM21" s="366" t="s">
        <v>326</v>
      </c>
      <c r="HN21" s="244" t="s">
        <v>43</v>
      </c>
      <c r="HO21" s="244" t="s">
        <v>43</v>
      </c>
      <c r="HP21" s="244" t="s">
        <v>7</v>
      </c>
      <c r="HQ21" s="366" t="s">
        <v>21</v>
      </c>
      <c r="HR21" s="366" t="s">
        <v>318</v>
      </c>
      <c r="HS21" s="318" t="s">
        <v>43</v>
      </c>
      <c r="HT21" s="318" t="s">
        <v>43</v>
      </c>
      <c r="HU21" s="244" t="s">
        <v>7</v>
      </c>
      <c r="HV21" s="318" t="s">
        <v>43</v>
      </c>
      <c r="HW21" s="244" t="s">
        <v>14</v>
      </c>
      <c r="HX21" s="244" t="s">
        <v>5</v>
      </c>
      <c r="HY21" s="244" t="s">
        <v>11</v>
      </c>
      <c r="HZ21" s="318" t="s">
        <v>43</v>
      </c>
      <c r="IA21" s="244" t="s">
        <v>5</v>
      </c>
      <c r="IB21" s="244" t="s">
        <v>12</v>
      </c>
      <c r="IC21" s="364" t="s">
        <v>58</v>
      </c>
      <c r="ID21" s="173" t="s">
        <v>8</v>
      </c>
      <c r="IE21" s="173" t="s">
        <v>15</v>
      </c>
      <c r="IF21" s="173" t="s">
        <v>20</v>
      </c>
      <c r="IG21" s="173" t="s">
        <v>43</v>
      </c>
      <c r="IH21" s="244" t="s">
        <v>20</v>
      </c>
      <c r="II21" s="173" t="s">
        <v>46</v>
      </c>
      <c r="IJ21" s="367" t="s">
        <v>47</v>
      </c>
      <c r="IK21" s="368" t="s">
        <v>48</v>
      </c>
      <c r="IL21" s="173" t="s">
        <v>8</v>
      </c>
      <c r="IM21" s="173" t="s">
        <v>43</v>
      </c>
      <c r="IN21" s="173" t="s">
        <v>43</v>
      </c>
      <c r="IO21" s="173" t="s">
        <v>6</v>
      </c>
      <c r="IP21" s="173" t="s">
        <v>45</v>
      </c>
      <c r="IQ21" s="173" t="s">
        <v>6</v>
      </c>
      <c r="IR21" s="173" t="s">
        <v>22</v>
      </c>
      <c r="IS21" s="173" t="s">
        <v>10</v>
      </c>
      <c r="IT21" s="173" t="s">
        <v>20</v>
      </c>
      <c r="IU21" s="173" t="s">
        <v>10</v>
      </c>
      <c r="JN21" s="357"/>
      <c r="JO21" s="369">
        <v>75</v>
      </c>
      <c r="JP21" s="305" t="s">
        <v>135</v>
      </c>
      <c r="JQ21" s="330" t="s">
        <v>149</v>
      </c>
      <c r="JR21" s="67" t="s">
        <v>148</v>
      </c>
      <c r="JS21" s="254" t="s">
        <v>6</v>
      </c>
      <c r="JT21" s="254" t="s">
        <v>8</v>
      </c>
      <c r="JU21" s="205" t="s">
        <v>3</v>
      </c>
      <c r="JV21" s="155" t="s">
        <v>20</v>
      </c>
      <c r="JW21" s="112" t="s">
        <v>188</v>
      </c>
      <c r="JX21" s="254" t="s">
        <v>8</v>
      </c>
      <c r="JY21" s="221" t="s">
        <v>7</v>
      </c>
      <c r="JZ21" s="159" t="s">
        <v>8</v>
      </c>
      <c r="KA21" s="111" t="s">
        <v>189</v>
      </c>
      <c r="KB21" s="116" t="s">
        <v>190</v>
      </c>
      <c r="KC21" s="246" t="s">
        <v>43</v>
      </c>
      <c r="KD21" s="163" t="s">
        <v>20</v>
      </c>
      <c r="KE21" s="182" t="s">
        <v>12</v>
      </c>
      <c r="KF21" s="230" t="s">
        <v>185</v>
      </c>
      <c r="KG21" s="125" t="s">
        <v>4</v>
      </c>
      <c r="KH21" s="226" t="s">
        <v>191</v>
      </c>
      <c r="KI21" s="254" t="s">
        <v>3</v>
      </c>
      <c r="KJ21" s="246" t="s">
        <v>43</v>
      </c>
      <c r="KK21" s="254" t="s">
        <v>5</v>
      </c>
      <c r="KL21" s="159" t="s">
        <v>12</v>
      </c>
      <c r="KM21" s="110" t="s">
        <v>15</v>
      </c>
      <c r="KN21" s="125" t="s">
        <v>4</v>
      </c>
      <c r="KO21" s="182" t="s">
        <v>5</v>
      </c>
      <c r="KP21" s="322">
        <f t="shared" si="63"/>
        <v>1.7460599325122104</v>
      </c>
      <c r="KR21" s="329" t="s">
        <v>135</v>
      </c>
      <c r="KS21" s="159" t="s">
        <v>10</v>
      </c>
      <c r="KT21" s="170" t="s">
        <v>9</v>
      </c>
      <c r="KU21" s="221" t="s">
        <v>20</v>
      </c>
      <c r="KV21" s="166" t="s">
        <v>4</v>
      </c>
      <c r="KW21" s="204" t="s">
        <v>193</v>
      </c>
      <c r="KX21" s="240" t="s">
        <v>6</v>
      </c>
      <c r="KY21" s="240" t="s">
        <v>15</v>
      </c>
      <c r="KZ21" s="240" t="s">
        <v>6</v>
      </c>
      <c r="LA21" s="158" t="s">
        <v>15</v>
      </c>
      <c r="LB21" s="166" t="s">
        <v>9</v>
      </c>
      <c r="LC21" s="159" t="s">
        <v>185</v>
      </c>
      <c r="LD21" s="159" t="s">
        <v>6</v>
      </c>
      <c r="LE21" s="159" t="s">
        <v>8</v>
      </c>
      <c r="LF21" s="166" t="s">
        <v>15</v>
      </c>
      <c r="LG21" s="113" t="s">
        <v>228</v>
      </c>
      <c r="LH21" s="358">
        <v>8</v>
      </c>
      <c r="LW21" s="369">
        <v>75</v>
      </c>
      <c r="LX21" s="317" t="s">
        <v>135</v>
      </c>
      <c r="LY21" s="378" t="s">
        <v>149</v>
      </c>
      <c r="LZ21" s="306">
        <f t="shared" si="64"/>
        <v>10</v>
      </c>
      <c r="MA21" s="306">
        <f t="shared" si="65"/>
        <v>10</v>
      </c>
      <c r="MB21" s="306">
        <f t="shared" si="66"/>
        <v>16</v>
      </c>
      <c r="MC21" s="306">
        <f t="shared" si="67"/>
        <v>28</v>
      </c>
      <c r="MD21" s="306">
        <f t="shared" si="68"/>
        <v>17</v>
      </c>
      <c r="ME21" s="306">
        <f t="shared" si="69"/>
        <v>21</v>
      </c>
      <c r="MF21" s="306">
        <f t="shared" si="70"/>
        <v>19</v>
      </c>
      <c r="MG21" s="306">
        <f t="shared" si="71"/>
        <v>23</v>
      </c>
      <c r="MH21" s="306">
        <f t="shared" si="72"/>
        <v>18</v>
      </c>
      <c r="MI21" s="306">
        <f t="shared" si="73"/>
        <v>9</v>
      </c>
      <c r="MJ21" s="306">
        <f t="shared" si="74"/>
        <v>18</v>
      </c>
      <c r="MK21" s="306">
        <f t="shared" si="75"/>
        <v>21</v>
      </c>
      <c r="ML21" s="306">
        <f t="shared" si="76"/>
        <v>17</v>
      </c>
      <c r="MM21" s="306">
        <f t="shared" si="77"/>
        <v>18</v>
      </c>
      <c r="MN21" s="306">
        <f t="shared" si="78"/>
        <v>18</v>
      </c>
      <c r="MO21" s="306">
        <f t="shared" si="79"/>
        <v>11</v>
      </c>
      <c r="MP21" s="306">
        <f t="shared" si="80"/>
        <v>4</v>
      </c>
      <c r="MQ21" s="306">
        <f t="shared" si="81"/>
        <v>9</v>
      </c>
      <c r="MR21" s="306">
        <f t="shared" si="82"/>
        <v>8</v>
      </c>
      <c r="MS21" s="306">
        <f t="shared" si="83"/>
        <v>25</v>
      </c>
      <c r="MT21" s="306">
        <f t="shared" si="84"/>
        <v>3</v>
      </c>
      <c r="MU21" s="306">
        <f t="shared" si="85"/>
        <v>1</v>
      </c>
      <c r="MV21" s="306">
        <f t="shared" si="86"/>
        <v>23</v>
      </c>
      <c r="MY21" s="306">
        <f t="shared" si="87"/>
        <v>25</v>
      </c>
      <c r="MZ21" s="306">
        <f t="shared" si="88"/>
        <v>29</v>
      </c>
      <c r="NA21" s="306">
        <f t="shared" si="89"/>
        <v>28</v>
      </c>
      <c r="NB21" s="306">
        <f t="shared" si="90"/>
        <v>17</v>
      </c>
      <c r="NC21" s="306">
        <f t="shared" si="91"/>
        <v>16</v>
      </c>
      <c r="ND21" s="306">
        <f t="shared" si="92"/>
        <v>28</v>
      </c>
      <c r="NE21" s="306">
        <f t="shared" si="93"/>
        <v>29</v>
      </c>
      <c r="NF21" s="306">
        <f t="shared" si="94"/>
        <v>29</v>
      </c>
      <c r="NG21" s="306">
        <f t="shared" si="95"/>
        <v>13</v>
      </c>
      <c r="NH21" s="306">
        <f t="shared" si="96"/>
        <v>26</v>
      </c>
      <c r="NI21" s="306">
        <f t="shared" si="97"/>
        <v>14</v>
      </c>
      <c r="NJ21" s="306">
        <f t="shared" si="98"/>
        <v>13</v>
      </c>
      <c r="NK21" s="306">
        <f t="shared" si="99"/>
        <v>11</v>
      </c>
      <c r="NL21" s="306">
        <f t="shared" si="100"/>
        <v>26</v>
      </c>
      <c r="NM21" s="306">
        <f t="shared" si="57"/>
        <v>15</v>
      </c>
      <c r="NN21" s="306">
        <f t="shared" si="101"/>
        <v>0</v>
      </c>
      <c r="NO21" s="306">
        <f t="shared" si="102"/>
        <v>0</v>
      </c>
      <c r="NU21" s="378" t="s">
        <v>149</v>
      </c>
      <c r="NV21" s="357"/>
      <c r="NX21" s="230" t="s">
        <v>6</v>
      </c>
      <c r="NY21" s="230" t="s">
        <v>8</v>
      </c>
      <c r="NZ21" s="230" t="s">
        <v>3</v>
      </c>
      <c r="OA21" s="246" t="s">
        <v>20</v>
      </c>
      <c r="OB21" s="372" t="s">
        <v>188</v>
      </c>
      <c r="OC21" s="230" t="s">
        <v>8</v>
      </c>
      <c r="OD21" s="230" t="s">
        <v>7</v>
      </c>
      <c r="OE21" s="230" t="s">
        <v>8</v>
      </c>
      <c r="OF21" s="371" t="s">
        <v>189</v>
      </c>
      <c r="OG21" s="372" t="s">
        <v>190</v>
      </c>
      <c r="OH21" s="246" t="s">
        <v>43</v>
      </c>
      <c r="OI21" s="246" t="s">
        <v>20</v>
      </c>
      <c r="OJ21" s="159" t="s">
        <v>12</v>
      </c>
      <c r="OK21" s="159" t="s">
        <v>185</v>
      </c>
      <c r="OL21" s="246" t="s">
        <v>4</v>
      </c>
      <c r="OM21" s="372" t="s">
        <v>191</v>
      </c>
      <c r="ON21" s="246" t="s">
        <v>3</v>
      </c>
      <c r="OO21" s="246" t="s">
        <v>43</v>
      </c>
      <c r="OP21" s="246" t="s">
        <v>5</v>
      </c>
      <c r="OQ21" s="246" t="s">
        <v>12</v>
      </c>
      <c r="OR21" s="246" t="s">
        <v>15</v>
      </c>
      <c r="OS21" s="246" t="s">
        <v>4</v>
      </c>
      <c r="OT21" s="246" t="s">
        <v>5</v>
      </c>
      <c r="OV21" s="370" t="s">
        <v>135</v>
      </c>
      <c r="OW21" s="246" t="s">
        <v>10</v>
      </c>
      <c r="OX21" s="246" t="s">
        <v>9</v>
      </c>
      <c r="OY21" s="159" t="s">
        <v>20</v>
      </c>
      <c r="OZ21" s="159" t="s">
        <v>4</v>
      </c>
      <c r="PA21" s="225" t="s">
        <v>193</v>
      </c>
      <c r="PB21" s="246" t="s">
        <v>6</v>
      </c>
      <c r="PC21" s="246" t="s">
        <v>15</v>
      </c>
      <c r="PD21" s="246" t="s">
        <v>6</v>
      </c>
      <c r="PE21" s="246" t="s">
        <v>15</v>
      </c>
      <c r="PF21" s="246" t="s">
        <v>9</v>
      </c>
      <c r="PG21" s="246" t="s">
        <v>185</v>
      </c>
      <c r="PH21" s="246" t="s">
        <v>6</v>
      </c>
      <c r="PI21" s="246" t="s">
        <v>8</v>
      </c>
      <c r="PJ21" s="246" t="s">
        <v>15</v>
      </c>
      <c r="PK21" s="373" t="s">
        <v>228</v>
      </c>
      <c r="PM21"/>
      <c r="PN21"/>
      <c r="PO21"/>
      <c r="PP21"/>
      <c r="PQ21"/>
      <c r="PR21">
        <f>76*30</f>
        <v>2280</v>
      </c>
      <c r="PS21"/>
      <c r="PT21"/>
      <c r="QN21" s="357"/>
      <c r="QO21" s="45" t="s">
        <v>93</v>
      </c>
      <c r="QP21" s="204" t="s">
        <v>195</v>
      </c>
      <c r="QQ21" s="166" t="s">
        <v>20</v>
      </c>
      <c r="QR21" s="166" t="s">
        <v>14</v>
      </c>
      <c r="QS21" s="318" t="s">
        <v>43</v>
      </c>
      <c r="QT21" s="159" t="s">
        <v>7</v>
      </c>
      <c r="QU21" s="182" t="s">
        <v>185</v>
      </c>
      <c r="QV21" s="230" t="s">
        <v>22</v>
      </c>
      <c r="QW21" s="131" t="s">
        <v>22</v>
      </c>
      <c r="QX21" s="216" t="s">
        <v>198</v>
      </c>
      <c r="QY21" s="246" t="s">
        <v>8</v>
      </c>
      <c r="QZ21" s="166" t="s">
        <v>11</v>
      </c>
      <c r="RA21" s="221" t="s">
        <v>2</v>
      </c>
      <c r="RB21" s="239" t="s">
        <v>210</v>
      </c>
      <c r="RC21" s="182" t="s">
        <v>8</v>
      </c>
      <c r="RD21" s="199" t="s">
        <v>2</v>
      </c>
      <c r="RE21" s="131" t="s">
        <v>2</v>
      </c>
      <c r="RF21" s="159" t="s">
        <v>7</v>
      </c>
      <c r="RG21" s="159" t="s">
        <v>8</v>
      </c>
      <c r="RH21" s="246" t="s">
        <v>43</v>
      </c>
      <c r="RI21" s="246" t="s">
        <v>43</v>
      </c>
      <c r="RJ21" s="125" t="s">
        <v>11</v>
      </c>
      <c r="RK21" s="182" t="s">
        <v>2</v>
      </c>
      <c r="RL21" s="131" t="s">
        <v>6</v>
      </c>
      <c r="RM21" s="246" t="s">
        <v>43</v>
      </c>
      <c r="RN21" s="324" t="s">
        <v>200</v>
      </c>
      <c r="RO21" s="124" t="s">
        <v>201</v>
      </c>
      <c r="RP21" s="182" t="s">
        <v>14</v>
      </c>
      <c r="RQ21" s="230" t="s">
        <v>5</v>
      </c>
      <c r="RR21" s="246" t="s">
        <v>43</v>
      </c>
      <c r="RS21" s="159" t="s">
        <v>10</v>
      </c>
      <c r="RT21" s="235" t="s">
        <v>21</v>
      </c>
      <c r="RU21" s="246" t="s">
        <v>43</v>
      </c>
      <c r="RV21" s="182" t="s">
        <v>7</v>
      </c>
      <c r="RW21" s="182" t="s">
        <v>7</v>
      </c>
      <c r="RX21" s="225" t="s">
        <v>255</v>
      </c>
      <c r="RY21" s="246" t="s">
        <v>43</v>
      </c>
      <c r="RZ21" s="182" t="s">
        <v>20</v>
      </c>
      <c r="SA21" s="190" t="s">
        <v>211</v>
      </c>
      <c r="SB21" s="246" t="s">
        <v>43</v>
      </c>
      <c r="SC21" s="254" t="s">
        <v>205</v>
      </c>
      <c r="SD21" s="166" t="s">
        <v>15</v>
      </c>
      <c r="SE21" s="159" t="s">
        <v>14</v>
      </c>
      <c r="SF21" s="318" t="s">
        <v>43</v>
      </c>
      <c r="SG21" s="246" t="s">
        <v>43</v>
      </c>
      <c r="SH21" s="254" t="s">
        <v>15</v>
      </c>
      <c r="SI21" s="131" t="s">
        <v>5</v>
      </c>
      <c r="SJ21" s="159" t="s">
        <v>277</v>
      </c>
      <c r="SK21" s="322">
        <f t="shared" si="103"/>
        <v>81.033630987035224</v>
      </c>
      <c r="SM21" s="362">
        <v>8</v>
      </c>
      <c r="SO21"/>
      <c r="SP21"/>
      <c r="TP21" s="357"/>
      <c r="TQ21" s="45" t="s">
        <v>93</v>
      </c>
      <c r="TR21" s="306">
        <f t="shared" si="104"/>
        <v>31</v>
      </c>
      <c r="TS21" s="306">
        <f t="shared" si="105"/>
        <v>23</v>
      </c>
      <c r="TT21" s="306">
        <f t="shared" si="106"/>
        <v>20</v>
      </c>
      <c r="TU21" s="306">
        <f t="shared" si="107"/>
        <v>18</v>
      </c>
      <c r="TV21" s="306">
        <f t="shared" si="108"/>
        <v>6</v>
      </c>
      <c r="TW21" s="306">
        <f t="shared" si="109"/>
        <v>24</v>
      </c>
      <c r="TX21" s="306">
        <f t="shared" si="110"/>
        <v>5</v>
      </c>
      <c r="TY21" s="306">
        <f t="shared" si="111"/>
        <v>33</v>
      </c>
      <c r="TZ21" s="306">
        <f t="shared" si="112"/>
        <v>33</v>
      </c>
      <c r="UA21" s="306">
        <f t="shared" si="113"/>
        <v>24</v>
      </c>
      <c r="UB21" s="306">
        <f t="shared" si="114"/>
        <v>19</v>
      </c>
      <c r="UC21" s="306">
        <f t="shared" si="115"/>
        <v>23</v>
      </c>
      <c r="UD21" s="306">
        <f t="shared" si="116"/>
        <v>9</v>
      </c>
      <c r="UE21" s="306">
        <f t="shared" si="117"/>
        <v>26</v>
      </c>
      <c r="UF21" s="306">
        <f t="shared" si="118"/>
        <v>24</v>
      </c>
      <c r="UG21" s="306">
        <f t="shared" si="119"/>
        <v>13</v>
      </c>
      <c r="UH21" s="306">
        <f t="shared" si="120"/>
        <v>28</v>
      </c>
      <c r="UI21" s="306">
        <f t="shared" si="121"/>
        <v>32</v>
      </c>
      <c r="UJ21" s="306">
        <f t="shared" si="122"/>
        <v>26</v>
      </c>
      <c r="UK21" s="306">
        <f t="shared" si="123"/>
        <v>31</v>
      </c>
      <c r="UL21" s="306">
        <f t="shared" si="124"/>
        <v>26</v>
      </c>
      <c r="UM21" s="306">
        <f t="shared" si="125"/>
        <v>28</v>
      </c>
      <c r="UN21" s="306">
        <f t="shared" si="126"/>
        <v>18</v>
      </c>
      <c r="UO21" s="306">
        <f t="shared" si="127"/>
        <v>23</v>
      </c>
      <c r="UP21" s="306">
        <f t="shared" si="128"/>
        <v>11</v>
      </c>
      <c r="UQ21" s="306">
        <f t="shared" si="129"/>
        <v>30</v>
      </c>
      <c r="UR21" s="306">
        <f t="shared" si="130"/>
        <v>16</v>
      </c>
      <c r="US21" s="306">
        <f t="shared" si="131"/>
        <v>22</v>
      </c>
      <c r="UT21" s="306">
        <f t="shared" si="132"/>
        <v>30</v>
      </c>
      <c r="UU21" s="306">
        <f t="shared" si="133"/>
        <v>22</v>
      </c>
      <c r="UV21" s="306">
        <f t="shared" si="134"/>
        <v>31</v>
      </c>
      <c r="UW21" s="306">
        <f t="shared" si="135"/>
        <v>33</v>
      </c>
      <c r="UX21" s="306">
        <f t="shared" si="136"/>
        <v>32</v>
      </c>
      <c r="UY21" s="306">
        <f t="shared" si="137"/>
        <v>17</v>
      </c>
      <c r="UZ21" s="306">
        <f t="shared" si="138"/>
        <v>5</v>
      </c>
      <c r="VA21" s="306">
        <f t="shared" si="139"/>
        <v>5</v>
      </c>
      <c r="VB21" s="306">
        <f t="shared" si="140"/>
        <v>8</v>
      </c>
      <c r="VC21" s="306">
        <f t="shared" si="141"/>
        <v>13</v>
      </c>
      <c r="VD21" s="306">
        <f t="shared" si="142"/>
        <v>13</v>
      </c>
      <c r="VE21" s="306">
        <f t="shared" si="143"/>
        <v>10</v>
      </c>
      <c r="VF21" s="306">
        <f t="shared" si="144"/>
        <v>19</v>
      </c>
      <c r="VG21" s="306">
        <f t="shared" si="145"/>
        <v>23</v>
      </c>
      <c r="VH21" s="306">
        <f t="shared" si="146"/>
        <v>7</v>
      </c>
      <c r="VI21" s="306">
        <f t="shared" si="147"/>
        <v>28</v>
      </c>
      <c r="VJ21" s="306">
        <f t="shared" si="148"/>
        <v>30</v>
      </c>
      <c r="VK21" s="306">
        <f t="shared" si="149"/>
        <v>32</v>
      </c>
      <c r="VL21" s="306">
        <f t="shared" si="150"/>
        <v>5</v>
      </c>
      <c r="VN21" s="306">
        <f t="shared" si="151"/>
        <v>0</v>
      </c>
      <c r="WR21" s="357"/>
      <c r="WS21" s="45" t="s">
        <v>93</v>
      </c>
      <c r="WT21" s="225" t="s">
        <v>195</v>
      </c>
      <c r="WU21" s="246" t="s">
        <v>20</v>
      </c>
      <c r="WV21" s="246" t="s">
        <v>14</v>
      </c>
      <c r="WW21" s="318" t="s">
        <v>43</v>
      </c>
      <c r="WX21" s="246" t="s">
        <v>7</v>
      </c>
      <c r="WY21" s="246" t="s">
        <v>185</v>
      </c>
      <c r="WZ21" s="246" t="s">
        <v>22</v>
      </c>
      <c r="XA21" s="246" t="s">
        <v>22</v>
      </c>
      <c r="XB21" s="225" t="s">
        <v>198</v>
      </c>
      <c r="XC21" s="240" t="s">
        <v>8</v>
      </c>
      <c r="XD21" s="240" t="s">
        <v>11</v>
      </c>
      <c r="XE21" s="240" t="s">
        <v>2</v>
      </c>
      <c r="XF21" s="225" t="s">
        <v>210</v>
      </c>
      <c r="XG21" s="163" t="s">
        <v>8</v>
      </c>
      <c r="XH21" s="163" t="s">
        <v>2</v>
      </c>
      <c r="XI21" s="166" t="s">
        <v>2</v>
      </c>
      <c r="XJ21" s="166" t="s">
        <v>7</v>
      </c>
      <c r="XK21" s="166" t="s">
        <v>8</v>
      </c>
      <c r="XL21" s="246" t="s">
        <v>43</v>
      </c>
      <c r="XM21" s="246" t="s">
        <v>43</v>
      </c>
      <c r="XN21" s="159" t="s">
        <v>11</v>
      </c>
      <c r="XO21" s="159" t="s">
        <v>2</v>
      </c>
      <c r="XP21" s="246" t="s">
        <v>6</v>
      </c>
      <c r="XQ21" s="246" t="s">
        <v>43</v>
      </c>
      <c r="XR21" s="337" t="s">
        <v>200</v>
      </c>
      <c r="XS21" s="225" t="s">
        <v>201</v>
      </c>
      <c r="XT21" s="159" t="s">
        <v>14</v>
      </c>
      <c r="XU21" s="159" t="s">
        <v>5</v>
      </c>
      <c r="XV21" s="159" t="s">
        <v>43</v>
      </c>
      <c r="XW21" s="159" t="s">
        <v>10</v>
      </c>
      <c r="XX21" s="225" t="s">
        <v>21</v>
      </c>
      <c r="XY21" s="246" t="s">
        <v>43</v>
      </c>
      <c r="XZ21" s="166" t="s">
        <v>7</v>
      </c>
      <c r="YA21" s="166" t="s">
        <v>7</v>
      </c>
      <c r="YB21" s="225" t="s">
        <v>255</v>
      </c>
      <c r="YC21" s="246" t="s">
        <v>43</v>
      </c>
      <c r="YD21" s="246" t="s">
        <v>20</v>
      </c>
      <c r="YE21" s="225" t="s">
        <v>211</v>
      </c>
      <c r="YF21" s="246" t="s">
        <v>43</v>
      </c>
      <c r="YG21" s="246" t="s">
        <v>205</v>
      </c>
      <c r="YH21" s="246" t="s">
        <v>15</v>
      </c>
      <c r="YI21" s="246" t="s">
        <v>14</v>
      </c>
      <c r="YJ21" s="318" t="s">
        <v>43</v>
      </c>
      <c r="YK21" s="246" t="s">
        <v>43</v>
      </c>
      <c r="YL21" s="246" t="s">
        <v>15</v>
      </c>
      <c r="YM21" s="246" t="s">
        <v>5</v>
      </c>
      <c r="YN21" s="246" t="s">
        <v>277</v>
      </c>
      <c r="AFZ21" s="307"/>
    </row>
    <row r="22" spans="1:858" s="306" customFormat="1" ht="20.65" x14ac:dyDescent="0.7">
      <c r="A22" s="70">
        <v>13</v>
      </c>
      <c r="B22" s="305"/>
      <c r="C22" s="45" t="s">
        <v>97</v>
      </c>
      <c r="D22" s="45" t="s">
        <v>91</v>
      </c>
      <c r="E22" s="305"/>
      <c r="F22" s="128">
        <v>72.140154724110204</v>
      </c>
      <c r="X22" s="355"/>
      <c r="AA22" s="53" t="s">
        <v>51</v>
      </c>
      <c r="AB22" s="305" t="s">
        <v>28</v>
      </c>
      <c r="AC22" s="183" t="s">
        <v>1</v>
      </c>
      <c r="AD22" s="210" t="s">
        <v>8</v>
      </c>
      <c r="AE22" s="132" t="s">
        <v>3</v>
      </c>
      <c r="AF22" s="203" t="s">
        <v>4</v>
      </c>
      <c r="AG22" s="258" t="s">
        <v>5</v>
      </c>
      <c r="AH22" s="318" t="s">
        <v>43</v>
      </c>
      <c r="AI22" s="253" t="s">
        <v>2</v>
      </c>
      <c r="AJ22" s="253" t="s">
        <v>2</v>
      </c>
      <c r="AK22" s="147" t="s">
        <v>10</v>
      </c>
      <c r="AL22" s="157" t="s">
        <v>2</v>
      </c>
      <c r="AM22" s="217" t="s">
        <v>24</v>
      </c>
      <c r="AN22" s="336" t="s">
        <v>246</v>
      </c>
      <c r="AO22" s="183" t="s">
        <v>3</v>
      </c>
      <c r="AP22" s="224" t="s">
        <v>247</v>
      </c>
      <c r="AQ22" s="232" t="s">
        <v>27</v>
      </c>
      <c r="AR22" s="174" t="s">
        <v>248</v>
      </c>
      <c r="AS22" s="229" t="s">
        <v>43</v>
      </c>
      <c r="AT22" s="196" t="s">
        <v>11</v>
      </c>
      <c r="AU22" s="238" t="s">
        <v>11</v>
      </c>
      <c r="AV22" s="238" t="s">
        <v>12</v>
      </c>
      <c r="AW22" s="318" t="s">
        <v>43</v>
      </c>
      <c r="AX22" s="318" t="s">
        <v>43</v>
      </c>
      <c r="AY22" s="174" t="s">
        <v>249</v>
      </c>
      <c r="AZ22" s="229" t="s">
        <v>43</v>
      </c>
      <c r="BA22" s="229" t="s">
        <v>43</v>
      </c>
      <c r="BB22" s="183" t="s">
        <v>7</v>
      </c>
      <c r="BC22" s="168" t="s">
        <v>21</v>
      </c>
      <c r="BD22" s="224" t="s">
        <v>244</v>
      </c>
      <c r="BE22" s="318" t="s">
        <v>43</v>
      </c>
      <c r="BF22" s="318" t="s">
        <v>43</v>
      </c>
      <c r="BG22" s="253" t="s">
        <v>7</v>
      </c>
      <c r="BH22" s="318" t="s">
        <v>43</v>
      </c>
      <c r="BI22" s="183" t="s">
        <v>14</v>
      </c>
      <c r="BJ22" s="183" t="s">
        <v>5</v>
      </c>
      <c r="BK22" s="183" t="s">
        <v>11</v>
      </c>
      <c r="BL22" s="318" t="s">
        <v>43</v>
      </c>
      <c r="BM22" s="192" t="s">
        <v>5</v>
      </c>
      <c r="BN22" s="192" t="s">
        <v>12</v>
      </c>
      <c r="BO22" s="309"/>
      <c r="BP22" s="319">
        <f t="shared" si="59"/>
        <v>19629.996133398407</v>
      </c>
      <c r="BQ22" s="320" t="s">
        <v>60</v>
      </c>
      <c r="BR22" s="143" t="s">
        <v>2</v>
      </c>
      <c r="BS22" s="268" t="s">
        <v>15</v>
      </c>
      <c r="BT22" s="143" t="s">
        <v>14</v>
      </c>
      <c r="BU22" s="171" t="s">
        <v>253</v>
      </c>
      <c r="BV22" s="229" t="s">
        <v>43</v>
      </c>
      <c r="BW22" s="161" t="s">
        <v>46</v>
      </c>
      <c r="BX22" s="227" t="s">
        <v>43</v>
      </c>
      <c r="BY22" s="227" t="s">
        <v>43</v>
      </c>
      <c r="BZ22" s="227" t="s">
        <v>43</v>
      </c>
      <c r="CA22" s="161" t="s">
        <v>5</v>
      </c>
      <c r="CB22" s="177" t="s">
        <v>8</v>
      </c>
      <c r="CC22" s="208" t="s">
        <v>15</v>
      </c>
      <c r="CD22" s="143" t="s">
        <v>45</v>
      </c>
      <c r="CE22" s="193" t="s">
        <v>6</v>
      </c>
      <c r="CF22" s="208" t="s">
        <v>22</v>
      </c>
      <c r="CG22" s="193" t="s">
        <v>10</v>
      </c>
      <c r="CH22" s="193" t="s">
        <v>20</v>
      </c>
      <c r="CI22" s="193" t="s">
        <v>10</v>
      </c>
      <c r="CJ22" s="70">
        <v>47</v>
      </c>
      <c r="DG22" s="357"/>
      <c r="DI22" s="53" t="s">
        <v>51</v>
      </c>
      <c r="DJ22" s="305" t="s">
        <v>28</v>
      </c>
      <c r="DK22" s="363">
        <f t="shared" si="0"/>
        <v>7</v>
      </c>
      <c r="DL22" s="363">
        <f t="shared" si="1"/>
        <v>2</v>
      </c>
      <c r="DM22" s="363">
        <f t="shared" si="2"/>
        <v>7</v>
      </c>
      <c r="DN22" s="363">
        <f t="shared" si="3"/>
        <v>5</v>
      </c>
      <c r="DO22" s="363">
        <f t="shared" si="4"/>
        <v>7</v>
      </c>
      <c r="DP22" s="363">
        <f t="shared" si="5"/>
        <v>2</v>
      </c>
      <c r="DQ22" s="363">
        <f t="shared" si="6"/>
        <v>3</v>
      </c>
      <c r="DR22" s="363">
        <f t="shared" si="7"/>
        <v>7</v>
      </c>
      <c r="DS22" s="363">
        <f t="shared" si="8"/>
        <v>5</v>
      </c>
      <c r="DT22" s="363">
        <f t="shared" si="9"/>
        <v>5</v>
      </c>
      <c r="DU22" s="363">
        <f t="shared" si="10"/>
        <v>7</v>
      </c>
      <c r="DV22" s="363">
        <f t="shared" si="11"/>
        <v>7</v>
      </c>
      <c r="DW22" s="363">
        <f t="shared" si="12"/>
        <v>7</v>
      </c>
      <c r="DX22" s="363">
        <f t="shared" si="13"/>
        <v>0</v>
      </c>
      <c r="DY22" s="363">
        <f t="shared" si="14"/>
        <v>7</v>
      </c>
      <c r="DZ22" s="363">
        <f t="shared" si="15"/>
        <v>0</v>
      </c>
      <c r="EA22" s="363">
        <f t="shared" si="16"/>
        <v>0</v>
      </c>
      <c r="EB22" s="363">
        <f t="shared" si="17"/>
        <v>3</v>
      </c>
      <c r="EC22" s="363">
        <f t="shared" si="18"/>
        <v>0</v>
      </c>
      <c r="ED22" s="363">
        <f t="shared" si="19"/>
        <v>0</v>
      </c>
      <c r="EE22" s="363">
        <f t="shared" si="20"/>
        <v>0</v>
      </c>
      <c r="EF22" s="363">
        <f t="shared" si="21"/>
        <v>5</v>
      </c>
      <c r="EG22" s="363">
        <f t="shared" si="22"/>
        <v>2</v>
      </c>
      <c r="EH22" s="363">
        <f t="shared" si="23"/>
        <v>2</v>
      </c>
      <c r="EI22" s="363">
        <f t="shared" si="24"/>
        <v>2</v>
      </c>
      <c r="EJ22" s="363">
        <f t="shared" si="25"/>
        <v>2</v>
      </c>
      <c r="EK22" s="363">
        <f t="shared" si="26"/>
        <v>5</v>
      </c>
      <c r="EL22" s="363">
        <f t="shared" si="27"/>
        <v>0</v>
      </c>
      <c r="EM22" s="363">
        <f t="shared" si="28"/>
        <v>0</v>
      </c>
      <c r="EN22" s="363">
        <f t="shared" si="29"/>
        <v>3</v>
      </c>
      <c r="EO22" s="363">
        <f t="shared" si="30"/>
        <v>5</v>
      </c>
      <c r="EP22" s="363">
        <f t="shared" si="31"/>
        <v>2</v>
      </c>
      <c r="EQ22" s="363">
        <f t="shared" si="32"/>
        <v>6</v>
      </c>
      <c r="ER22" s="363">
        <f t="shared" si="33"/>
        <v>5</v>
      </c>
      <c r="ES22" s="363">
        <f t="shared" si="34"/>
        <v>7</v>
      </c>
      <c r="ET22" s="363">
        <f t="shared" si="35"/>
        <v>0</v>
      </c>
      <c r="EU22" s="363">
        <f t="shared" si="36"/>
        <v>7</v>
      </c>
      <c r="EV22" s="363">
        <f t="shared" si="37"/>
        <v>0</v>
      </c>
      <c r="EW22" s="377" t="s">
        <v>60</v>
      </c>
      <c r="EX22" s="363">
        <f t="shared" si="38"/>
        <v>6</v>
      </c>
      <c r="EY22" s="363">
        <f t="shared" si="39"/>
        <v>7</v>
      </c>
      <c r="EZ22" s="363">
        <f t="shared" si="40"/>
        <v>5</v>
      </c>
      <c r="FA22" s="363">
        <f t="shared" si="41"/>
        <v>0</v>
      </c>
      <c r="FB22" s="363">
        <f t="shared" si="42"/>
        <v>0</v>
      </c>
      <c r="FC22" s="363">
        <f t="shared" si="43"/>
        <v>0</v>
      </c>
      <c r="FD22" s="363">
        <f t="shared" si="44"/>
        <v>7</v>
      </c>
      <c r="FE22" s="363">
        <f t="shared" si="45"/>
        <v>7</v>
      </c>
      <c r="FF22" s="363">
        <f t="shared" si="46"/>
        <v>0</v>
      </c>
      <c r="FG22" s="363">
        <f t="shared" si="47"/>
        <v>0</v>
      </c>
      <c r="FH22" s="363">
        <f t="shared" si="48"/>
        <v>7</v>
      </c>
      <c r="FI22" s="363">
        <f t="shared" si="49"/>
        <v>0</v>
      </c>
      <c r="FJ22" s="363">
        <f t="shared" si="50"/>
        <v>7</v>
      </c>
      <c r="FK22" s="363">
        <f t="shared" si="51"/>
        <v>0</v>
      </c>
      <c r="FL22" s="363">
        <f t="shared" si="52"/>
        <v>1</v>
      </c>
      <c r="FM22" s="363">
        <f t="shared" si="53"/>
        <v>7</v>
      </c>
      <c r="FN22" s="363">
        <f t="shared" si="54"/>
        <v>0</v>
      </c>
      <c r="FO22" s="363">
        <f t="shared" si="55"/>
        <v>7</v>
      </c>
      <c r="FP22" s="363">
        <f t="shared" si="60"/>
        <v>10</v>
      </c>
      <c r="FQ22" s="363">
        <f t="shared" si="61"/>
        <v>8</v>
      </c>
      <c r="FR22" s="309">
        <f t="shared" si="62"/>
        <v>18</v>
      </c>
      <c r="GM22" s="357"/>
      <c r="GO22" s="53" t="s">
        <v>51</v>
      </c>
      <c r="GP22" s="305" t="s">
        <v>28</v>
      </c>
      <c r="GQ22" s="244" t="s">
        <v>1</v>
      </c>
      <c r="GR22" s="244" t="s">
        <v>8</v>
      </c>
      <c r="GS22" s="244" t="s">
        <v>3</v>
      </c>
      <c r="GT22" s="244" t="s">
        <v>4</v>
      </c>
      <c r="GU22" s="244" t="s">
        <v>5</v>
      </c>
      <c r="GV22" s="318" t="s">
        <v>43</v>
      </c>
      <c r="GW22" s="244" t="s">
        <v>2</v>
      </c>
      <c r="GX22" s="244" t="s">
        <v>2</v>
      </c>
      <c r="GY22" s="244" t="s">
        <v>10</v>
      </c>
      <c r="GZ22" s="223" t="s">
        <v>2</v>
      </c>
      <c r="HA22" s="366" t="s">
        <v>24</v>
      </c>
      <c r="HB22" s="380" t="s">
        <v>323</v>
      </c>
      <c r="HC22" s="244" t="s">
        <v>3</v>
      </c>
      <c r="HD22" s="366" t="s">
        <v>324</v>
      </c>
      <c r="HE22" s="366" t="s">
        <v>27</v>
      </c>
      <c r="HF22" s="366" t="s">
        <v>325</v>
      </c>
      <c r="HG22" s="244" t="s">
        <v>43</v>
      </c>
      <c r="HH22" s="244" t="s">
        <v>11</v>
      </c>
      <c r="HI22" s="244" t="s">
        <v>11</v>
      </c>
      <c r="HJ22" s="244" t="s">
        <v>12</v>
      </c>
      <c r="HK22" s="318" t="s">
        <v>43</v>
      </c>
      <c r="HL22" s="318" t="s">
        <v>43</v>
      </c>
      <c r="HM22" s="366" t="s">
        <v>326</v>
      </c>
      <c r="HN22" s="244" t="s">
        <v>43</v>
      </c>
      <c r="HO22" s="244" t="s">
        <v>43</v>
      </c>
      <c r="HP22" s="244" t="s">
        <v>7</v>
      </c>
      <c r="HQ22" s="366" t="s">
        <v>21</v>
      </c>
      <c r="HR22" s="366" t="s">
        <v>318</v>
      </c>
      <c r="HS22" s="318" t="s">
        <v>43</v>
      </c>
      <c r="HT22" s="318" t="s">
        <v>43</v>
      </c>
      <c r="HU22" s="244" t="s">
        <v>7</v>
      </c>
      <c r="HV22" s="318" t="s">
        <v>43</v>
      </c>
      <c r="HW22" s="244" t="s">
        <v>14</v>
      </c>
      <c r="HX22" s="244" t="s">
        <v>5</v>
      </c>
      <c r="HY22" s="244" t="s">
        <v>11</v>
      </c>
      <c r="HZ22" s="318" t="s">
        <v>43</v>
      </c>
      <c r="IA22" s="244" t="s">
        <v>5</v>
      </c>
      <c r="IB22" s="244" t="s">
        <v>12</v>
      </c>
      <c r="IC22" s="377" t="s">
        <v>60</v>
      </c>
      <c r="ID22" s="173" t="s">
        <v>2</v>
      </c>
      <c r="IE22" s="173" t="s">
        <v>15</v>
      </c>
      <c r="IF22" s="173" t="s">
        <v>14</v>
      </c>
      <c r="IG22" s="368" t="s">
        <v>321</v>
      </c>
      <c r="IH22" s="244" t="s">
        <v>43</v>
      </c>
      <c r="II22" s="173" t="s">
        <v>46</v>
      </c>
      <c r="IJ22" s="173" t="s">
        <v>43</v>
      </c>
      <c r="IK22" s="173" t="s">
        <v>43</v>
      </c>
      <c r="IL22" s="173" t="s">
        <v>43</v>
      </c>
      <c r="IM22" s="173" t="s">
        <v>5</v>
      </c>
      <c r="IN22" s="173" t="s">
        <v>8</v>
      </c>
      <c r="IO22" s="173" t="s">
        <v>15</v>
      </c>
      <c r="IP22" s="173" t="s">
        <v>45</v>
      </c>
      <c r="IQ22" s="173" t="s">
        <v>6</v>
      </c>
      <c r="IR22" s="173" t="s">
        <v>22</v>
      </c>
      <c r="IS22" s="173" t="s">
        <v>10</v>
      </c>
      <c r="IT22" s="173" t="s">
        <v>20</v>
      </c>
      <c r="IU22" s="173" t="s">
        <v>10</v>
      </c>
      <c r="JN22" s="357"/>
      <c r="JO22" s="369">
        <v>76</v>
      </c>
      <c r="JP22" s="305" t="s">
        <v>138</v>
      </c>
      <c r="JQ22" s="328" t="s">
        <v>142</v>
      </c>
      <c r="JR22" s="67" t="s">
        <v>143</v>
      </c>
      <c r="JS22" s="254" t="s">
        <v>6</v>
      </c>
      <c r="JT22" s="254" t="s">
        <v>8</v>
      </c>
      <c r="JU22" s="205" t="s">
        <v>3</v>
      </c>
      <c r="JV22" s="155" t="s">
        <v>20</v>
      </c>
      <c r="JW22" s="149" t="s">
        <v>43</v>
      </c>
      <c r="JX22" s="159" t="s">
        <v>6</v>
      </c>
      <c r="JY22" s="221" t="s">
        <v>7</v>
      </c>
      <c r="JZ22" s="159" t="s">
        <v>8</v>
      </c>
      <c r="KA22" s="126" t="s">
        <v>184</v>
      </c>
      <c r="KB22" s="129" t="s">
        <v>43</v>
      </c>
      <c r="KC22" s="254" t="s">
        <v>20</v>
      </c>
      <c r="KD22" s="163" t="s">
        <v>20</v>
      </c>
      <c r="KE22" s="182" t="s">
        <v>12</v>
      </c>
      <c r="KF22" s="230" t="s">
        <v>185</v>
      </c>
      <c r="KG22" s="125" t="s">
        <v>4</v>
      </c>
      <c r="KH22" s="118" t="s">
        <v>186</v>
      </c>
      <c r="KI22" s="246" t="s">
        <v>43</v>
      </c>
      <c r="KJ22" s="190" t="s">
        <v>187</v>
      </c>
      <c r="KK22" s="246" t="s">
        <v>43</v>
      </c>
      <c r="KL22" s="159" t="s">
        <v>12</v>
      </c>
      <c r="KM22" s="159" t="s">
        <v>14</v>
      </c>
      <c r="KN22" s="182" t="s">
        <v>6</v>
      </c>
      <c r="KO22" s="182" t="s">
        <v>5</v>
      </c>
      <c r="KP22" s="322">
        <f t="shared" si="63"/>
        <v>177.73546150353849</v>
      </c>
      <c r="KR22" s="329" t="s">
        <v>138</v>
      </c>
      <c r="KS22" s="159" t="s">
        <v>10</v>
      </c>
      <c r="KT22" s="170" t="s">
        <v>9</v>
      </c>
      <c r="KU22" s="221" t="s">
        <v>20</v>
      </c>
      <c r="KV22" s="117" t="s">
        <v>14</v>
      </c>
      <c r="KW22" s="124" t="s">
        <v>194</v>
      </c>
      <c r="KX22" s="240" t="s">
        <v>6</v>
      </c>
      <c r="KY22" s="240" t="s">
        <v>15</v>
      </c>
      <c r="KZ22" s="240" t="s">
        <v>6</v>
      </c>
      <c r="LA22" s="155" t="s">
        <v>10</v>
      </c>
      <c r="LB22" s="166" t="s">
        <v>9</v>
      </c>
      <c r="LC22" s="117" t="s">
        <v>5</v>
      </c>
      <c r="LD22" s="159" t="s">
        <v>9</v>
      </c>
      <c r="LE22" s="155" t="s">
        <v>7</v>
      </c>
      <c r="LF22" s="166" t="s">
        <v>15</v>
      </c>
      <c r="LG22" s="123" t="s">
        <v>229</v>
      </c>
      <c r="LH22" s="358">
        <v>9</v>
      </c>
      <c r="LW22" s="369">
        <v>76</v>
      </c>
      <c r="LX22" s="317" t="s">
        <v>138</v>
      </c>
      <c r="LY22" s="370" t="s">
        <v>142</v>
      </c>
      <c r="LZ22" s="306">
        <f t="shared" si="64"/>
        <v>10</v>
      </c>
      <c r="MA22" s="306">
        <f t="shared" si="65"/>
        <v>10</v>
      </c>
      <c r="MB22" s="306">
        <f t="shared" si="66"/>
        <v>16</v>
      </c>
      <c r="MC22" s="306">
        <f t="shared" si="67"/>
        <v>28</v>
      </c>
      <c r="MD22" s="306">
        <f t="shared" si="68"/>
        <v>13</v>
      </c>
      <c r="ME22" s="306">
        <f t="shared" si="69"/>
        <v>2</v>
      </c>
      <c r="MF22" s="306">
        <f t="shared" si="70"/>
        <v>19</v>
      </c>
      <c r="MG22" s="306">
        <f t="shared" si="71"/>
        <v>23</v>
      </c>
      <c r="MH22" s="306">
        <f t="shared" si="72"/>
        <v>12</v>
      </c>
      <c r="MI22" s="306">
        <f t="shared" si="73"/>
        <v>12</v>
      </c>
      <c r="MJ22" s="306">
        <f t="shared" si="74"/>
        <v>3</v>
      </c>
      <c r="MK22" s="306">
        <f t="shared" si="75"/>
        <v>21</v>
      </c>
      <c r="ML22" s="306">
        <f t="shared" si="76"/>
        <v>17</v>
      </c>
      <c r="MM22" s="306">
        <f t="shared" si="77"/>
        <v>18</v>
      </c>
      <c r="MN22" s="306">
        <f t="shared" si="78"/>
        <v>18</v>
      </c>
      <c r="MO22" s="306">
        <f t="shared" si="79"/>
        <v>19</v>
      </c>
      <c r="MP22" s="306">
        <f t="shared" si="80"/>
        <v>19</v>
      </c>
      <c r="MQ22" s="306">
        <f t="shared" si="81"/>
        <v>21</v>
      </c>
      <c r="MR22" s="306">
        <f t="shared" si="82"/>
        <v>22</v>
      </c>
      <c r="MS22" s="306">
        <f t="shared" si="83"/>
        <v>25</v>
      </c>
      <c r="MT22" s="306">
        <f t="shared" si="84"/>
        <v>26</v>
      </c>
      <c r="MU22" s="306">
        <f t="shared" si="85"/>
        <v>28</v>
      </c>
      <c r="MV22" s="306">
        <f t="shared" si="86"/>
        <v>23</v>
      </c>
      <c r="MY22" s="306">
        <f t="shared" si="87"/>
        <v>25</v>
      </c>
      <c r="MZ22" s="306">
        <f t="shared" si="88"/>
        <v>29</v>
      </c>
      <c r="NA22" s="306">
        <f t="shared" si="89"/>
        <v>28</v>
      </c>
      <c r="NB22" s="306">
        <f t="shared" si="90"/>
        <v>13</v>
      </c>
      <c r="NC22" s="306">
        <f t="shared" si="91"/>
        <v>14</v>
      </c>
      <c r="ND22" s="306">
        <f t="shared" si="92"/>
        <v>28</v>
      </c>
      <c r="NE22" s="306">
        <f t="shared" si="93"/>
        <v>29</v>
      </c>
      <c r="NF22" s="306">
        <f t="shared" si="94"/>
        <v>29</v>
      </c>
      <c r="NG22" s="306">
        <f t="shared" si="95"/>
        <v>17</v>
      </c>
      <c r="NH22" s="306">
        <f t="shared" si="96"/>
        <v>26</v>
      </c>
      <c r="NI22" s="306">
        <f t="shared" si="97"/>
        <v>13</v>
      </c>
      <c r="NJ22" s="306">
        <f t="shared" si="98"/>
        <v>14</v>
      </c>
      <c r="NK22" s="306">
        <f t="shared" si="99"/>
        <v>16</v>
      </c>
      <c r="NL22" s="306">
        <f t="shared" si="100"/>
        <v>26</v>
      </c>
      <c r="NM22" s="306">
        <f t="shared" si="57"/>
        <v>10</v>
      </c>
      <c r="NN22" s="306">
        <f t="shared" si="101"/>
        <v>0</v>
      </c>
      <c r="NO22" s="306">
        <f t="shared" si="102"/>
        <v>0</v>
      </c>
      <c r="NU22" s="370" t="s">
        <v>142</v>
      </c>
      <c r="NV22" s="357"/>
      <c r="NX22" s="230" t="s">
        <v>6</v>
      </c>
      <c r="NY22" s="230" t="s">
        <v>8</v>
      </c>
      <c r="NZ22" s="230" t="s">
        <v>3</v>
      </c>
      <c r="OA22" s="246" t="s">
        <v>20</v>
      </c>
      <c r="OB22" s="149" t="s">
        <v>43</v>
      </c>
      <c r="OC22" s="246" t="s">
        <v>6</v>
      </c>
      <c r="OD22" s="246" t="s">
        <v>7</v>
      </c>
      <c r="OE22" s="246" t="s">
        <v>8</v>
      </c>
      <c r="OF22" s="371" t="s">
        <v>184</v>
      </c>
      <c r="OG22" s="129" t="s">
        <v>43</v>
      </c>
      <c r="OH22" s="246" t="s">
        <v>20</v>
      </c>
      <c r="OI22" s="246" t="s">
        <v>20</v>
      </c>
      <c r="OJ22" s="159" t="s">
        <v>12</v>
      </c>
      <c r="OK22" s="159" t="s">
        <v>185</v>
      </c>
      <c r="OL22" s="246" t="s">
        <v>4</v>
      </c>
      <c r="OM22" s="372" t="s">
        <v>186</v>
      </c>
      <c r="ON22" s="246" t="s">
        <v>43</v>
      </c>
      <c r="OO22" s="225" t="s">
        <v>187</v>
      </c>
      <c r="OP22" s="246" t="s">
        <v>43</v>
      </c>
      <c r="OQ22" s="246" t="s">
        <v>12</v>
      </c>
      <c r="OR22" s="159" t="s">
        <v>14</v>
      </c>
      <c r="OS22" s="159" t="s">
        <v>6</v>
      </c>
      <c r="OT22" s="246" t="s">
        <v>5</v>
      </c>
      <c r="OV22" s="375" t="s">
        <v>138</v>
      </c>
      <c r="OW22" s="246" t="s">
        <v>10</v>
      </c>
      <c r="OX22" s="246" t="s">
        <v>9</v>
      </c>
      <c r="OY22" s="240" t="s">
        <v>20</v>
      </c>
      <c r="OZ22" s="240" t="s">
        <v>14</v>
      </c>
      <c r="PA22" s="225" t="s">
        <v>194</v>
      </c>
      <c r="PB22" s="246" t="s">
        <v>6</v>
      </c>
      <c r="PC22" s="246" t="s">
        <v>15</v>
      </c>
      <c r="PD22" s="246" t="s">
        <v>6</v>
      </c>
      <c r="PE22" s="246" t="s">
        <v>10</v>
      </c>
      <c r="PF22" s="246" t="s">
        <v>9</v>
      </c>
      <c r="PG22" s="246" t="s">
        <v>5</v>
      </c>
      <c r="PH22" s="246" t="s">
        <v>9</v>
      </c>
      <c r="PI22" s="246" t="s">
        <v>7</v>
      </c>
      <c r="PJ22" s="246" t="s">
        <v>15</v>
      </c>
      <c r="PK22" s="376" t="s">
        <v>229</v>
      </c>
      <c r="PM22"/>
      <c r="PN22"/>
      <c r="PO22"/>
      <c r="PP22"/>
      <c r="PQ22"/>
      <c r="PR22"/>
      <c r="PS22"/>
      <c r="PT22"/>
      <c r="QN22" s="357"/>
      <c r="QO22" s="66" t="s">
        <v>97</v>
      </c>
      <c r="QP22" s="204" t="s">
        <v>195</v>
      </c>
      <c r="QQ22" s="166" t="s">
        <v>20</v>
      </c>
      <c r="QR22" s="166" t="s">
        <v>14</v>
      </c>
      <c r="QS22" s="318" t="s">
        <v>43</v>
      </c>
      <c r="QT22" s="159" t="s">
        <v>7</v>
      </c>
      <c r="QU22" s="182" t="s">
        <v>185</v>
      </c>
      <c r="QV22" s="230" t="s">
        <v>22</v>
      </c>
      <c r="QW22" s="131" t="s">
        <v>22</v>
      </c>
      <c r="QX22" s="216" t="s">
        <v>198</v>
      </c>
      <c r="QY22" s="246" t="s">
        <v>8</v>
      </c>
      <c r="QZ22" s="166" t="s">
        <v>11</v>
      </c>
      <c r="RA22" s="221" t="s">
        <v>2</v>
      </c>
      <c r="RB22" s="239" t="s">
        <v>210</v>
      </c>
      <c r="RC22" s="182" t="s">
        <v>8</v>
      </c>
      <c r="RD22" s="199" t="s">
        <v>2</v>
      </c>
      <c r="RE22" s="131" t="s">
        <v>2</v>
      </c>
      <c r="RF22" s="159" t="s">
        <v>7</v>
      </c>
      <c r="RG22" s="159" t="s">
        <v>8</v>
      </c>
      <c r="RH22" s="246" t="s">
        <v>43</v>
      </c>
      <c r="RI22" s="246" t="s">
        <v>43</v>
      </c>
      <c r="RJ22" s="125" t="s">
        <v>11</v>
      </c>
      <c r="RK22" s="182" t="s">
        <v>2</v>
      </c>
      <c r="RL22" s="131" t="s">
        <v>6</v>
      </c>
      <c r="RM22" s="246" t="s">
        <v>43</v>
      </c>
      <c r="RN22" s="324" t="s">
        <v>200</v>
      </c>
      <c r="RO22" s="124" t="s">
        <v>201</v>
      </c>
      <c r="RP22" s="182" t="s">
        <v>14</v>
      </c>
      <c r="RQ22" s="230" t="s">
        <v>5</v>
      </c>
      <c r="RR22" s="246" t="s">
        <v>43</v>
      </c>
      <c r="RS22" s="254" t="s">
        <v>20</v>
      </c>
      <c r="RT22" s="235" t="s">
        <v>21</v>
      </c>
      <c r="RU22" s="246" t="s">
        <v>43</v>
      </c>
      <c r="RV22" s="182" t="s">
        <v>7</v>
      </c>
      <c r="RW22" s="182" t="s">
        <v>7</v>
      </c>
      <c r="RX22" s="225" t="s">
        <v>255</v>
      </c>
      <c r="RY22" s="246" t="s">
        <v>43</v>
      </c>
      <c r="RZ22" s="182" t="s">
        <v>20</v>
      </c>
      <c r="SA22" s="190" t="s">
        <v>211</v>
      </c>
      <c r="SB22" s="246" t="s">
        <v>43</v>
      </c>
      <c r="SC22" s="254" t="s">
        <v>205</v>
      </c>
      <c r="SD22" s="166" t="s">
        <v>15</v>
      </c>
      <c r="SE22" s="159" t="s">
        <v>14</v>
      </c>
      <c r="SF22" s="318" t="s">
        <v>43</v>
      </c>
      <c r="SG22" s="246" t="s">
        <v>43</v>
      </c>
      <c r="SH22" s="254" t="s">
        <v>15</v>
      </c>
      <c r="SI22" s="131" t="s">
        <v>5</v>
      </c>
      <c r="SJ22" s="159" t="s">
        <v>277</v>
      </c>
      <c r="SK22" s="322">
        <f t="shared" si="103"/>
        <v>72.140154724110204</v>
      </c>
      <c r="SM22" s="362">
        <v>9</v>
      </c>
      <c r="SO22"/>
      <c r="SP22"/>
      <c r="TP22" s="357"/>
      <c r="TQ22" s="66" t="s">
        <v>97</v>
      </c>
      <c r="TR22" s="306">
        <f t="shared" si="104"/>
        <v>31</v>
      </c>
      <c r="TS22" s="306">
        <f t="shared" si="105"/>
        <v>23</v>
      </c>
      <c r="TT22" s="306">
        <f t="shared" si="106"/>
        <v>20</v>
      </c>
      <c r="TU22" s="306">
        <f t="shared" si="107"/>
        <v>18</v>
      </c>
      <c r="TV22" s="306">
        <f t="shared" si="108"/>
        <v>6</v>
      </c>
      <c r="TW22" s="306">
        <f t="shared" si="109"/>
        <v>24</v>
      </c>
      <c r="TX22" s="306">
        <f t="shared" si="110"/>
        <v>5</v>
      </c>
      <c r="TY22" s="306">
        <f t="shared" si="111"/>
        <v>33</v>
      </c>
      <c r="TZ22" s="306">
        <f t="shared" si="112"/>
        <v>33</v>
      </c>
      <c r="UA22" s="306">
        <f t="shared" si="113"/>
        <v>24</v>
      </c>
      <c r="UB22" s="306">
        <f t="shared" si="114"/>
        <v>19</v>
      </c>
      <c r="UC22" s="306">
        <f t="shared" si="115"/>
        <v>23</v>
      </c>
      <c r="UD22" s="306">
        <f t="shared" si="116"/>
        <v>9</v>
      </c>
      <c r="UE22" s="306">
        <f t="shared" si="117"/>
        <v>26</v>
      </c>
      <c r="UF22" s="306">
        <f t="shared" si="118"/>
        <v>24</v>
      </c>
      <c r="UG22" s="306">
        <f t="shared" si="119"/>
        <v>13</v>
      </c>
      <c r="UH22" s="306">
        <f t="shared" si="120"/>
        <v>28</v>
      </c>
      <c r="UI22" s="306">
        <f t="shared" si="121"/>
        <v>32</v>
      </c>
      <c r="UJ22" s="306">
        <f t="shared" si="122"/>
        <v>26</v>
      </c>
      <c r="UK22" s="306">
        <f t="shared" si="123"/>
        <v>31</v>
      </c>
      <c r="UL22" s="306">
        <f t="shared" si="124"/>
        <v>26</v>
      </c>
      <c r="UM22" s="306">
        <f t="shared" si="125"/>
        <v>28</v>
      </c>
      <c r="UN22" s="306">
        <f t="shared" si="126"/>
        <v>18</v>
      </c>
      <c r="UO22" s="306">
        <f t="shared" si="127"/>
        <v>23</v>
      </c>
      <c r="UP22" s="306">
        <f t="shared" si="128"/>
        <v>11</v>
      </c>
      <c r="UQ22" s="306">
        <f t="shared" si="129"/>
        <v>30</v>
      </c>
      <c r="UR22" s="306">
        <f t="shared" si="130"/>
        <v>16</v>
      </c>
      <c r="US22" s="306">
        <f t="shared" si="131"/>
        <v>22</v>
      </c>
      <c r="UT22" s="306">
        <f t="shared" si="132"/>
        <v>30</v>
      </c>
      <c r="UU22" s="306">
        <f t="shared" si="133"/>
        <v>7</v>
      </c>
      <c r="UV22" s="306">
        <f t="shared" si="134"/>
        <v>31</v>
      </c>
      <c r="UW22" s="306">
        <f t="shared" si="135"/>
        <v>33</v>
      </c>
      <c r="UX22" s="306">
        <f t="shared" si="136"/>
        <v>32</v>
      </c>
      <c r="UY22" s="306">
        <f t="shared" si="137"/>
        <v>17</v>
      </c>
      <c r="UZ22" s="306">
        <f t="shared" si="138"/>
        <v>5</v>
      </c>
      <c r="VA22" s="306">
        <f t="shared" si="139"/>
        <v>5</v>
      </c>
      <c r="VB22" s="306">
        <f t="shared" si="140"/>
        <v>8</v>
      </c>
      <c r="VC22" s="306">
        <f t="shared" si="141"/>
        <v>13</v>
      </c>
      <c r="VD22" s="306">
        <f t="shared" si="142"/>
        <v>13</v>
      </c>
      <c r="VE22" s="306">
        <f t="shared" si="143"/>
        <v>10</v>
      </c>
      <c r="VF22" s="306">
        <f t="shared" si="144"/>
        <v>19</v>
      </c>
      <c r="VG22" s="306">
        <f t="shared" si="145"/>
        <v>23</v>
      </c>
      <c r="VH22" s="306">
        <f t="shared" si="146"/>
        <v>7</v>
      </c>
      <c r="VI22" s="306">
        <f t="shared" si="147"/>
        <v>28</v>
      </c>
      <c r="VJ22" s="306">
        <f t="shared" si="148"/>
        <v>30</v>
      </c>
      <c r="VK22" s="306">
        <f t="shared" si="149"/>
        <v>32</v>
      </c>
      <c r="VL22" s="306">
        <f t="shared" si="150"/>
        <v>5</v>
      </c>
      <c r="VN22" s="306">
        <f t="shared" si="151"/>
        <v>0</v>
      </c>
      <c r="WR22" s="357"/>
      <c r="WS22" s="66" t="s">
        <v>97</v>
      </c>
      <c r="WT22" s="225" t="s">
        <v>195</v>
      </c>
      <c r="WU22" s="246" t="s">
        <v>20</v>
      </c>
      <c r="WV22" s="246" t="s">
        <v>14</v>
      </c>
      <c r="WW22" s="318" t="s">
        <v>43</v>
      </c>
      <c r="WX22" s="246" t="s">
        <v>7</v>
      </c>
      <c r="WY22" s="246" t="s">
        <v>185</v>
      </c>
      <c r="WZ22" s="246" t="s">
        <v>22</v>
      </c>
      <c r="XA22" s="246" t="s">
        <v>22</v>
      </c>
      <c r="XB22" s="225" t="s">
        <v>198</v>
      </c>
      <c r="XC22" s="240" t="s">
        <v>8</v>
      </c>
      <c r="XD22" s="240" t="s">
        <v>11</v>
      </c>
      <c r="XE22" s="240" t="s">
        <v>2</v>
      </c>
      <c r="XF22" s="225" t="s">
        <v>210</v>
      </c>
      <c r="XG22" s="163" t="s">
        <v>8</v>
      </c>
      <c r="XH22" s="163" t="s">
        <v>2</v>
      </c>
      <c r="XI22" s="166" t="s">
        <v>2</v>
      </c>
      <c r="XJ22" s="166" t="s">
        <v>7</v>
      </c>
      <c r="XK22" s="166" t="s">
        <v>8</v>
      </c>
      <c r="XL22" s="246" t="s">
        <v>43</v>
      </c>
      <c r="XM22" s="246" t="s">
        <v>43</v>
      </c>
      <c r="XN22" s="159" t="s">
        <v>11</v>
      </c>
      <c r="XO22" s="159" t="s">
        <v>2</v>
      </c>
      <c r="XP22" s="246" t="s">
        <v>6</v>
      </c>
      <c r="XQ22" s="246" t="s">
        <v>43</v>
      </c>
      <c r="XR22" s="337" t="s">
        <v>200</v>
      </c>
      <c r="XS22" s="225" t="s">
        <v>201</v>
      </c>
      <c r="XT22" s="159" t="s">
        <v>14</v>
      </c>
      <c r="XU22" s="159" t="s">
        <v>5</v>
      </c>
      <c r="XV22" s="246" t="s">
        <v>43</v>
      </c>
      <c r="XW22" s="246" t="s">
        <v>20</v>
      </c>
      <c r="XX22" s="225" t="s">
        <v>21</v>
      </c>
      <c r="XY22" s="246" t="s">
        <v>43</v>
      </c>
      <c r="XZ22" s="166" t="s">
        <v>7</v>
      </c>
      <c r="YA22" s="166" t="s">
        <v>7</v>
      </c>
      <c r="YB22" s="225" t="s">
        <v>255</v>
      </c>
      <c r="YC22" s="246" t="s">
        <v>43</v>
      </c>
      <c r="YD22" s="246" t="s">
        <v>20</v>
      </c>
      <c r="YE22" s="225" t="s">
        <v>211</v>
      </c>
      <c r="YF22" s="246" t="s">
        <v>43</v>
      </c>
      <c r="YG22" s="246" t="s">
        <v>205</v>
      </c>
      <c r="YH22" s="246" t="s">
        <v>15</v>
      </c>
      <c r="YI22" s="246" t="s">
        <v>14</v>
      </c>
      <c r="YJ22" s="318" t="s">
        <v>43</v>
      </c>
      <c r="YK22" s="246" t="s">
        <v>43</v>
      </c>
      <c r="YL22" s="246" t="s">
        <v>15</v>
      </c>
      <c r="YM22" s="246" t="s">
        <v>5</v>
      </c>
      <c r="YN22" s="246" t="s">
        <v>277</v>
      </c>
      <c r="AFZ22" s="307"/>
    </row>
    <row r="23" spans="1:858" s="306" customFormat="1" ht="20.65" x14ac:dyDescent="0.65">
      <c r="A23" s="70">
        <v>14</v>
      </c>
      <c r="B23" s="305"/>
      <c r="C23" s="45" t="s">
        <v>98</v>
      </c>
      <c r="D23" s="45" t="s">
        <v>99</v>
      </c>
      <c r="E23" s="305"/>
      <c r="F23" s="128">
        <v>642.24742904917719</v>
      </c>
      <c r="X23" s="355"/>
      <c r="AA23" s="121" t="s">
        <v>52</v>
      </c>
      <c r="AB23" s="305" t="s">
        <v>29</v>
      </c>
      <c r="AC23" s="183" t="s">
        <v>1</v>
      </c>
      <c r="AD23" s="147" t="s">
        <v>2</v>
      </c>
      <c r="AE23" s="132" t="s">
        <v>3</v>
      </c>
      <c r="AF23" s="229" t="s">
        <v>6</v>
      </c>
      <c r="AG23" s="258" t="s">
        <v>5</v>
      </c>
      <c r="AH23" s="318" t="s">
        <v>43</v>
      </c>
      <c r="AI23" s="210" t="s">
        <v>22</v>
      </c>
      <c r="AJ23" s="253" t="s">
        <v>2</v>
      </c>
      <c r="AK23" s="215" t="s">
        <v>7</v>
      </c>
      <c r="AL23" s="245" t="s">
        <v>8</v>
      </c>
      <c r="AM23" s="217" t="s">
        <v>24</v>
      </c>
      <c r="AN23" s="336" t="s">
        <v>246</v>
      </c>
      <c r="AO23" s="183" t="s">
        <v>3</v>
      </c>
      <c r="AP23" s="247" t="s">
        <v>250</v>
      </c>
      <c r="AQ23" s="232" t="s">
        <v>27</v>
      </c>
      <c r="AR23" s="185" t="s">
        <v>30</v>
      </c>
      <c r="AS23" s="146" t="s">
        <v>9</v>
      </c>
      <c r="AT23" s="229" t="s">
        <v>43</v>
      </c>
      <c r="AU23" s="150" t="s">
        <v>20</v>
      </c>
      <c r="AV23" s="147" t="s">
        <v>7</v>
      </c>
      <c r="AW23" s="210" t="s">
        <v>3</v>
      </c>
      <c r="AX23" s="135" t="s">
        <v>251</v>
      </c>
      <c r="AY23" s="174" t="s">
        <v>249</v>
      </c>
      <c r="AZ23" s="229" t="s">
        <v>43</v>
      </c>
      <c r="BA23" s="229" t="s">
        <v>43</v>
      </c>
      <c r="BB23" s="183" t="s">
        <v>7</v>
      </c>
      <c r="BC23" s="174" t="s">
        <v>13</v>
      </c>
      <c r="BD23" s="318" t="s">
        <v>43</v>
      </c>
      <c r="BE23" s="215" t="s">
        <v>10</v>
      </c>
      <c r="BF23" s="210" t="s">
        <v>2</v>
      </c>
      <c r="BG23" s="318" t="s">
        <v>43</v>
      </c>
      <c r="BH23" s="318" t="s">
        <v>43</v>
      </c>
      <c r="BI23" s="183" t="s">
        <v>14</v>
      </c>
      <c r="BJ23" s="183" t="s">
        <v>5</v>
      </c>
      <c r="BK23" s="183" t="s">
        <v>11</v>
      </c>
      <c r="BL23" s="224" t="s">
        <v>245</v>
      </c>
      <c r="BM23" s="192" t="s">
        <v>5</v>
      </c>
      <c r="BN23" s="258" t="s">
        <v>15</v>
      </c>
      <c r="BO23" s="309"/>
      <c r="BP23" s="319">
        <f t="shared" si="59"/>
        <v>-19.466046302699297</v>
      </c>
      <c r="BQ23" s="320" t="s">
        <v>63</v>
      </c>
      <c r="BR23" s="143" t="s">
        <v>2</v>
      </c>
      <c r="BS23" s="268" t="s">
        <v>15</v>
      </c>
      <c r="BT23" s="269" t="s">
        <v>20</v>
      </c>
      <c r="BU23" s="227" t="s">
        <v>43</v>
      </c>
      <c r="BV23" s="189" t="s">
        <v>20</v>
      </c>
      <c r="BW23" s="193" t="s">
        <v>44</v>
      </c>
      <c r="BX23" s="227" t="s">
        <v>43</v>
      </c>
      <c r="BY23" s="227" t="s">
        <v>43</v>
      </c>
      <c r="BZ23" s="177" t="s">
        <v>8</v>
      </c>
      <c r="CA23" s="227" t="s">
        <v>43</v>
      </c>
      <c r="CB23" s="177" t="s">
        <v>8</v>
      </c>
      <c r="CC23" s="227" t="s">
        <v>43</v>
      </c>
      <c r="CD23" s="143" t="s">
        <v>45</v>
      </c>
      <c r="CE23" s="227" t="s">
        <v>43</v>
      </c>
      <c r="CF23" s="161" t="s">
        <v>14</v>
      </c>
      <c r="CG23" s="193" t="s">
        <v>10</v>
      </c>
      <c r="CH23" s="227" t="s">
        <v>43</v>
      </c>
      <c r="CI23" s="193" t="s">
        <v>10</v>
      </c>
      <c r="CJ23" s="70">
        <v>48</v>
      </c>
      <c r="DG23" s="357"/>
      <c r="DI23" s="121" t="s">
        <v>52</v>
      </c>
      <c r="DJ23" s="305" t="s">
        <v>29</v>
      </c>
      <c r="DK23" s="363">
        <f t="shared" si="0"/>
        <v>7</v>
      </c>
      <c r="DL23" s="363">
        <f t="shared" si="1"/>
        <v>5</v>
      </c>
      <c r="DM23" s="363">
        <f t="shared" si="2"/>
        <v>7</v>
      </c>
      <c r="DN23" s="363">
        <f t="shared" si="3"/>
        <v>2</v>
      </c>
      <c r="DO23" s="363">
        <f t="shared" si="4"/>
        <v>7</v>
      </c>
      <c r="DP23" s="363">
        <f t="shared" si="5"/>
        <v>2</v>
      </c>
      <c r="DQ23" s="363">
        <f t="shared" si="6"/>
        <v>4</v>
      </c>
      <c r="DR23" s="363">
        <f t="shared" si="7"/>
        <v>7</v>
      </c>
      <c r="DS23" s="363">
        <f t="shared" si="8"/>
        <v>2</v>
      </c>
      <c r="DT23" s="363">
        <f t="shared" si="9"/>
        <v>2</v>
      </c>
      <c r="DU23" s="363">
        <f t="shared" si="10"/>
        <v>7</v>
      </c>
      <c r="DV23" s="363">
        <f t="shared" si="11"/>
        <v>7</v>
      </c>
      <c r="DW23" s="363">
        <f t="shared" si="12"/>
        <v>7</v>
      </c>
      <c r="DX23" s="363">
        <f t="shared" si="13"/>
        <v>7</v>
      </c>
      <c r="DY23" s="363">
        <f t="shared" si="14"/>
        <v>7</v>
      </c>
      <c r="DZ23" s="363">
        <f t="shared" si="15"/>
        <v>3</v>
      </c>
      <c r="EA23" s="363">
        <f t="shared" si="16"/>
        <v>7</v>
      </c>
      <c r="EB23" s="363">
        <f t="shared" si="17"/>
        <v>3</v>
      </c>
      <c r="EC23" s="363">
        <f t="shared" si="18"/>
        <v>7</v>
      </c>
      <c r="ED23" s="363">
        <f t="shared" si="19"/>
        <v>7</v>
      </c>
      <c r="EE23" s="363">
        <f t="shared" si="20"/>
        <v>5</v>
      </c>
      <c r="EF23" s="363">
        <f t="shared" si="21"/>
        <v>2</v>
      </c>
      <c r="EG23" s="363">
        <f t="shared" si="22"/>
        <v>2</v>
      </c>
      <c r="EH23" s="363">
        <f t="shared" si="23"/>
        <v>2</v>
      </c>
      <c r="EI23" s="363">
        <f t="shared" si="24"/>
        <v>2</v>
      </c>
      <c r="EJ23" s="363">
        <f t="shared" si="25"/>
        <v>2</v>
      </c>
      <c r="EK23" s="363">
        <f t="shared" si="26"/>
        <v>2</v>
      </c>
      <c r="EL23" s="363">
        <f t="shared" si="27"/>
        <v>4</v>
      </c>
      <c r="EM23" s="363">
        <f t="shared" si="28"/>
        <v>5</v>
      </c>
      <c r="EN23" s="363">
        <f t="shared" si="29"/>
        <v>4</v>
      </c>
      <c r="EO23" s="363">
        <f t="shared" si="30"/>
        <v>2</v>
      </c>
      <c r="EP23" s="363">
        <f t="shared" si="31"/>
        <v>2</v>
      </c>
      <c r="EQ23" s="363">
        <f t="shared" si="32"/>
        <v>6</v>
      </c>
      <c r="ER23" s="363">
        <f t="shared" si="33"/>
        <v>5</v>
      </c>
      <c r="ES23" s="363">
        <f t="shared" si="34"/>
        <v>7</v>
      </c>
      <c r="ET23" s="363">
        <f t="shared" si="35"/>
        <v>7</v>
      </c>
      <c r="EU23" s="363">
        <f t="shared" si="36"/>
        <v>7</v>
      </c>
      <c r="EV23" s="363">
        <f t="shared" si="37"/>
        <v>7</v>
      </c>
      <c r="EW23" s="320" t="s">
        <v>63</v>
      </c>
      <c r="EX23" s="363">
        <f t="shared" si="38"/>
        <v>6</v>
      </c>
      <c r="EY23" s="363">
        <f t="shared" si="39"/>
        <v>7</v>
      </c>
      <c r="EZ23" s="363">
        <f t="shared" si="40"/>
        <v>2</v>
      </c>
      <c r="FA23" s="363">
        <f t="shared" si="41"/>
        <v>7</v>
      </c>
      <c r="FB23" s="363">
        <f t="shared" si="42"/>
        <v>7</v>
      </c>
      <c r="FC23" s="363">
        <f t="shared" si="43"/>
        <v>7</v>
      </c>
      <c r="FD23" s="363">
        <f t="shared" si="44"/>
        <v>7</v>
      </c>
      <c r="FE23" s="363">
        <f t="shared" si="45"/>
        <v>7</v>
      </c>
      <c r="FF23" s="363">
        <f t="shared" si="46"/>
        <v>7</v>
      </c>
      <c r="FG23" s="363">
        <f t="shared" si="47"/>
        <v>7</v>
      </c>
      <c r="FH23" s="363">
        <f t="shared" si="48"/>
        <v>7</v>
      </c>
      <c r="FI23" s="363">
        <f t="shared" si="49"/>
        <v>7</v>
      </c>
      <c r="FJ23" s="363">
        <f t="shared" si="50"/>
        <v>7</v>
      </c>
      <c r="FK23" s="363">
        <f t="shared" si="51"/>
        <v>7</v>
      </c>
      <c r="FL23" s="363">
        <f t="shared" si="52"/>
        <v>6</v>
      </c>
      <c r="FM23" s="363">
        <f t="shared" si="53"/>
        <v>7</v>
      </c>
      <c r="FN23" s="363">
        <f t="shared" si="54"/>
        <v>7</v>
      </c>
      <c r="FO23" s="363">
        <f t="shared" si="55"/>
        <v>7</v>
      </c>
      <c r="FP23" s="363">
        <f t="shared" si="60"/>
        <v>0</v>
      </c>
      <c r="FQ23" s="363">
        <f t="shared" si="61"/>
        <v>0</v>
      </c>
      <c r="FR23" s="309">
        <f t="shared" si="62"/>
        <v>0</v>
      </c>
      <c r="GM23" s="357"/>
      <c r="GO23" s="121" t="s">
        <v>52</v>
      </c>
      <c r="GP23" s="305" t="s">
        <v>29</v>
      </c>
      <c r="GQ23" s="244" t="s">
        <v>1</v>
      </c>
      <c r="GR23" s="244" t="s">
        <v>2</v>
      </c>
      <c r="GS23" s="244" t="s">
        <v>3</v>
      </c>
      <c r="GT23" s="244" t="s">
        <v>6</v>
      </c>
      <c r="GU23" s="244" t="s">
        <v>5</v>
      </c>
      <c r="GV23" s="318" t="s">
        <v>43</v>
      </c>
      <c r="GW23" s="244" t="s">
        <v>22</v>
      </c>
      <c r="GX23" s="244" t="s">
        <v>2</v>
      </c>
      <c r="GY23" s="244" t="s">
        <v>7</v>
      </c>
      <c r="GZ23" s="223" t="s">
        <v>8</v>
      </c>
      <c r="HA23" s="366" t="s">
        <v>24</v>
      </c>
      <c r="HB23" s="380" t="s">
        <v>323</v>
      </c>
      <c r="HC23" s="244" t="s">
        <v>3</v>
      </c>
      <c r="HD23" s="366" t="s">
        <v>327</v>
      </c>
      <c r="HE23" s="366" t="s">
        <v>27</v>
      </c>
      <c r="HF23" s="366" t="s">
        <v>30</v>
      </c>
      <c r="HG23" s="244" t="s">
        <v>9</v>
      </c>
      <c r="HH23" s="244" t="s">
        <v>43</v>
      </c>
      <c r="HI23" s="244" t="s">
        <v>20</v>
      </c>
      <c r="HJ23" s="244" t="s">
        <v>7</v>
      </c>
      <c r="HK23" s="244" t="s">
        <v>3</v>
      </c>
      <c r="HL23" s="366" t="s">
        <v>328</v>
      </c>
      <c r="HM23" s="366" t="s">
        <v>326</v>
      </c>
      <c r="HN23" s="244" t="s">
        <v>43</v>
      </c>
      <c r="HO23" s="244" t="s">
        <v>43</v>
      </c>
      <c r="HP23" s="244" t="s">
        <v>7</v>
      </c>
      <c r="HQ23" s="366" t="s">
        <v>13</v>
      </c>
      <c r="HR23" s="318" t="s">
        <v>43</v>
      </c>
      <c r="HS23" s="244" t="s">
        <v>10</v>
      </c>
      <c r="HT23" s="244" t="s">
        <v>2</v>
      </c>
      <c r="HU23" s="318" t="s">
        <v>43</v>
      </c>
      <c r="HV23" s="318" t="s">
        <v>43</v>
      </c>
      <c r="HW23" s="244" t="s">
        <v>14</v>
      </c>
      <c r="HX23" s="244" t="s">
        <v>5</v>
      </c>
      <c r="HY23" s="244" t="s">
        <v>11</v>
      </c>
      <c r="HZ23" s="366" t="s">
        <v>319</v>
      </c>
      <c r="IA23" s="244" t="s">
        <v>5</v>
      </c>
      <c r="IB23" s="244" t="s">
        <v>15</v>
      </c>
      <c r="IC23" s="320" t="s">
        <v>63</v>
      </c>
      <c r="ID23" s="173" t="s">
        <v>2</v>
      </c>
      <c r="IE23" s="173" t="s">
        <v>15</v>
      </c>
      <c r="IF23" s="173" t="s">
        <v>20</v>
      </c>
      <c r="IG23" s="173" t="s">
        <v>43</v>
      </c>
      <c r="IH23" s="173" t="s">
        <v>20</v>
      </c>
      <c r="II23" s="173" t="s">
        <v>44</v>
      </c>
      <c r="IJ23" s="173" t="s">
        <v>43</v>
      </c>
      <c r="IK23" s="173" t="s">
        <v>43</v>
      </c>
      <c r="IL23" s="173" t="s">
        <v>8</v>
      </c>
      <c r="IM23" s="173" t="s">
        <v>43</v>
      </c>
      <c r="IN23" s="173" t="s">
        <v>8</v>
      </c>
      <c r="IO23" s="173" t="s">
        <v>43</v>
      </c>
      <c r="IP23" s="173" t="s">
        <v>45</v>
      </c>
      <c r="IQ23" s="173" t="s">
        <v>43</v>
      </c>
      <c r="IR23" s="173" t="s">
        <v>14</v>
      </c>
      <c r="IS23" s="173" t="s">
        <v>10</v>
      </c>
      <c r="IT23" s="173" t="s">
        <v>43</v>
      </c>
      <c r="IU23" s="173" t="s">
        <v>10</v>
      </c>
      <c r="JN23" s="357"/>
      <c r="JO23" s="369">
        <v>70</v>
      </c>
      <c r="JP23" s="305" t="s">
        <v>141</v>
      </c>
      <c r="JQ23" s="328" t="s">
        <v>142</v>
      </c>
      <c r="JR23" s="67" t="s">
        <v>143</v>
      </c>
      <c r="JS23" s="254" t="s">
        <v>6</v>
      </c>
      <c r="JT23" s="254" t="s">
        <v>8</v>
      </c>
      <c r="JU23" s="205" t="s">
        <v>3</v>
      </c>
      <c r="JV23" s="155" t="s">
        <v>20</v>
      </c>
      <c r="JW23" s="149" t="s">
        <v>43</v>
      </c>
      <c r="JX23" s="159" t="s">
        <v>6</v>
      </c>
      <c r="JY23" s="221" t="s">
        <v>7</v>
      </c>
      <c r="JZ23" s="159" t="s">
        <v>8</v>
      </c>
      <c r="KA23" s="126" t="s">
        <v>184</v>
      </c>
      <c r="KB23" s="129" t="s">
        <v>43</v>
      </c>
      <c r="KC23" s="254" t="s">
        <v>20</v>
      </c>
      <c r="KD23" s="163" t="s">
        <v>20</v>
      </c>
      <c r="KE23" s="182" t="s">
        <v>12</v>
      </c>
      <c r="KF23" s="230" t="s">
        <v>185</v>
      </c>
      <c r="KG23" s="125" t="s">
        <v>4</v>
      </c>
      <c r="KH23" s="118" t="s">
        <v>186</v>
      </c>
      <c r="KI23" s="246" t="s">
        <v>43</v>
      </c>
      <c r="KJ23" s="190" t="s">
        <v>187</v>
      </c>
      <c r="KK23" s="246" t="s">
        <v>43</v>
      </c>
      <c r="KL23" s="159" t="s">
        <v>12</v>
      </c>
      <c r="KM23" s="159" t="s">
        <v>14</v>
      </c>
      <c r="KN23" s="182" t="s">
        <v>6</v>
      </c>
      <c r="KO23" s="182" t="s">
        <v>5</v>
      </c>
      <c r="KP23" s="322">
        <f t="shared" si="63"/>
        <v>153.55087545868523</v>
      </c>
      <c r="KR23" s="329" t="s">
        <v>141</v>
      </c>
      <c r="KS23" s="254" t="s">
        <v>4</v>
      </c>
      <c r="KT23" s="170" t="s">
        <v>9</v>
      </c>
      <c r="KU23" s="221" t="s">
        <v>20</v>
      </c>
      <c r="KV23" s="117" t="s">
        <v>14</v>
      </c>
      <c r="KW23" s="124" t="s">
        <v>194</v>
      </c>
      <c r="KX23" s="240" t="s">
        <v>6</v>
      </c>
      <c r="KY23" s="240" t="s">
        <v>15</v>
      </c>
      <c r="KZ23" s="240" t="s">
        <v>6</v>
      </c>
      <c r="LA23" s="155" t="s">
        <v>10</v>
      </c>
      <c r="LB23" s="166" t="s">
        <v>9</v>
      </c>
      <c r="LC23" s="117" t="s">
        <v>5</v>
      </c>
      <c r="LD23" s="159" t="s">
        <v>9</v>
      </c>
      <c r="LE23" s="155" t="s">
        <v>7</v>
      </c>
      <c r="LF23" s="166" t="s">
        <v>15</v>
      </c>
      <c r="LG23" s="122" t="s">
        <v>230</v>
      </c>
      <c r="LH23" s="358">
        <v>10</v>
      </c>
      <c r="LW23" s="369">
        <v>70</v>
      </c>
      <c r="LX23" s="317" t="s">
        <v>141</v>
      </c>
      <c r="LY23" s="370" t="s">
        <v>142</v>
      </c>
      <c r="LZ23" s="306">
        <f t="shared" si="64"/>
        <v>10</v>
      </c>
      <c r="MA23" s="306">
        <f t="shared" si="65"/>
        <v>10</v>
      </c>
      <c r="MB23" s="306">
        <f t="shared" si="66"/>
        <v>16</v>
      </c>
      <c r="MC23" s="306">
        <f t="shared" si="67"/>
        <v>28</v>
      </c>
      <c r="MD23" s="306">
        <f t="shared" si="68"/>
        <v>13</v>
      </c>
      <c r="ME23" s="306">
        <f t="shared" si="69"/>
        <v>2</v>
      </c>
      <c r="MF23" s="306">
        <f t="shared" si="70"/>
        <v>19</v>
      </c>
      <c r="MG23" s="306">
        <f t="shared" si="71"/>
        <v>23</v>
      </c>
      <c r="MH23" s="306">
        <f t="shared" si="72"/>
        <v>12</v>
      </c>
      <c r="MI23" s="306">
        <f t="shared" si="73"/>
        <v>12</v>
      </c>
      <c r="MJ23" s="306">
        <f t="shared" si="74"/>
        <v>3</v>
      </c>
      <c r="MK23" s="306">
        <f t="shared" si="75"/>
        <v>21</v>
      </c>
      <c r="ML23" s="306">
        <f t="shared" si="76"/>
        <v>17</v>
      </c>
      <c r="MM23" s="306">
        <f t="shared" si="77"/>
        <v>18</v>
      </c>
      <c r="MN23" s="306">
        <f t="shared" si="78"/>
        <v>18</v>
      </c>
      <c r="MO23" s="306">
        <f t="shared" si="79"/>
        <v>19</v>
      </c>
      <c r="MP23" s="306">
        <f t="shared" si="80"/>
        <v>19</v>
      </c>
      <c r="MQ23" s="306">
        <f t="shared" si="81"/>
        <v>21</v>
      </c>
      <c r="MR23" s="306">
        <f t="shared" si="82"/>
        <v>22</v>
      </c>
      <c r="MS23" s="306">
        <f t="shared" si="83"/>
        <v>25</v>
      </c>
      <c r="MT23" s="306">
        <f t="shared" si="84"/>
        <v>26</v>
      </c>
      <c r="MU23" s="306">
        <f t="shared" si="85"/>
        <v>28</v>
      </c>
      <c r="MV23" s="306">
        <f t="shared" si="86"/>
        <v>23</v>
      </c>
      <c r="MY23" s="306">
        <f t="shared" si="87"/>
        <v>5</v>
      </c>
      <c r="MZ23" s="306">
        <f t="shared" si="88"/>
        <v>29</v>
      </c>
      <c r="NA23" s="306">
        <f t="shared" si="89"/>
        <v>28</v>
      </c>
      <c r="NB23" s="306">
        <f t="shared" si="90"/>
        <v>13</v>
      </c>
      <c r="NC23" s="306">
        <f t="shared" si="91"/>
        <v>14</v>
      </c>
      <c r="ND23" s="306">
        <f t="shared" si="92"/>
        <v>28</v>
      </c>
      <c r="NE23" s="306">
        <f t="shared" si="93"/>
        <v>29</v>
      </c>
      <c r="NF23" s="306">
        <f t="shared" si="94"/>
        <v>29</v>
      </c>
      <c r="NG23" s="306">
        <f t="shared" si="95"/>
        <v>17</v>
      </c>
      <c r="NH23" s="306">
        <f t="shared" si="96"/>
        <v>26</v>
      </c>
      <c r="NI23" s="306">
        <f t="shared" si="97"/>
        <v>13</v>
      </c>
      <c r="NJ23" s="306">
        <f t="shared" si="98"/>
        <v>14</v>
      </c>
      <c r="NK23" s="306">
        <f t="shared" si="99"/>
        <v>16</v>
      </c>
      <c r="NL23" s="306">
        <f t="shared" si="100"/>
        <v>26</v>
      </c>
      <c r="NM23" s="306">
        <f t="shared" si="57"/>
        <v>3</v>
      </c>
      <c r="NN23" s="306">
        <f t="shared" si="101"/>
        <v>0</v>
      </c>
      <c r="NO23" s="306">
        <f t="shared" si="102"/>
        <v>0</v>
      </c>
      <c r="NU23" s="370" t="s">
        <v>142</v>
      </c>
      <c r="NV23" s="357"/>
      <c r="NX23" s="230" t="s">
        <v>6</v>
      </c>
      <c r="NY23" s="230" t="s">
        <v>8</v>
      </c>
      <c r="NZ23" s="230" t="s">
        <v>3</v>
      </c>
      <c r="OA23" s="246" t="s">
        <v>20</v>
      </c>
      <c r="OB23" s="149" t="s">
        <v>43</v>
      </c>
      <c r="OC23" s="246" t="s">
        <v>6</v>
      </c>
      <c r="OD23" s="246" t="s">
        <v>7</v>
      </c>
      <c r="OE23" s="246" t="s">
        <v>8</v>
      </c>
      <c r="OF23" s="371" t="s">
        <v>184</v>
      </c>
      <c r="OG23" s="129" t="s">
        <v>43</v>
      </c>
      <c r="OH23" s="246" t="s">
        <v>20</v>
      </c>
      <c r="OI23" s="246" t="s">
        <v>20</v>
      </c>
      <c r="OJ23" s="159" t="s">
        <v>12</v>
      </c>
      <c r="OK23" s="159" t="s">
        <v>185</v>
      </c>
      <c r="OL23" s="246" t="s">
        <v>4</v>
      </c>
      <c r="OM23" s="372" t="s">
        <v>186</v>
      </c>
      <c r="ON23" s="246" t="s">
        <v>43</v>
      </c>
      <c r="OO23" s="225" t="s">
        <v>187</v>
      </c>
      <c r="OP23" s="246" t="s">
        <v>43</v>
      </c>
      <c r="OQ23" s="246" t="s">
        <v>12</v>
      </c>
      <c r="OR23" s="159" t="s">
        <v>14</v>
      </c>
      <c r="OS23" s="159" t="s">
        <v>6</v>
      </c>
      <c r="OT23" s="246" t="s">
        <v>5</v>
      </c>
      <c r="OV23" s="375" t="s">
        <v>141</v>
      </c>
      <c r="OW23" s="246" t="s">
        <v>4</v>
      </c>
      <c r="OX23" s="246" t="s">
        <v>9</v>
      </c>
      <c r="OY23" s="240" t="s">
        <v>20</v>
      </c>
      <c r="OZ23" s="240" t="s">
        <v>14</v>
      </c>
      <c r="PA23" s="225" t="s">
        <v>194</v>
      </c>
      <c r="PB23" s="246" t="s">
        <v>6</v>
      </c>
      <c r="PC23" s="246" t="s">
        <v>15</v>
      </c>
      <c r="PD23" s="246" t="s">
        <v>6</v>
      </c>
      <c r="PE23" s="246" t="s">
        <v>10</v>
      </c>
      <c r="PF23" s="246" t="s">
        <v>9</v>
      </c>
      <c r="PG23" s="246" t="s">
        <v>5</v>
      </c>
      <c r="PH23" s="246" t="s">
        <v>9</v>
      </c>
      <c r="PI23" s="246" t="s">
        <v>7</v>
      </c>
      <c r="PJ23" s="246" t="s">
        <v>15</v>
      </c>
      <c r="PK23" s="382" t="s">
        <v>230</v>
      </c>
      <c r="PM23"/>
      <c r="PN23"/>
      <c r="PO23"/>
      <c r="PP23"/>
      <c r="PQ23"/>
      <c r="PR23"/>
      <c r="PS23"/>
      <c r="PT23"/>
      <c r="QN23" s="357"/>
      <c r="QO23" s="45" t="s">
        <v>94</v>
      </c>
      <c r="QP23" s="204" t="s">
        <v>195</v>
      </c>
      <c r="QQ23" s="166" t="s">
        <v>20</v>
      </c>
      <c r="QR23" s="166" t="s">
        <v>14</v>
      </c>
      <c r="QS23" s="318" t="s">
        <v>43</v>
      </c>
      <c r="QT23" s="159" t="s">
        <v>7</v>
      </c>
      <c r="QU23" s="182" t="s">
        <v>185</v>
      </c>
      <c r="QV23" s="230" t="s">
        <v>22</v>
      </c>
      <c r="QW23" s="131" t="s">
        <v>22</v>
      </c>
      <c r="QX23" s="216" t="s">
        <v>198</v>
      </c>
      <c r="QY23" s="246" t="s">
        <v>8</v>
      </c>
      <c r="QZ23" s="166" t="s">
        <v>11</v>
      </c>
      <c r="RA23" s="221" t="s">
        <v>2</v>
      </c>
      <c r="RB23" s="239" t="s">
        <v>210</v>
      </c>
      <c r="RC23" s="182" t="s">
        <v>8</v>
      </c>
      <c r="RD23" s="199" t="s">
        <v>2</v>
      </c>
      <c r="RE23" s="131" t="s">
        <v>2</v>
      </c>
      <c r="RF23" s="159" t="s">
        <v>7</v>
      </c>
      <c r="RG23" s="159" t="s">
        <v>8</v>
      </c>
      <c r="RH23" s="246" t="s">
        <v>43</v>
      </c>
      <c r="RI23" s="246" t="s">
        <v>43</v>
      </c>
      <c r="RJ23" s="221" t="s">
        <v>1</v>
      </c>
      <c r="RK23" s="182" t="s">
        <v>2</v>
      </c>
      <c r="RL23" s="131" t="s">
        <v>6</v>
      </c>
      <c r="RM23" s="246" t="s">
        <v>43</v>
      </c>
      <c r="RN23" s="324" t="s">
        <v>200</v>
      </c>
      <c r="RO23" s="124" t="s">
        <v>201</v>
      </c>
      <c r="RP23" s="182" t="s">
        <v>14</v>
      </c>
      <c r="RQ23" s="230" t="s">
        <v>5</v>
      </c>
      <c r="RR23" s="246" t="s">
        <v>43</v>
      </c>
      <c r="RS23" s="159" t="s">
        <v>10</v>
      </c>
      <c r="RT23" s="235" t="s">
        <v>21</v>
      </c>
      <c r="RU23" s="246" t="s">
        <v>43</v>
      </c>
      <c r="RV23" s="182" t="s">
        <v>7</v>
      </c>
      <c r="RW23" s="240" t="s">
        <v>3</v>
      </c>
      <c r="RX23" s="225" t="s">
        <v>255</v>
      </c>
      <c r="RY23" s="246" t="s">
        <v>43</v>
      </c>
      <c r="RZ23" s="182" t="s">
        <v>20</v>
      </c>
      <c r="SA23" s="190" t="s">
        <v>211</v>
      </c>
      <c r="SB23" s="246" t="s">
        <v>43</v>
      </c>
      <c r="SC23" s="254" t="s">
        <v>205</v>
      </c>
      <c r="SD23" s="166" t="s">
        <v>15</v>
      </c>
      <c r="SE23" s="159" t="s">
        <v>14</v>
      </c>
      <c r="SF23" s="318" t="s">
        <v>43</v>
      </c>
      <c r="SG23" s="246" t="s">
        <v>43</v>
      </c>
      <c r="SH23" s="254" t="s">
        <v>15</v>
      </c>
      <c r="SI23" s="131" t="s">
        <v>5</v>
      </c>
      <c r="SJ23" s="159" t="s">
        <v>277</v>
      </c>
      <c r="SK23" s="322">
        <f t="shared" si="103"/>
        <v>32.762936385882213</v>
      </c>
      <c r="SM23" s="362">
        <v>10</v>
      </c>
      <c r="SO23"/>
      <c r="SP23"/>
      <c r="TP23" s="357"/>
      <c r="TQ23" s="45" t="s">
        <v>94</v>
      </c>
      <c r="TR23" s="306">
        <f t="shared" si="104"/>
        <v>31</v>
      </c>
      <c r="TS23" s="306">
        <f t="shared" si="105"/>
        <v>23</v>
      </c>
      <c r="TT23" s="306">
        <f t="shared" si="106"/>
        <v>20</v>
      </c>
      <c r="TU23" s="306">
        <f t="shared" si="107"/>
        <v>18</v>
      </c>
      <c r="TV23" s="306">
        <f t="shared" si="108"/>
        <v>6</v>
      </c>
      <c r="TW23" s="306">
        <f t="shared" si="109"/>
        <v>24</v>
      </c>
      <c r="TX23" s="306">
        <f t="shared" si="110"/>
        <v>5</v>
      </c>
      <c r="TY23" s="306">
        <f t="shared" si="111"/>
        <v>33</v>
      </c>
      <c r="TZ23" s="306">
        <f t="shared" si="112"/>
        <v>33</v>
      </c>
      <c r="UA23" s="306">
        <f t="shared" si="113"/>
        <v>24</v>
      </c>
      <c r="UB23" s="306">
        <f t="shared" si="114"/>
        <v>19</v>
      </c>
      <c r="UC23" s="306">
        <f t="shared" si="115"/>
        <v>23</v>
      </c>
      <c r="UD23" s="306">
        <f t="shared" si="116"/>
        <v>9</v>
      </c>
      <c r="UE23" s="306">
        <f t="shared" si="117"/>
        <v>26</v>
      </c>
      <c r="UF23" s="306">
        <f t="shared" si="118"/>
        <v>24</v>
      </c>
      <c r="UG23" s="306">
        <f t="shared" si="119"/>
        <v>13</v>
      </c>
      <c r="UH23" s="306">
        <f t="shared" si="120"/>
        <v>28</v>
      </c>
      <c r="UI23" s="306">
        <f t="shared" si="121"/>
        <v>32</v>
      </c>
      <c r="UJ23" s="306">
        <f t="shared" si="122"/>
        <v>26</v>
      </c>
      <c r="UK23" s="306">
        <f t="shared" si="123"/>
        <v>31</v>
      </c>
      <c r="UL23" s="306">
        <f t="shared" si="124"/>
        <v>3</v>
      </c>
      <c r="UM23" s="306">
        <f t="shared" si="125"/>
        <v>28</v>
      </c>
      <c r="UN23" s="306">
        <f t="shared" si="126"/>
        <v>18</v>
      </c>
      <c r="UO23" s="306">
        <f t="shared" si="127"/>
        <v>23</v>
      </c>
      <c r="UP23" s="306">
        <f t="shared" si="128"/>
        <v>11</v>
      </c>
      <c r="UQ23" s="306">
        <f t="shared" si="129"/>
        <v>30</v>
      </c>
      <c r="UR23" s="306">
        <f t="shared" si="130"/>
        <v>16</v>
      </c>
      <c r="US23" s="306">
        <f t="shared" si="131"/>
        <v>22</v>
      </c>
      <c r="UT23" s="306">
        <f t="shared" si="132"/>
        <v>30</v>
      </c>
      <c r="UU23" s="306">
        <f t="shared" si="133"/>
        <v>22</v>
      </c>
      <c r="UV23" s="306">
        <f t="shared" si="134"/>
        <v>31</v>
      </c>
      <c r="UW23" s="306">
        <f t="shared" si="135"/>
        <v>33</v>
      </c>
      <c r="UX23" s="306">
        <f t="shared" si="136"/>
        <v>32</v>
      </c>
      <c r="UY23" s="306">
        <f t="shared" si="137"/>
        <v>19</v>
      </c>
      <c r="UZ23" s="306">
        <f t="shared" si="138"/>
        <v>5</v>
      </c>
      <c r="VA23" s="306">
        <f t="shared" si="139"/>
        <v>5</v>
      </c>
      <c r="VB23" s="306">
        <f t="shared" si="140"/>
        <v>8</v>
      </c>
      <c r="VC23" s="306">
        <f t="shared" si="141"/>
        <v>13</v>
      </c>
      <c r="VD23" s="306">
        <f t="shared" si="142"/>
        <v>13</v>
      </c>
      <c r="VE23" s="306">
        <f t="shared" si="143"/>
        <v>10</v>
      </c>
      <c r="VF23" s="306">
        <f t="shared" si="144"/>
        <v>19</v>
      </c>
      <c r="VG23" s="306">
        <f t="shared" si="145"/>
        <v>23</v>
      </c>
      <c r="VH23" s="306">
        <f t="shared" si="146"/>
        <v>7</v>
      </c>
      <c r="VI23" s="306">
        <f t="shared" si="147"/>
        <v>28</v>
      </c>
      <c r="VJ23" s="306">
        <f t="shared" si="148"/>
        <v>30</v>
      </c>
      <c r="VK23" s="306">
        <f t="shared" si="149"/>
        <v>32</v>
      </c>
      <c r="VL23" s="306">
        <f t="shared" si="150"/>
        <v>5</v>
      </c>
      <c r="VN23" s="306">
        <f t="shared" si="151"/>
        <v>0</v>
      </c>
      <c r="WR23" s="357"/>
      <c r="WS23" s="45" t="s">
        <v>94</v>
      </c>
      <c r="WT23" s="225" t="s">
        <v>195</v>
      </c>
      <c r="WU23" s="246" t="s">
        <v>20</v>
      </c>
      <c r="WV23" s="246" t="s">
        <v>14</v>
      </c>
      <c r="WW23" s="318" t="s">
        <v>43</v>
      </c>
      <c r="WX23" s="246" t="s">
        <v>7</v>
      </c>
      <c r="WY23" s="246" t="s">
        <v>185</v>
      </c>
      <c r="WZ23" s="246" t="s">
        <v>22</v>
      </c>
      <c r="XA23" s="246" t="s">
        <v>22</v>
      </c>
      <c r="XB23" s="225" t="s">
        <v>198</v>
      </c>
      <c r="XC23" s="240" t="s">
        <v>8</v>
      </c>
      <c r="XD23" s="240" t="s">
        <v>11</v>
      </c>
      <c r="XE23" s="240" t="s">
        <v>2</v>
      </c>
      <c r="XF23" s="225" t="s">
        <v>210</v>
      </c>
      <c r="XG23" s="163" t="s">
        <v>8</v>
      </c>
      <c r="XH23" s="163" t="s">
        <v>2</v>
      </c>
      <c r="XI23" s="166" t="s">
        <v>2</v>
      </c>
      <c r="XJ23" s="166" t="s">
        <v>7</v>
      </c>
      <c r="XK23" s="166" t="s">
        <v>8</v>
      </c>
      <c r="XL23" s="246" t="s">
        <v>43</v>
      </c>
      <c r="XM23" s="246" t="s">
        <v>43</v>
      </c>
      <c r="XN23" s="240" t="s">
        <v>1</v>
      </c>
      <c r="XO23" s="240" t="s">
        <v>2</v>
      </c>
      <c r="XP23" s="246" t="s">
        <v>6</v>
      </c>
      <c r="XQ23" s="246" t="s">
        <v>43</v>
      </c>
      <c r="XR23" s="337" t="s">
        <v>200</v>
      </c>
      <c r="XS23" s="225" t="s">
        <v>201</v>
      </c>
      <c r="XT23" s="159" t="s">
        <v>14</v>
      </c>
      <c r="XU23" s="159" t="s">
        <v>5</v>
      </c>
      <c r="XV23" s="159" t="s">
        <v>43</v>
      </c>
      <c r="XW23" s="159" t="s">
        <v>10</v>
      </c>
      <c r="XX23" s="225" t="s">
        <v>21</v>
      </c>
      <c r="XY23" s="246" t="s">
        <v>43</v>
      </c>
      <c r="XZ23" s="240" t="s">
        <v>7</v>
      </c>
      <c r="YA23" s="240" t="s">
        <v>3</v>
      </c>
      <c r="YB23" s="225" t="s">
        <v>255</v>
      </c>
      <c r="YC23" s="246" t="s">
        <v>43</v>
      </c>
      <c r="YD23" s="246" t="s">
        <v>20</v>
      </c>
      <c r="YE23" s="225" t="s">
        <v>211</v>
      </c>
      <c r="YF23" s="246" t="s">
        <v>43</v>
      </c>
      <c r="YG23" s="246" t="s">
        <v>205</v>
      </c>
      <c r="YH23" s="246" t="s">
        <v>15</v>
      </c>
      <c r="YI23" s="246" t="s">
        <v>14</v>
      </c>
      <c r="YJ23" s="318" t="s">
        <v>43</v>
      </c>
      <c r="YK23" s="246" t="s">
        <v>43</v>
      </c>
      <c r="YL23" s="246" t="s">
        <v>15</v>
      </c>
      <c r="YM23" s="246" t="s">
        <v>5</v>
      </c>
      <c r="YN23" s="246" t="s">
        <v>277</v>
      </c>
      <c r="AFZ23" s="307"/>
    </row>
    <row r="24" spans="1:858" s="306" customFormat="1" ht="20.65" x14ac:dyDescent="0.65">
      <c r="A24" s="70">
        <v>15</v>
      </c>
      <c r="B24" s="305"/>
      <c r="C24" s="45" t="s">
        <v>100</v>
      </c>
      <c r="D24" s="45" t="s">
        <v>101</v>
      </c>
      <c r="E24" s="305"/>
      <c r="F24" s="128">
        <v>8229.5260722360181</v>
      </c>
      <c r="X24" s="355"/>
      <c r="AA24" s="54" t="s">
        <v>52</v>
      </c>
      <c r="AB24" s="305" t="s">
        <v>31</v>
      </c>
      <c r="AC24" s="183" t="s">
        <v>1</v>
      </c>
      <c r="AD24" s="147" t="s">
        <v>2</v>
      </c>
      <c r="AE24" s="132" t="s">
        <v>3</v>
      </c>
      <c r="AF24" s="229" t="s">
        <v>6</v>
      </c>
      <c r="AG24" s="258" t="s">
        <v>5</v>
      </c>
      <c r="AH24" s="318" t="s">
        <v>43</v>
      </c>
      <c r="AI24" s="210" t="s">
        <v>22</v>
      </c>
      <c r="AJ24" s="253" t="s">
        <v>2</v>
      </c>
      <c r="AK24" s="215" t="s">
        <v>7</v>
      </c>
      <c r="AL24" s="245" t="s">
        <v>8</v>
      </c>
      <c r="AM24" s="217" t="s">
        <v>24</v>
      </c>
      <c r="AN24" s="336" t="s">
        <v>246</v>
      </c>
      <c r="AO24" s="183" t="s">
        <v>3</v>
      </c>
      <c r="AP24" s="247" t="s">
        <v>250</v>
      </c>
      <c r="AQ24" s="232" t="s">
        <v>27</v>
      </c>
      <c r="AR24" s="318" t="s">
        <v>43</v>
      </c>
      <c r="AS24" s="146" t="s">
        <v>9</v>
      </c>
      <c r="AT24" s="253" t="s">
        <v>1</v>
      </c>
      <c r="AU24" s="150" t="s">
        <v>20</v>
      </c>
      <c r="AV24" s="147" t="s">
        <v>7</v>
      </c>
      <c r="AW24" s="210" t="s">
        <v>3</v>
      </c>
      <c r="AX24" s="135" t="s">
        <v>251</v>
      </c>
      <c r="AY24" s="174" t="s">
        <v>249</v>
      </c>
      <c r="AZ24" s="229" t="s">
        <v>43</v>
      </c>
      <c r="BA24" s="229" t="s">
        <v>43</v>
      </c>
      <c r="BB24" s="183" t="s">
        <v>7</v>
      </c>
      <c r="BC24" s="174" t="s">
        <v>13</v>
      </c>
      <c r="BD24" s="318" t="s">
        <v>43</v>
      </c>
      <c r="BE24" s="215" t="s">
        <v>10</v>
      </c>
      <c r="BF24" s="210" t="s">
        <v>2</v>
      </c>
      <c r="BG24" s="318" t="s">
        <v>43</v>
      </c>
      <c r="BH24" s="318" t="s">
        <v>43</v>
      </c>
      <c r="BI24" s="210" t="s">
        <v>22</v>
      </c>
      <c r="BJ24" s="183" t="s">
        <v>5</v>
      </c>
      <c r="BK24" s="183" t="s">
        <v>11</v>
      </c>
      <c r="BL24" s="224" t="s">
        <v>245</v>
      </c>
      <c r="BM24" s="192" t="s">
        <v>5</v>
      </c>
      <c r="BN24" s="258" t="s">
        <v>15</v>
      </c>
      <c r="BO24" s="309"/>
      <c r="BP24" s="319">
        <f t="shared" si="59"/>
        <v>20.32993373612301</v>
      </c>
      <c r="BQ24" s="320" t="s">
        <v>64</v>
      </c>
      <c r="BR24" s="143" t="s">
        <v>2</v>
      </c>
      <c r="BS24" s="268" t="s">
        <v>15</v>
      </c>
      <c r="BT24" s="143" t="s">
        <v>14</v>
      </c>
      <c r="BU24" s="227" t="s">
        <v>43</v>
      </c>
      <c r="BV24" s="189" t="s">
        <v>20</v>
      </c>
      <c r="BW24" s="193" t="s">
        <v>44</v>
      </c>
      <c r="BX24" s="227" t="s">
        <v>43</v>
      </c>
      <c r="BY24" s="227" t="s">
        <v>43</v>
      </c>
      <c r="BZ24" s="177" t="s">
        <v>8</v>
      </c>
      <c r="CA24" s="227" t="s">
        <v>43</v>
      </c>
      <c r="CB24" s="177" t="s">
        <v>8</v>
      </c>
      <c r="CC24" s="227" t="s">
        <v>43</v>
      </c>
      <c r="CD24" s="143" t="s">
        <v>45</v>
      </c>
      <c r="CE24" s="227" t="s">
        <v>43</v>
      </c>
      <c r="CF24" s="161" t="s">
        <v>14</v>
      </c>
      <c r="CG24" s="193" t="s">
        <v>10</v>
      </c>
      <c r="CH24" s="227" t="s">
        <v>43</v>
      </c>
      <c r="CI24" s="193" t="s">
        <v>10</v>
      </c>
      <c r="CJ24" s="70">
        <v>49</v>
      </c>
      <c r="DG24" s="357"/>
      <c r="DI24" s="54" t="s">
        <v>52</v>
      </c>
      <c r="DJ24" s="305" t="s">
        <v>31</v>
      </c>
      <c r="DK24" s="363">
        <f t="shared" si="0"/>
        <v>7</v>
      </c>
      <c r="DL24" s="363">
        <f t="shared" si="1"/>
        <v>5</v>
      </c>
      <c r="DM24" s="363">
        <f t="shared" si="2"/>
        <v>7</v>
      </c>
      <c r="DN24" s="363">
        <f t="shared" si="3"/>
        <v>2</v>
      </c>
      <c r="DO24" s="363">
        <f t="shared" si="4"/>
        <v>7</v>
      </c>
      <c r="DP24" s="363">
        <f t="shared" si="5"/>
        <v>2</v>
      </c>
      <c r="DQ24" s="363">
        <f t="shared" si="6"/>
        <v>4</v>
      </c>
      <c r="DR24" s="363">
        <f t="shared" si="7"/>
        <v>7</v>
      </c>
      <c r="DS24" s="363">
        <f t="shared" si="8"/>
        <v>2</v>
      </c>
      <c r="DT24" s="363">
        <f t="shared" si="9"/>
        <v>2</v>
      </c>
      <c r="DU24" s="363">
        <f t="shared" si="10"/>
        <v>7</v>
      </c>
      <c r="DV24" s="363">
        <f t="shared" si="11"/>
        <v>7</v>
      </c>
      <c r="DW24" s="363">
        <f t="shared" si="12"/>
        <v>7</v>
      </c>
      <c r="DX24" s="363">
        <f t="shared" si="13"/>
        <v>7</v>
      </c>
      <c r="DY24" s="363">
        <f t="shared" si="14"/>
        <v>7</v>
      </c>
      <c r="DZ24" s="363">
        <f t="shared" si="15"/>
        <v>4</v>
      </c>
      <c r="EA24" s="363">
        <f t="shared" si="16"/>
        <v>7</v>
      </c>
      <c r="EB24" s="363">
        <f t="shared" si="17"/>
        <v>1</v>
      </c>
      <c r="EC24" s="363">
        <f t="shared" si="18"/>
        <v>7</v>
      </c>
      <c r="ED24" s="363">
        <f t="shared" si="19"/>
        <v>7</v>
      </c>
      <c r="EE24" s="363">
        <f t="shared" si="20"/>
        <v>5</v>
      </c>
      <c r="EF24" s="363">
        <f t="shared" si="21"/>
        <v>2</v>
      </c>
      <c r="EG24" s="363">
        <f t="shared" si="22"/>
        <v>2</v>
      </c>
      <c r="EH24" s="363">
        <f t="shared" si="23"/>
        <v>2</v>
      </c>
      <c r="EI24" s="363">
        <f t="shared" si="24"/>
        <v>2</v>
      </c>
      <c r="EJ24" s="363">
        <f t="shared" si="25"/>
        <v>2</v>
      </c>
      <c r="EK24" s="363">
        <f t="shared" si="26"/>
        <v>2</v>
      </c>
      <c r="EL24" s="363">
        <f t="shared" si="27"/>
        <v>4</v>
      </c>
      <c r="EM24" s="363">
        <f t="shared" si="28"/>
        <v>5</v>
      </c>
      <c r="EN24" s="363">
        <f t="shared" si="29"/>
        <v>4</v>
      </c>
      <c r="EO24" s="363">
        <f t="shared" si="30"/>
        <v>2</v>
      </c>
      <c r="EP24" s="363">
        <f t="shared" si="31"/>
        <v>2</v>
      </c>
      <c r="EQ24" s="363">
        <f t="shared" si="32"/>
        <v>1</v>
      </c>
      <c r="ER24" s="363">
        <f t="shared" si="33"/>
        <v>5</v>
      </c>
      <c r="ES24" s="363">
        <f t="shared" si="34"/>
        <v>7</v>
      </c>
      <c r="ET24" s="363">
        <f t="shared" si="35"/>
        <v>7</v>
      </c>
      <c r="EU24" s="363">
        <f t="shared" si="36"/>
        <v>7</v>
      </c>
      <c r="EV24" s="363">
        <f t="shared" si="37"/>
        <v>7</v>
      </c>
      <c r="EW24" s="383" t="s">
        <v>64</v>
      </c>
      <c r="EX24" s="363">
        <f t="shared" si="38"/>
        <v>6</v>
      </c>
      <c r="EY24" s="363">
        <f t="shared" si="39"/>
        <v>7</v>
      </c>
      <c r="EZ24" s="363">
        <f t="shared" si="40"/>
        <v>5</v>
      </c>
      <c r="FA24" s="363">
        <f t="shared" si="41"/>
        <v>7</v>
      </c>
      <c r="FB24" s="363">
        <f t="shared" si="42"/>
        <v>7</v>
      </c>
      <c r="FC24" s="363">
        <f t="shared" si="43"/>
        <v>7</v>
      </c>
      <c r="FD24" s="363">
        <f t="shared" si="44"/>
        <v>7</v>
      </c>
      <c r="FE24" s="363">
        <f t="shared" si="45"/>
        <v>7</v>
      </c>
      <c r="FF24" s="363">
        <f t="shared" si="46"/>
        <v>7</v>
      </c>
      <c r="FG24" s="363">
        <f t="shared" si="47"/>
        <v>7</v>
      </c>
      <c r="FH24" s="363">
        <f t="shared" si="48"/>
        <v>7</v>
      </c>
      <c r="FI24" s="363">
        <f t="shared" si="49"/>
        <v>7</v>
      </c>
      <c r="FJ24" s="363">
        <f t="shared" si="50"/>
        <v>7</v>
      </c>
      <c r="FK24" s="363">
        <f t="shared" si="51"/>
        <v>7</v>
      </c>
      <c r="FL24" s="363">
        <f t="shared" si="52"/>
        <v>6</v>
      </c>
      <c r="FM24" s="363">
        <f t="shared" si="53"/>
        <v>7</v>
      </c>
      <c r="FN24" s="363">
        <f t="shared" si="54"/>
        <v>7</v>
      </c>
      <c r="FO24" s="363">
        <f t="shared" si="55"/>
        <v>7</v>
      </c>
      <c r="FP24" s="363">
        <f t="shared" si="60"/>
        <v>0</v>
      </c>
      <c r="FQ24" s="363">
        <f t="shared" si="61"/>
        <v>0</v>
      </c>
      <c r="FR24" s="309">
        <f t="shared" si="62"/>
        <v>0</v>
      </c>
      <c r="GM24" s="357"/>
      <c r="GO24" s="54" t="s">
        <v>52</v>
      </c>
      <c r="GP24" s="305" t="s">
        <v>31</v>
      </c>
      <c r="GQ24" s="244" t="s">
        <v>1</v>
      </c>
      <c r="GR24" s="244" t="s">
        <v>2</v>
      </c>
      <c r="GS24" s="244" t="s">
        <v>3</v>
      </c>
      <c r="GT24" s="244" t="s">
        <v>6</v>
      </c>
      <c r="GU24" s="244" t="s">
        <v>5</v>
      </c>
      <c r="GV24" s="318" t="s">
        <v>43</v>
      </c>
      <c r="GW24" s="244" t="s">
        <v>22</v>
      </c>
      <c r="GX24" s="244" t="s">
        <v>2</v>
      </c>
      <c r="GY24" s="244" t="s">
        <v>7</v>
      </c>
      <c r="GZ24" s="223" t="s">
        <v>8</v>
      </c>
      <c r="HA24" s="366" t="s">
        <v>24</v>
      </c>
      <c r="HB24" s="380" t="s">
        <v>323</v>
      </c>
      <c r="HC24" s="244" t="s">
        <v>3</v>
      </c>
      <c r="HD24" s="366" t="s">
        <v>327</v>
      </c>
      <c r="HE24" s="366" t="s">
        <v>27</v>
      </c>
      <c r="HF24" s="318" t="s">
        <v>43</v>
      </c>
      <c r="HG24" s="244" t="s">
        <v>9</v>
      </c>
      <c r="HH24" s="244" t="s">
        <v>1</v>
      </c>
      <c r="HI24" s="244" t="s">
        <v>20</v>
      </c>
      <c r="HJ24" s="244" t="s">
        <v>7</v>
      </c>
      <c r="HK24" s="244" t="s">
        <v>3</v>
      </c>
      <c r="HL24" s="366" t="s">
        <v>328</v>
      </c>
      <c r="HM24" s="366" t="s">
        <v>326</v>
      </c>
      <c r="HN24" s="244" t="s">
        <v>43</v>
      </c>
      <c r="HO24" s="244" t="s">
        <v>43</v>
      </c>
      <c r="HP24" s="244" t="s">
        <v>7</v>
      </c>
      <c r="HQ24" s="366" t="s">
        <v>13</v>
      </c>
      <c r="HR24" s="318" t="s">
        <v>43</v>
      </c>
      <c r="HS24" s="244" t="s">
        <v>10</v>
      </c>
      <c r="HT24" s="244" t="s">
        <v>2</v>
      </c>
      <c r="HU24" s="318" t="s">
        <v>43</v>
      </c>
      <c r="HV24" s="318" t="s">
        <v>43</v>
      </c>
      <c r="HW24" s="244" t="s">
        <v>22</v>
      </c>
      <c r="HX24" s="244" t="s">
        <v>5</v>
      </c>
      <c r="HY24" s="244" t="s">
        <v>11</v>
      </c>
      <c r="HZ24" s="366" t="s">
        <v>319</v>
      </c>
      <c r="IA24" s="244" t="s">
        <v>5</v>
      </c>
      <c r="IB24" s="244" t="s">
        <v>15</v>
      </c>
      <c r="IC24" s="383" t="s">
        <v>64</v>
      </c>
      <c r="ID24" s="173" t="s">
        <v>2</v>
      </c>
      <c r="IE24" s="173" t="s">
        <v>15</v>
      </c>
      <c r="IF24" s="173" t="s">
        <v>14</v>
      </c>
      <c r="IG24" s="173" t="s">
        <v>43</v>
      </c>
      <c r="IH24" s="173" t="s">
        <v>20</v>
      </c>
      <c r="II24" s="173" t="s">
        <v>44</v>
      </c>
      <c r="IJ24" s="173" t="s">
        <v>43</v>
      </c>
      <c r="IK24" s="173" t="s">
        <v>43</v>
      </c>
      <c r="IL24" s="173" t="s">
        <v>8</v>
      </c>
      <c r="IM24" s="173" t="s">
        <v>43</v>
      </c>
      <c r="IN24" s="173" t="s">
        <v>8</v>
      </c>
      <c r="IO24" s="173" t="s">
        <v>43</v>
      </c>
      <c r="IP24" s="173" t="s">
        <v>45</v>
      </c>
      <c r="IQ24" s="173" t="s">
        <v>43</v>
      </c>
      <c r="IR24" s="173" t="s">
        <v>14</v>
      </c>
      <c r="IS24" s="173" t="s">
        <v>10</v>
      </c>
      <c r="IT24" s="173" t="s">
        <v>43</v>
      </c>
      <c r="IU24" s="173" t="s">
        <v>10</v>
      </c>
      <c r="JN24" s="357"/>
      <c r="JO24" s="369">
        <v>77</v>
      </c>
      <c r="JP24" s="305" t="s">
        <v>138</v>
      </c>
      <c r="JQ24" s="332" t="s">
        <v>150</v>
      </c>
      <c r="JR24" s="67" t="s">
        <v>151</v>
      </c>
      <c r="JS24" s="159" t="s">
        <v>7</v>
      </c>
      <c r="JT24" s="246" t="s">
        <v>43</v>
      </c>
      <c r="JU24" s="109" t="s">
        <v>6</v>
      </c>
      <c r="JV24" s="155" t="s">
        <v>20</v>
      </c>
      <c r="JW24" s="112" t="s">
        <v>188</v>
      </c>
      <c r="JX24" s="254" t="s">
        <v>8</v>
      </c>
      <c r="JY24" s="221" t="s">
        <v>7</v>
      </c>
      <c r="JZ24" s="159" t="s">
        <v>8</v>
      </c>
      <c r="KA24" s="111" t="s">
        <v>189</v>
      </c>
      <c r="KB24" s="115" t="s">
        <v>192</v>
      </c>
      <c r="KC24" s="246" t="s">
        <v>43</v>
      </c>
      <c r="KD24" s="246" t="s">
        <v>43</v>
      </c>
      <c r="KE24" s="159" t="s">
        <v>6</v>
      </c>
      <c r="KF24" s="254" t="s">
        <v>20</v>
      </c>
      <c r="KG24" s="125" t="s">
        <v>4</v>
      </c>
      <c r="KH24" s="118" t="s">
        <v>186</v>
      </c>
      <c r="KI24" s="246" t="s">
        <v>43</v>
      </c>
      <c r="KJ24" s="190" t="s">
        <v>187</v>
      </c>
      <c r="KK24" s="246" t="s">
        <v>43</v>
      </c>
      <c r="KL24" s="159" t="s">
        <v>12</v>
      </c>
      <c r="KM24" s="159" t="s">
        <v>14</v>
      </c>
      <c r="KN24" s="182" t="s">
        <v>6</v>
      </c>
      <c r="KO24" s="182" t="s">
        <v>5</v>
      </c>
      <c r="KP24" s="322">
        <f t="shared" si="63"/>
        <v>217.53462971489921</v>
      </c>
      <c r="KR24" s="329" t="s">
        <v>138</v>
      </c>
      <c r="KS24" s="159" t="s">
        <v>10</v>
      </c>
      <c r="KT24" s="170" t="s">
        <v>9</v>
      </c>
      <c r="KU24" s="221" t="s">
        <v>20</v>
      </c>
      <c r="KV24" s="117" t="s">
        <v>14</v>
      </c>
      <c r="KW24" s="124" t="s">
        <v>194</v>
      </c>
      <c r="KX24" s="240" t="s">
        <v>6</v>
      </c>
      <c r="KY24" s="240" t="s">
        <v>15</v>
      </c>
      <c r="KZ24" s="240" t="s">
        <v>6</v>
      </c>
      <c r="LA24" s="155" t="s">
        <v>10</v>
      </c>
      <c r="LB24" s="166" t="s">
        <v>9</v>
      </c>
      <c r="LC24" s="117" t="s">
        <v>5</v>
      </c>
      <c r="LD24" s="159" t="s">
        <v>9</v>
      </c>
      <c r="LE24" s="155" t="s">
        <v>7</v>
      </c>
      <c r="LF24" s="166" t="s">
        <v>15</v>
      </c>
      <c r="LG24" s="123" t="s">
        <v>229</v>
      </c>
      <c r="LH24" s="358">
        <v>11</v>
      </c>
      <c r="LW24" s="369">
        <v>77</v>
      </c>
      <c r="LX24" s="317" t="s">
        <v>138</v>
      </c>
      <c r="LY24" s="379" t="s">
        <v>150</v>
      </c>
      <c r="LZ24" s="306">
        <f t="shared" si="64"/>
        <v>20</v>
      </c>
      <c r="MA24" s="306">
        <f t="shared" si="65"/>
        <v>13</v>
      </c>
      <c r="MB24" s="306">
        <f t="shared" si="66"/>
        <v>14</v>
      </c>
      <c r="MC24" s="306">
        <f t="shared" si="67"/>
        <v>28</v>
      </c>
      <c r="MD24" s="306">
        <f t="shared" si="68"/>
        <v>17</v>
      </c>
      <c r="ME24" s="306">
        <f t="shared" si="69"/>
        <v>21</v>
      </c>
      <c r="MF24" s="306">
        <f t="shared" si="70"/>
        <v>19</v>
      </c>
      <c r="MG24" s="306">
        <f t="shared" si="71"/>
        <v>23</v>
      </c>
      <c r="MH24" s="306">
        <f t="shared" si="72"/>
        <v>18</v>
      </c>
      <c r="MI24" s="306">
        <f t="shared" si="73"/>
        <v>9</v>
      </c>
      <c r="MJ24" s="306">
        <f t="shared" si="74"/>
        <v>18</v>
      </c>
      <c r="MK24" s="306">
        <f t="shared" si="75"/>
        <v>9</v>
      </c>
      <c r="ML24" s="306">
        <f t="shared" si="76"/>
        <v>12</v>
      </c>
      <c r="MM24" s="306">
        <f t="shared" si="77"/>
        <v>10</v>
      </c>
      <c r="MN24" s="306">
        <f t="shared" si="78"/>
        <v>18</v>
      </c>
      <c r="MO24" s="306">
        <f t="shared" si="79"/>
        <v>19</v>
      </c>
      <c r="MP24" s="306">
        <f t="shared" si="80"/>
        <v>19</v>
      </c>
      <c r="MQ24" s="306">
        <f t="shared" si="81"/>
        <v>21</v>
      </c>
      <c r="MR24" s="306">
        <f t="shared" si="82"/>
        <v>22</v>
      </c>
      <c r="MS24" s="306">
        <f t="shared" si="83"/>
        <v>25</v>
      </c>
      <c r="MT24" s="306">
        <f t="shared" si="84"/>
        <v>26</v>
      </c>
      <c r="MU24" s="306">
        <f t="shared" si="85"/>
        <v>28</v>
      </c>
      <c r="MV24" s="306">
        <f t="shared" si="86"/>
        <v>23</v>
      </c>
      <c r="MY24" s="306">
        <f t="shared" si="87"/>
        <v>25</v>
      </c>
      <c r="MZ24" s="306">
        <f t="shared" si="88"/>
        <v>29</v>
      </c>
      <c r="NA24" s="306">
        <f t="shared" si="89"/>
        <v>28</v>
      </c>
      <c r="NB24" s="306">
        <f t="shared" si="90"/>
        <v>13</v>
      </c>
      <c r="NC24" s="306">
        <f t="shared" si="91"/>
        <v>14</v>
      </c>
      <c r="ND24" s="306">
        <f t="shared" si="92"/>
        <v>28</v>
      </c>
      <c r="NE24" s="306">
        <f t="shared" si="93"/>
        <v>29</v>
      </c>
      <c r="NF24" s="306">
        <f t="shared" si="94"/>
        <v>29</v>
      </c>
      <c r="NG24" s="306">
        <f t="shared" si="95"/>
        <v>17</v>
      </c>
      <c r="NH24" s="306">
        <f t="shared" si="96"/>
        <v>26</v>
      </c>
      <c r="NI24" s="306">
        <f t="shared" si="97"/>
        <v>13</v>
      </c>
      <c r="NJ24" s="306">
        <f t="shared" si="98"/>
        <v>14</v>
      </c>
      <c r="NK24" s="306">
        <f t="shared" si="99"/>
        <v>16</v>
      </c>
      <c r="NL24" s="306">
        <f t="shared" si="100"/>
        <v>26</v>
      </c>
      <c r="NM24" s="306">
        <f t="shared" si="57"/>
        <v>10</v>
      </c>
      <c r="NN24" s="306">
        <f t="shared" si="101"/>
        <v>0</v>
      </c>
      <c r="NO24" s="306">
        <f t="shared" si="102"/>
        <v>0</v>
      </c>
      <c r="NU24" s="379" t="s">
        <v>150</v>
      </c>
      <c r="NV24" s="357"/>
      <c r="NX24" s="246" t="s">
        <v>7</v>
      </c>
      <c r="NY24" s="246" t="s">
        <v>43</v>
      </c>
      <c r="NZ24" s="246" t="s">
        <v>6</v>
      </c>
      <c r="OA24" s="246" t="s">
        <v>20</v>
      </c>
      <c r="OB24" s="372" t="s">
        <v>188</v>
      </c>
      <c r="OC24" s="230" t="s">
        <v>8</v>
      </c>
      <c r="OD24" s="230" t="s">
        <v>7</v>
      </c>
      <c r="OE24" s="230" t="s">
        <v>8</v>
      </c>
      <c r="OF24" s="371" t="s">
        <v>189</v>
      </c>
      <c r="OG24" s="372" t="s">
        <v>192</v>
      </c>
      <c r="OH24" s="246" t="s">
        <v>43</v>
      </c>
      <c r="OI24" s="246" t="s">
        <v>43</v>
      </c>
      <c r="OJ24" s="246" t="s">
        <v>6</v>
      </c>
      <c r="OK24" s="246" t="s">
        <v>20</v>
      </c>
      <c r="OL24" s="246" t="s">
        <v>4</v>
      </c>
      <c r="OM24" s="372" t="s">
        <v>186</v>
      </c>
      <c r="ON24" s="246" t="s">
        <v>43</v>
      </c>
      <c r="OO24" s="225" t="s">
        <v>187</v>
      </c>
      <c r="OP24" s="246" t="s">
        <v>43</v>
      </c>
      <c r="OQ24" s="246" t="s">
        <v>12</v>
      </c>
      <c r="OR24" s="159" t="s">
        <v>14</v>
      </c>
      <c r="OS24" s="159" t="s">
        <v>6</v>
      </c>
      <c r="OT24" s="246" t="s">
        <v>5</v>
      </c>
      <c r="OV24" s="375" t="s">
        <v>138</v>
      </c>
      <c r="OW24" s="246" t="s">
        <v>10</v>
      </c>
      <c r="OX24" s="246" t="s">
        <v>9</v>
      </c>
      <c r="OY24" s="240" t="s">
        <v>20</v>
      </c>
      <c r="OZ24" s="240" t="s">
        <v>14</v>
      </c>
      <c r="PA24" s="225" t="s">
        <v>194</v>
      </c>
      <c r="PB24" s="246" t="s">
        <v>6</v>
      </c>
      <c r="PC24" s="246" t="s">
        <v>15</v>
      </c>
      <c r="PD24" s="246" t="s">
        <v>6</v>
      </c>
      <c r="PE24" s="246" t="s">
        <v>10</v>
      </c>
      <c r="PF24" s="246" t="s">
        <v>9</v>
      </c>
      <c r="PG24" s="246" t="s">
        <v>5</v>
      </c>
      <c r="PH24" s="246" t="s">
        <v>9</v>
      </c>
      <c r="PI24" s="246" t="s">
        <v>7</v>
      </c>
      <c r="PJ24" s="246" t="s">
        <v>15</v>
      </c>
      <c r="PK24" s="376" t="s">
        <v>229</v>
      </c>
      <c r="PM24"/>
      <c r="PN24"/>
      <c r="PO24"/>
      <c r="PP24"/>
      <c r="PQ24"/>
      <c r="PR24"/>
      <c r="PS24"/>
      <c r="PT24"/>
      <c r="QN24" s="357"/>
      <c r="QO24" s="66" t="s">
        <v>95</v>
      </c>
      <c r="QP24" s="124" t="s">
        <v>213</v>
      </c>
      <c r="QQ24" s="230" t="s">
        <v>196</v>
      </c>
      <c r="QR24" s="166" t="s">
        <v>14</v>
      </c>
      <c r="QS24" s="318" t="s">
        <v>43</v>
      </c>
      <c r="QT24" s="246" t="s">
        <v>3</v>
      </c>
      <c r="QU24" s="182" t="s">
        <v>185</v>
      </c>
      <c r="QV24" s="254" t="s">
        <v>2</v>
      </c>
      <c r="QW24" s="131" t="s">
        <v>22</v>
      </c>
      <c r="QX24" s="225" t="s">
        <v>256</v>
      </c>
      <c r="QY24" s="246" t="s">
        <v>8</v>
      </c>
      <c r="QZ24" s="230" t="s">
        <v>20</v>
      </c>
      <c r="RA24" s="246" t="s">
        <v>6</v>
      </c>
      <c r="RB24" s="246" t="s">
        <v>43</v>
      </c>
      <c r="RC24" s="182" t="s">
        <v>8</v>
      </c>
      <c r="RD24" s="199" t="s">
        <v>2</v>
      </c>
      <c r="RE24" s="131" t="s">
        <v>8</v>
      </c>
      <c r="RF24" s="159" t="s">
        <v>7</v>
      </c>
      <c r="RG24" s="159" t="s">
        <v>8</v>
      </c>
      <c r="RH24" s="246" t="s">
        <v>43</v>
      </c>
      <c r="RI24" s="246" t="s">
        <v>43</v>
      </c>
      <c r="RJ24" s="233" t="s">
        <v>7</v>
      </c>
      <c r="RK24" s="233" t="s">
        <v>1</v>
      </c>
      <c r="RL24" s="141" t="s">
        <v>12</v>
      </c>
      <c r="RM24" s="124" t="s">
        <v>203</v>
      </c>
      <c r="RN24" s="318" t="s">
        <v>43</v>
      </c>
      <c r="RO24" s="246" t="s">
        <v>43</v>
      </c>
      <c r="RP24" s="246" t="s">
        <v>43</v>
      </c>
      <c r="RQ24" s="230" t="s">
        <v>5</v>
      </c>
      <c r="RR24" s="254" t="s">
        <v>3</v>
      </c>
      <c r="RS24" s="125" t="s">
        <v>14</v>
      </c>
      <c r="RT24" s="235" t="s">
        <v>21</v>
      </c>
      <c r="RU24" s="221" t="s">
        <v>7</v>
      </c>
      <c r="RV24" s="182" t="s">
        <v>7</v>
      </c>
      <c r="RW24" s="240" t="s">
        <v>3</v>
      </c>
      <c r="RX24" s="318" t="s">
        <v>43</v>
      </c>
      <c r="RY24" s="158" t="s">
        <v>22</v>
      </c>
      <c r="RZ24" s="182" t="s">
        <v>20</v>
      </c>
      <c r="SA24" s="190" t="s">
        <v>211</v>
      </c>
      <c r="SB24" s="246" t="s">
        <v>43</v>
      </c>
      <c r="SC24" s="176" t="s">
        <v>1</v>
      </c>
      <c r="SD24" s="182" t="s">
        <v>10</v>
      </c>
      <c r="SE24" s="159" t="s">
        <v>14</v>
      </c>
      <c r="SF24" s="176" t="s">
        <v>7</v>
      </c>
      <c r="SG24" s="124" t="s">
        <v>214</v>
      </c>
      <c r="SH24" s="246" t="s">
        <v>43</v>
      </c>
      <c r="SI24" s="131" t="s">
        <v>5</v>
      </c>
      <c r="SJ24" s="230" t="s">
        <v>279</v>
      </c>
      <c r="SK24" s="322">
        <f t="shared" si="103"/>
        <v>3264.4236423314196</v>
      </c>
      <c r="SM24" s="362">
        <v>11</v>
      </c>
      <c r="SO24"/>
      <c r="SP24"/>
      <c r="TP24" s="357"/>
      <c r="TQ24" s="66" t="s">
        <v>95</v>
      </c>
      <c r="TR24" s="306">
        <f t="shared" si="104"/>
        <v>5</v>
      </c>
      <c r="TS24" s="306">
        <f t="shared" si="105"/>
        <v>9</v>
      </c>
      <c r="TT24" s="306">
        <f t="shared" si="106"/>
        <v>20</v>
      </c>
      <c r="TU24" s="306">
        <f t="shared" si="107"/>
        <v>18</v>
      </c>
      <c r="TV24" s="306">
        <f t="shared" si="108"/>
        <v>1</v>
      </c>
      <c r="TW24" s="306">
        <f t="shared" si="109"/>
        <v>24</v>
      </c>
      <c r="TX24" s="306">
        <f t="shared" si="110"/>
        <v>3</v>
      </c>
      <c r="TY24" s="306">
        <f t="shared" si="111"/>
        <v>33</v>
      </c>
      <c r="TZ24" s="306">
        <f t="shared" si="112"/>
        <v>1</v>
      </c>
      <c r="UA24" s="306">
        <f t="shared" si="113"/>
        <v>24</v>
      </c>
      <c r="UB24" s="306">
        <f t="shared" si="114"/>
        <v>11</v>
      </c>
      <c r="UC24" s="306">
        <f t="shared" si="115"/>
        <v>1</v>
      </c>
      <c r="UD24" s="306">
        <f t="shared" si="116"/>
        <v>27</v>
      </c>
      <c r="UE24" s="306">
        <f t="shared" si="117"/>
        <v>26</v>
      </c>
      <c r="UF24" s="306">
        <f t="shared" si="118"/>
        <v>24</v>
      </c>
      <c r="UG24" s="306">
        <f t="shared" si="119"/>
        <v>5</v>
      </c>
      <c r="UH24" s="306">
        <f t="shared" si="120"/>
        <v>28</v>
      </c>
      <c r="UI24" s="306">
        <f t="shared" si="121"/>
        <v>32</v>
      </c>
      <c r="UJ24" s="306">
        <f t="shared" si="122"/>
        <v>26</v>
      </c>
      <c r="UK24" s="306">
        <f t="shared" si="123"/>
        <v>31</v>
      </c>
      <c r="UL24" s="306">
        <f t="shared" si="124"/>
        <v>6</v>
      </c>
      <c r="UM24" s="306">
        <f t="shared" si="125"/>
        <v>6</v>
      </c>
      <c r="UN24" s="306">
        <f t="shared" si="126"/>
        <v>10</v>
      </c>
      <c r="UO24" s="306">
        <f t="shared" si="127"/>
        <v>13</v>
      </c>
      <c r="UP24" s="306">
        <f t="shared" si="128"/>
        <v>13</v>
      </c>
      <c r="UQ24" s="306">
        <f t="shared" si="129"/>
        <v>3</v>
      </c>
      <c r="UR24" s="306">
        <f t="shared" si="130"/>
        <v>13</v>
      </c>
      <c r="US24" s="306">
        <f t="shared" si="131"/>
        <v>22</v>
      </c>
      <c r="UT24" s="306">
        <f t="shared" si="132"/>
        <v>6</v>
      </c>
      <c r="UU24" s="306">
        <f t="shared" si="133"/>
        <v>3</v>
      </c>
      <c r="UV24" s="306">
        <f t="shared" si="134"/>
        <v>31</v>
      </c>
      <c r="UW24" s="306">
        <f t="shared" si="135"/>
        <v>3</v>
      </c>
      <c r="UX24" s="306">
        <f t="shared" si="136"/>
        <v>32</v>
      </c>
      <c r="UY24" s="306">
        <f t="shared" si="137"/>
        <v>19</v>
      </c>
      <c r="UZ24" s="306">
        <f t="shared" si="138"/>
        <v>11</v>
      </c>
      <c r="VA24" s="306">
        <f t="shared" si="139"/>
        <v>18</v>
      </c>
      <c r="VB24" s="306">
        <f t="shared" si="140"/>
        <v>8</v>
      </c>
      <c r="VC24" s="306">
        <f t="shared" si="141"/>
        <v>13</v>
      </c>
      <c r="VD24" s="306">
        <f t="shared" si="142"/>
        <v>13</v>
      </c>
      <c r="VE24" s="306">
        <f t="shared" si="143"/>
        <v>26</v>
      </c>
      <c r="VF24" s="306">
        <f t="shared" si="144"/>
        <v>17</v>
      </c>
      <c r="VG24" s="306">
        <f t="shared" si="145"/>
        <v>23</v>
      </c>
      <c r="VH24" s="306">
        <f t="shared" si="146"/>
        <v>29</v>
      </c>
      <c r="VI24" s="306">
        <f t="shared" si="147"/>
        <v>6</v>
      </c>
      <c r="VJ24" s="306">
        <f t="shared" si="148"/>
        <v>6</v>
      </c>
      <c r="VK24" s="306">
        <f t="shared" si="149"/>
        <v>32</v>
      </c>
      <c r="VL24" s="306">
        <f t="shared" si="150"/>
        <v>4</v>
      </c>
      <c r="VN24" s="306">
        <f t="shared" si="151"/>
        <v>0</v>
      </c>
      <c r="WR24" s="357"/>
      <c r="WS24" s="66" t="s">
        <v>95</v>
      </c>
      <c r="WT24" s="225" t="s">
        <v>213</v>
      </c>
      <c r="WU24" s="246" t="s">
        <v>196</v>
      </c>
      <c r="WV24" s="246" t="s">
        <v>14</v>
      </c>
      <c r="WW24" s="318" t="s">
        <v>43</v>
      </c>
      <c r="WX24" s="246" t="s">
        <v>3</v>
      </c>
      <c r="WY24" s="246" t="s">
        <v>185</v>
      </c>
      <c r="WZ24" s="246" t="s">
        <v>2</v>
      </c>
      <c r="XA24" s="246" t="s">
        <v>22</v>
      </c>
      <c r="XB24" s="225" t="s">
        <v>256</v>
      </c>
      <c r="XC24" s="141" t="s">
        <v>8</v>
      </c>
      <c r="XD24" s="141" t="s">
        <v>20</v>
      </c>
      <c r="XE24" s="246" t="s">
        <v>6</v>
      </c>
      <c r="XF24" s="246" t="s">
        <v>43</v>
      </c>
      <c r="XG24" s="163" t="s">
        <v>8</v>
      </c>
      <c r="XH24" s="163" t="s">
        <v>2</v>
      </c>
      <c r="XI24" s="246" t="s">
        <v>8</v>
      </c>
      <c r="XJ24" s="246" t="s">
        <v>7</v>
      </c>
      <c r="XK24" s="246" t="s">
        <v>8</v>
      </c>
      <c r="XL24" s="246" t="s">
        <v>43</v>
      </c>
      <c r="XM24" s="246" t="s">
        <v>43</v>
      </c>
      <c r="XN24" s="166" t="s">
        <v>7</v>
      </c>
      <c r="XO24" s="166" t="s">
        <v>1</v>
      </c>
      <c r="XP24" s="246" t="s">
        <v>12</v>
      </c>
      <c r="XQ24" s="225" t="s">
        <v>203</v>
      </c>
      <c r="XR24" s="318" t="s">
        <v>43</v>
      </c>
      <c r="XS24" s="246" t="s">
        <v>43</v>
      </c>
      <c r="XT24" s="246" t="s">
        <v>43</v>
      </c>
      <c r="XU24" s="246" t="s">
        <v>5</v>
      </c>
      <c r="XV24" s="246" t="s">
        <v>3</v>
      </c>
      <c r="XW24" s="246" t="s">
        <v>14</v>
      </c>
      <c r="XX24" s="225" t="s">
        <v>21</v>
      </c>
      <c r="XY24" s="246" t="s">
        <v>7</v>
      </c>
      <c r="XZ24" s="240" t="s">
        <v>7</v>
      </c>
      <c r="YA24" s="240" t="s">
        <v>3</v>
      </c>
      <c r="YB24" s="318" t="s">
        <v>43</v>
      </c>
      <c r="YC24" s="246" t="s">
        <v>22</v>
      </c>
      <c r="YD24" s="246" t="s">
        <v>20</v>
      </c>
      <c r="YE24" s="225" t="s">
        <v>211</v>
      </c>
      <c r="YF24" s="246" t="s">
        <v>43</v>
      </c>
      <c r="YG24" s="246" t="s">
        <v>1</v>
      </c>
      <c r="YH24" s="246" t="s">
        <v>10</v>
      </c>
      <c r="YI24" s="246" t="s">
        <v>14</v>
      </c>
      <c r="YJ24" s="246" t="s">
        <v>7</v>
      </c>
      <c r="YK24" s="225" t="s">
        <v>214</v>
      </c>
      <c r="YL24" s="246" t="s">
        <v>43</v>
      </c>
      <c r="YM24" s="246" t="s">
        <v>5</v>
      </c>
      <c r="YN24" s="246" t="s">
        <v>279</v>
      </c>
      <c r="AFZ24" s="307"/>
    </row>
    <row r="25" spans="1:858" s="306" customFormat="1" ht="20.65" x14ac:dyDescent="0.5">
      <c r="A25" s="70">
        <v>16</v>
      </c>
      <c r="B25" s="305"/>
      <c r="C25" s="45" t="s">
        <v>102</v>
      </c>
      <c r="D25" s="45" t="s">
        <v>101</v>
      </c>
      <c r="E25" s="305"/>
      <c r="F25" s="128">
        <v>11948.997837178424</v>
      </c>
      <c r="X25" s="355"/>
      <c r="AA25" s="119" t="s">
        <v>53</v>
      </c>
      <c r="AB25" s="305" t="s">
        <v>32</v>
      </c>
      <c r="AC25" s="210" t="s">
        <v>9</v>
      </c>
      <c r="AD25" s="183" t="s">
        <v>6</v>
      </c>
      <c r="AE25" s="210" t="s">
        <v>10</v>
      </c>
      <c r="AF25" s="203" t="s">
        <v>4</v>
      </c>
      <c r="AG25" s="258" t="s">
        <v>5</v>
      </c>
      <c r="AH25" s="210" t="s">
        <v>2</v>
      </c>
      <c r="AI25" s="253" t="s">
        <v>2</v>
      </c>
      <c r="AJ25" s="210" t="s">
        <v>11</v>
      </c>
      <c r="AK25" s="215" t="s">
        <v>7</v>
      </c>
      <c r="AL25" s="245" t="s">
        <v>8</v>
      </c>
      <c r="AM25" s="217" t="s">
        <v>24</v>
      </c>
      <c r="AN25" s="336" t="s">
        <v>246</v>
      </c>
      <c r="AO25" s="183" t="s">
        <v>3</v>
      </c>
      <c r="AP25" s="247" t="s">
        <v>250</v>
      </c>
      <c r="AQ25" s="232" t="s">
        <v>27</v>
      </c>
      <c r="AR25" s="318" t="s">
        <v>43</v>
      </c>
      <c r="AS25" s="146" t="s">
        <v>9</v>
      </c>
      <c r="AT25" s="196" t="s">
        <v>11</v>
      </c>
      <c r="AU25" s="238" t="s">
        <v>11</v>
      </c>
      <c r="AV25" s="238" t="s">
        <v>12</v>
      </c>
      <c r="AW25" s="147" t="s">
        <v>5</v>
      </c>
      <c r="AX25" s="229" t="s">
        <v>43</v>
      </c>
      <c r="AY25" s="229" t="s">
        <v>43</v>
      </c>
      <c r="AZ25" s="146" t="s">
        <v>15</v>
      </c>
      <c r="BA25" s="146" t="s">
        <v>20</v>
      </c>
      <c r="BB25" s="146" t="s">
        <v>6</v>
      </c>
      <c r="BC25" s="168" t="s">
        <v>21</v>
      </c>
      <c r="BD25" s="130" t="s">
        <v>33</v>
      </c>
      <c r="BE25" s="215" t="s">
        <v>10</v>
      </c>
      <c r="BF25" s="318" t="s">
        <v>43</v>
      </c>
      <c r="BG25" s="253" t="s">
        <v>7</v>
      </c>
      <c r="BH25" s="215" t="s">
        <v>3</v>
      </c>
      <c r="BI25" s="183" t="s">
        <v>14</v>
      </c>
      <c r="BJ25" s="183" t="s">
        <v>5</v>
      </c>
      <c r="BK25" s="183" t="s">
        <v>11</v>
      </c>
      <c r="BL25" s="224" t="s">
        <v>245</v>
      </c>
      <c r="BM25" s="150" t="s">
        <v>22</v>
      </c>
      <c r="BN25" s="258" t="s">
        <v>15</v>
      </c>
      <c r="BO25" s="309"/>
      <c r="BP25" s="319">
        <f t="shared" si="59"/>
        <v>17351.233182986558</v>
      </c>
      <c r="BQ25" s="320" t="s">
        <v>65</v>
      </c>
      <c r="BR25" s="193" t="s">
        <v>8</v>
      </c>
      <c r="BS25" s="268" t="s">
        <v>15</v>
      </c>
      <c r="BT25" s="143" t="s">
        <v>14</v>
      </c>
      <c r="BU25" s="227" t="s">
        <v>43</v>
      </c>
      <c r="BV25" s="189" t="s">
        <v>20</v>
      </c>
      <c r="BW25" s="193" t="s">
        <v>44</v>
      </c>
      <c r="BX25" s="227" t="s">
        <v>43</v>
      </c>
      <c r="BY25" s="227" t="s">
        <v>43</v>
      </c>
      <c r="BZ25" s="177" t="s">
        <v>8</v>
      </c>
      <c r="CA25" s="227" t="s">
        <v>43</v>
      </c>
      <c r="CB25" s="177" t="s">
        <v>8</v>
      </c>
      <c r="CC25" s="227" t="s">
        <v>43</v>
      </c>
      <c r="CD25" s="143" t="s">
        <v>45</v>
      </c>
      <c r="CE25" s="227" t="s">
        <v>43</v>
      </c>
      <c r="CF25" s="208" t="s">
        <v>22</v>
      </c>
      <c r="CG25" s="193" t="s">
        <v>10</v>
      </c>
      <c r="CH25" s="227" t="s">
        <v>43</v>
      </c>
      <c r="CI25" s="193" t="s">
        <v>10</v>
      </c>
      <c r="CJ25" s="70">
        <v>50</v>
      </c>
      <c r="DG25" s="357"/>
      <c r="DI25" s="119" t="s">
        <v>53</v>
      </c>
      <c r="DJ25" s="305" t="s">
        <v>32</v>
      </c>
      <c r="DK25" s="363">
        <f t="shared" si="0"/>
        <v>0</v>
      </c>
      <c r="DL25" s="363">
        <f t="shared" si="1"/>
        <v>0</v>
      </c>
      <c r="DM25" s="363">
        <f t="shared" si="2"/>
        <v>0</v>
      </c>
      <c r="DN25" s="363">
        <f t="shared" si="3"/>
        <v>5</v>
      </c>
      <c r="DO25" s="363">
        <f t="shared" si="4"/>
        <v>7</v>
      </c>
      <c r="DP25" s="363">
        <f t="shared" si="5"/>
        <v>0</v>
      </c>
      <c r="DQ25" s="363">
        <f t="shared" si="6"/>
        <v>3</v>
      </c>
      <c r="DR25" s="363">
        <f t="shared" si="7"/>
        <v>0</v>
      </c>
      <c r="DS25" s="363">
        <f t="shared" si="8"/>
        <v>2</v>
      </c>
      <c r="DT25" s="363">
        <f t="shared" si="9"/>
        <v>2</v>
      </c>
      <c r="DU25" s="363">
        <f t="shared" si="10"/>
        <v>7</v>
      </c>
      <c r="DV25" s="363">
        <f t="shared" si="11"/>
        <v>7</v>
      </c>
      <c r="DW25" s="363">
        <f t="shared" si="12"/>
        <v>7</v>
      </c>
      <c r="DX25" s="363">
        <f t="shared" si="13"/>
        <v>7</v>
      </c>
      <c r="DY25" s="363">
        <f t="shared" si="14"/>
        <v>7</v>
      </c>
      <c r="DZ25" s="363">
        <f t="shared" si="15"/>
        <v>4</v>
      </c>
      <c r="EA25" s="363">
        <f t="shared" si="16"/>
        <v>7</v>
      </c>
      <c r="EB25" s="363">
        <f t="shared" si="17"/>
        <v>3</v>
      </c>
      <c r="EC25" s="363">
        <f t="shared" si="18"/>
        <v>0</v>
      </c>
      <c r="ED25" s="363">
        <f t="shared" si="19"/>
        <v>0</v>
      </c>
      <c r="EE25" s="363">
        <f t="shared" si="20"/>
        <v>2</v>
      </c>
      <c r="EF25" s="363">
        <f t="shared" si="21"/>
        <v>5</v>
      </c>
      <c r="EG25" s="363">
        <f t="shared" si="22"/>
        <v>5</v>
      </c>
      <c r="EH25" s="363">
        <f t="shared" si="23"/>
        <v>5</v>
      </c>
      <c r="EI25" s="363">
        <f t="shared" si="24"/>
        <v>5</v>
      </c>
      <c r="EJ25" s="363">
        <f t="shared" si="25"/>
        <v>5</v>
      </c>
      <c r="EK25" s="363">
        <f t="shared" si="26"/>
        <v>5</v>
      </c>
      <c r="EL25" s="363">
        <f t="shared" si="27"/>
        <v>3</v>
      </c>
      <c r="EM25" s="363">
        <f t="shared" si="28"/>
        <v>5</v>
      </c>
      <c r="EN25" s="363">
        <f t="shared" si="29"/>
        <v>3</v>
      </c>
      <c r="EO25" s="363">
        <f t="shared" si="30"/>
        <v>5</v>
      </c>
      <c r="EP25" s="363">
        <f t="shared" si="31"/>
        <v>5</v>
      </c>
      <c r="EQ25" s="363">
        <f t="shared" si="32"/>
        <v>6</v>
      </c>
      <c r="ER25" s="363">
        <f t="shared" si="33"/>
        <v>5</v>
      </c>
      <c r="ES25" s="363">
        <f t="shared" si="34"/>
        <v>7</v>
      </c>
      <c r="ET25" s="363">
        <f t="shared" si="35"/>
        <v>7</v>
      </c>
      <c r="EU25" s="363">
        <f t="shared" si="36"/>
        <v>0</v>
      </c>
      <c r="EV25" s="363">
        <f t="shared" si="37"/>
        <v>7</v>
      </c>
      <c r="EW25" s="320" t="s">
        <v>65</v>
      </c>
      <c r="EX25" s="363">
        <f t="shared" si="38"/>
        <v>1</v>
      </c>
      <c r="EY25" s="363">
        <f t="shared" si="39"/>
        <v>7</v>
      </c>
      <c r="EZ25" s="363">
        <f t="shared" si="40"/>
        <v>5</v>
      </c>
      <c r="FA25" s="363">
        <f t="shared" si="41"/>
        <v>7</v>
      </c>
      <c r="FB25" s="363">
        <f t="shared" si="42"/>
        <v>7</v>
      </c>
      <c r="FC25" s="363">
        <f t="shared" si="43"/>
        <v>7</v>
      </c>
      <c r="FD25" s="363">
        <f t="shared" si="44"/>
        <v>7</v>
      </c>
      <c r="FE25" s="363">
        <f t="shared" si="45"/>
        <v>7</v>
      </c>
      <c r="FF25" s="363">
        <f t="shared" si="46"/>
        <v>7</v>
      </c>
      <c r="FG25" s="363">
        <f t="shared" si="47"/>
        <v>7</v>
      </c>
      <c r="FH25" s="363">
        <f t="shared" si="48"/>
        <v>7</v>
      </c>
      <c r="FI25" s="363">
        <f t="shared" si="49"/>
        <v>7</v>
      </c>
      <c r="FJ25" s="363">
        <f t="shared" si="50"/>
        <v>7</v>
      </c>
      <c r="FK25" s="363">
        <f t="shared" si="51"/>
        <v>7</v>
      </c>
      <c r="FL25" s="363">
        <f t="shared" si="52"/>
        <v>1</v>
      </c>
      <c r="FM25" s="363">
        <f t="shared" si="53"/>
        <v>7</v>
      </c>
      <c r="FN25" s="363">
        <f t="shared" si="54"/>
        <v>7</v>
      </c>
      <c r="FO25" s="363">
        <f t="shared" si="55"/>
        <v>7</v>
      </c>
      <c r="FP25" s="363">
        <f t="shared" si="60"/>
        <v>8</v>
      </c>
      <c r="FQ25" s="363">
        <f t="shared" si="61"/>
        <v>0</v>
      </c>
      <c r="FR25" s="309">
        <f t="shared" si="62"/>
        <v>8</v>
      </c>
      <c r="GM25" s="357"/>
      <c r="GO25" s="119" t="s">
        <v>53</v>
      </c>
      <c r="GP25" s="305" t="s">
        <v>32</v>
      </c>
      <c r="GQ25" s="244" t="s">
        <v>9</v>
      </c>
      <c r="GR25" s="244" t="s">
        <v>6</v>
      </c>
      <c r="GS25" s="244" t="s">
        <v>10</v>
      </c>
      <c r="GT25" s="244" t="s">
        <v>4</v>
      </c>
      <c r="GU25" s="244" t="s">
        <v>5</v>
      </c>
      <c r="GV25" s="244" t="s">
        <v>2</v>
      </c>
      <c r="GW25" s="244" t="s">
        <v>2</v>
      </c>
      <c r="GX25" s="244" t="s">
        <v>11</v>
      </c>
      <c r="GY25" s="244" t="s">
        <v>7</v>
      </c>
      <c r="GZ25" s="223" t="s">
        <v>8</v>
      </c>
      <c r="HA25" s="366" t="s">
        <v>24</v>
      </c>
      <c r="HB25" s="380" t="s">
        <v>323</v>
      </c>
      <c r="HC25" s="244" t="s">
        <v>3</v>
      </c>
      <c r="HD25" s="366" t="s">
        <v>327</v>
      </c>
      <c r="HE25" s="366" t="s">
        <v>27</v>
      </c>
      <c r="HF25" s="318" t="s">
        <v>43</v>
      </c>
      <c r="HG25" s="244" t="s">
        <v>9</v>
      </c>
      <c r="HH25" s="244" t="s">
        <v>11</v>
      </c>
      <c r="HI25" s="244" t="s">
        <v>11</v>
      </c>
      <c r="HJ25" s="244" t="s">
        <v>12</v>
      </c>
      <c r="HK25" s="244" t="s">
        <v>5</v>
      </c>
      <c r="HL25" s="244" t="s">
        <v>43</v>
      </c>
      <c r="HM25" s="244" t="s">
        <v>43</v>
      </c>
      <c r="HN25" s="244" t="s">
        <v>15</v>
      </c>
      <c r="HO25" s="244" t="s">
        <v>20</v>
      </c>
      <c r="HP25" s="244" t="s">
        <v>6</v>
      </c>
      <c r="HQ25" s="366" t="s">
        <v>21</v>
      </c>
      <c r="HR25" s="384" t="s">
        <v>33</v>
      </c>
      <c r="HS25" s="244" t="s">
        <v>10</v>
      </c>
      <c r="HT25" s="318" t="s">
        <v>43</v>
      </c>
      <c r="HU25" s="244" t="s">
        <v>7</v>
      </c>
      <c r="HV25" s="244" t="s">
        <v>3</v>
      </c>
      <c r="HW25" s="244" t="s">
        <v>14</v>
      </c>
      <c r="HX25" s="244" t="s">
        <v>5</v>
      </c>
      <c r="HY25" s="244" t="s">
        <v>11</v>
      </c>
      <c r="HZ25" s="366" t="s">
        <v>319</v>
      </c>
      <c r="IA25" s="244" t="s">
        <v>22</v>
      </c>
      <c r="IB25" s="244" t="s">
        <v>15</v>
      </c>
      <c r="IC25" s="320" t="s">
        <v>65</v>
      </c>
      <c r="ID25" s="173" t="s">
        <v>8</v>
      </c>
      <c r="IE25" s="173" t="s">
        <v>15</v>
      </c>
      <c r="IF25" s="173" t="s">
        <v>14</v>
      </c>
      <c r="IG25" s="173" t="s">
        <v>43</v>
      </c>
      <c r="IH25" s="173" t="s">
        <v>20</v>
      </c>
      <c r="II25" s="173" t="s">
        <v>44</v>
      </c>
      <c r="IJ25" s="173" t="s">
        <v>43</v>
      </c>
      <c r="IK25" s="173" t="s">
        <v>43</v>
      </c>
      <c r="IL25" s="173" t="s">
        <v>8</v>
      </c>
      <c r="IM25" s="173" t="s">
        <v>43</v>
      </c>
      <c r="IN25" s="173" t="s">
        <v>8</v>
      </c>
      <c r="IO25" s="173" t="s">
        <v>43</v>
      </c>
      <c r="IP25" s="173" t="s">
        <v>45</v>
      </c>
      <c r="IQ25" s="173" t="s">
        <v>43</v>
      </c>
      <c r="IR25" s="173" t="s">
        <v>22</v>
      </c>
      <c r="IS25" s="173" t="s">
        <v>10</v>
      </c>
      <c r="IT25" s="173" t="s">
        <v>43</v>
      </c>
      <c r="IU25" s="173" t="s">
        <v>10</v>
      </c>
      <c r="JN25" s="357"/>
      <c r="JO25" s="369">
        <v>78</v>
      </c>
      <c r="JP25" s="305" t="s">
        <v>135</v>
      </c>
      <c r="JQ25" s="332" t="s">
        <v>150</v>
      </c>
      <c r="JR25" s="67" t="s">
        <v>151</v>
      </c>
      <c r="JS25" s="159" t="s">
        <v>7</v>
      </c>
      <c r="JT25" s="246" t="s">
        <v>43</v>
      </c>
      <c r="JU25" s="109" t="s">
        <v>6</v>
      </c>
      <c r="JV25" s="155" t="s">
        <v>20</v>
      </c>
      <c r="JW25" s="112" t="s">
        <v>188</v>
      </c>
      <c r="JX25" s="254" t="s">
        <v>8</v>
      </c>
      <c r="JY25" s="221" t="s">
        <v>7</v>
      </c>
      <c r="JZ25" s="159" t="s">
        <v>8</v>
      </c>
      <c r="KA25" s="111" t="s">
        <v>189</v>
      </c>
      <c r="KB25" s="115" t="s">
        <v>192</v>
      </c>
      <c r="KC25" s="246" t="s">
        <v>43</v>
      </c>
      <c r="KD25" s="246" t="s">
        <v>43</v>
      </c>
      <c r="KE25" s="159" t="s">
        <v>6</v>
      </c>
      <c r="KF25" s="254" t="s">
        <v>20</v>
      </c>
      <c r="KG25" s="125" t="s">
        <v>4</v>
      </c>
      <c r="KH25" s="118" t="s">
        <v>186</v>
      </c>
      <c r="KI25" s="246" t="s">
        <v>43</v>
      </c>
      <c r="KJ25" s="190" t="s">
        <v>187</v>
      </c>
      <c r="KK25" s="246" t="s">
        <v>43</v>
      </c>
      <c r="KL25" s="159" t="s">
        <v>12</v>
      </c>
      <c r="KM25" s="159" t="s">
        <v>14</v>
      </c>
      <c r="KN25" s="182" t="s">
        <v>6</v>
      </c>
      <c r="KO25" s="182" t="s">
        <v>5</v>
      </c>
      <c r="KP25" s="322">
        <f t="shared" si="63"/>
        <v>170.01081164359454</v>
      </c>
      <c r="KR25" s="329" t="s">
        <v>135</v>
      </c>
      <c r="KS25" s="159" t="s">
        <v>10</v>
      </c>
      <c r="KT25" s="170" t="s">
        <v>9</v>
      </c>
      <c r="KU25" s="221" t="s">
        <v>20</v>
      </c>
      <c r="KV25" s="166" t="s">
        <v>4</v>
      </c>
      <c r="KW25" s="204" t="s">
        <v>193</v>
      </c>
      <c r="KX25" s="240" t="s">
        <v>6</v>
      </c>
      <c r="KY25" s="240" t="s">
        <v>15</v>
      </c>
      <c r="KZ25" s="240" t="s">
        <v>6</v>
      </c>
      <c r="LA25" s="158" t="s">
        <v>15</v>
      </c>
      <c r="LB25" s="166" t="s">
        <v>9</v>
      </c>
      <c r="LC25" s="159" t="s">
        <v>185</v>
      </c>
      <c r="LD25" s="159" t="s">
        <v>6</v>
      </c>
      <c r="LE25" s="159" t="s">
        <v>8</v>
      </c>
      <c r="LF25" s="166" t="s">
        <v>15</v>
      </c>
      <c r="LG25" s="113" t="s">
        <v>228</v>
      </c>
      <c r="LH25" s="358">
        <v>12</v>
      </c>
      <c r="LW25" s="369">
        <v>78</v>
      </c>
      <c r="LX25" s="317" t="s">
        <v>135</v>
      </c>
      <c r="LY25" s="379" t="s">
        <v>150</v>
      </c>
      <c r="LZ25" s="306">
        <f t="shared" si="64"/>
        <v>20</v>
      </c>
      <c r="MA25" s="306">
        <f t="shared" si="65"/>
        <v>13</v>
      </c>
      <c r="MB25" s="306">
        <f t="shared" si="66"/>
        <v>14</v>
      </c>
      <c r="MC25" s="306">
        <f t="shared" si="67"/>
        <v>28</v>
      </c>
      <c r="MD25" s="306">
        <f t="shared" si="68"/>
        <v>17</v>
      </c>
      <c r="ME25" s="306">
        <f t="shared" si="69"/>
        <v>21</v>
      </c>
      <c r="MF25" s="306">
        <f t="shared" si="70"/>
        <v>19</v>
      </c>
      <c r="MG25" s="306">
        <f t="shared" si="71"/>
        <v>23</v>
      </c>
      <c r="MH25" s="306">
        <f t="shared" si="72"/>
        <v>18</v>
      </c>
      <c r="MI25" s="306">
        <f t="shared" si="73"/>
        <v>9</v>
      </c>
      <c r="MJ25" s="306">
        <f t="shared" si="74"/>
        <v>18</v>
      </c>
      <c r="MK25" s="306">
        <f t="shared" si="75"/>
        <v>9</v>
      </c>
      <c r="ML25" s="306">
        <f t="shared" si="76"/>
        <v>12</v>
      </c>
      <c r="MM25" s="306">
        <f t="shared" si="77"/>
        <v>10</v>
      </c>
      <c r="MN25" s="306">
        <f t="shared" si="78"/>
        <v>18</v>
      </c>
      <c r="MO25" s="306">
        <f t="shared" si="79"/>
        <v>19</v>
      </c>
      <c r="MP25" s="306">
        <f t="shared" si="80"/>
        <v>19</v>
      </c>
      <c r="MQ25" s="306">
        <f t="shared" si="81"/>
        <v>21</v>
      </c>
      <c r="MR25" s="306">
        <f t="shared" si="82"/>
        <v>22</v>
      </c>
      <c r="MS25" s="306">
        <f t="shared" si="83"/>
        <v>25</v>
      </c>
      <c r="MT25" s="306">
        <f t="shared" si="84"/>
        <v>26</v>
      </c>
      <c r="MU25" s="306">
        <f t="shared" si="85"/>
        <v>28</v>
      </c>
      <c r="MV25" s="306">
        <f t="shared" si="86"/>
        <v>23</v>
      </c>
      <c r="MY25" s="306">
        <f t="shared" si="87"/>
        <v>25</v>
      </c>
      <c r="MZ25" s="306">
        <f t="shared" si="88"/>
        <v>29</v>
      </c>
      <c r="NA25" s="306">
        <f t="shared" si="89"/>
        <v>28</v>
      </c>
      <c r="NB25" s="306">
        <f t="shared" si="90"/>
        <v>17</v>
      </c>
      <c r="NC25" s="306">
        <f t="shared" si="91"/>
        <v>16</v>
      </c>
      <c r="ND25" s="306">
        <f t="shared" si="92"/>
        <v>28</v>
      </c>
      <c r="NE25" s="306">
        <f t="shared" si="93"/>
        <v>29</v>
      </c>
      <c r="NF25" s="306">
        <f t="shared" si="94"/>
        <v>29</v>
      </c>
      <c r="NG25" s="306">
        <f t="shared" si="95"/>
        <v>13</v>
      </c>
      <c r="NH25" s="306">
        <f t="shared" si="96"/>
        <v>26</v>
      </c>
      <c r="NI25" s="306">
        <f t="shared" si="97"/>
        <v>14</v>
      </c>
      <c r="NJ25" s="306">
        <f t="shared" si="98"/>
        <v>13</v>
      </c>
      <c r="NK25" s="306">
        <f t="shared" si="99"/>
        <v>11</v>
      </c>
      <c r="NL25" s="306">
        <f t="shared" si="100"/>
        <v>26</v>
      </c>
      <c r="NM25" s="306">
        <f t="shared" si="57"/>
        <v>15</v>
      </c>
      <c r="NN25" s="306">
        <f t="shared" si="101"/>
        <v>0</v>
      </c>
      <c r="NO25" s="306">
        <f t="shared" si="102"/>
        <v>0</v>
      </c>
      <c r="NU25" s="379" t="s">
        <v>150</v>
      </c>
      <c r="NV25" s="357"/>
      <c r="NX25" s="246" t="s">
        <v>7</v>
      </c>
      <c r="NY25" s="246" t="s">
        <v>43</v>
      </c>
      <c r="NZ25" s="246" t="s">
        <v>6</v>
      </c>
      <c r="OA25" s="246" t="s">
        <v>20</v>
      </c>
      <c r="OB25" s="372" t="s">
        <v>188</v>
      </c>
      <c r="OC25" s="230" t="s">
        <v>8</v>
      </c>
      <c r="OD25" s="230" t="s">
        <v>7</v>
      </c>
      <c r="OE25" s="230" t="s">
        <v>8</v>
      </c>
      <c r="OF25" s="371" t="s">
        <v>189</v>
      </c>
      <c r="OG25" s="372" t="s">
        <v>192</v>
      </c>
      <c r="OH25" s="246" t="s">
        <v>43</v>
      </c>
      <c r="OI25" s="246" t="s">
        <v>43</v>
      </c>
      <c r="OJ25" s="246" t="s">
        <v>6</v>
      </c>
      <c r="OK25" s="246" t="s">
        <v>20</v>
      </c>
      <c r="OL25" s="246" t="s">
        <v>4</v>
      </c>
      <c r="OM25" s="372" t="s">
        <v>186</v>
      </c>
      <c r="ON25" s="246" t="s">
        <v>43</v>
      </c>
      <c r="OO25" s="225" t="s">
        <v>187</v>
      </c>
      <c r="OP25" s="246" t="s">
        <v>43</v>
      </c>
      <c r="OQ25" s="246" t="s">
        <v>12</v>
      </c>
      <c r="OR25" s="159" t="s">
        <v>14</v>
      </c>
      <c r="OS25" s="159" t="s">
        <v>6</v>
      </c>
      <c r="OT25" s="246" t="s">
        <v>5</v>
      </c>
      <c r="OV25" s="370" t="s">
        <v>135</v>
      </c>
      <c r="OW25" s="246" t="s">
        <v>10</v>
      </c>
      <c r="OX25" s="246" t="s">
        <v>9</v>
      </c>
      <c r="OY25" s="159" t="s">
        <v>20</v>
      </c>
      <c r="OZ25" s="159" t="s">
        <v>4</v>
      </c>
      <c r="PA25" s="225" t="s">
        <v>193</v>
      </c>
      <c r="PB25" s="246" t="s">
        <v>6</v>
      </c>
      <c r="PC25" s="246" t="s">
        <v>15</v>
      </c>
      <c r="PD25" s="246" t="s">
        <v>6</v>
      </c>
      <c r="PE25" s="246" t="s">
        <v>15</v>
      </c>
      <c r="PF25" s="246" t="s">
        <v>9</v>
      </c>
      <c r="PG25" s="246" t="s">
        <v>185</v>
      </c>
      <c r="PH25" s="246" t="s">
        <v>6</v>
      </c>
      <c r="PI25" s="246" t="s">
        <v>8</v>
      </c>
      <c r="PJ25" s="246" t="s">
        <v>15</v>
      </c>
      <c r="PK25" s="373" t="s">
        <v>228</v>
      </c>
      <c r="PM25"/>
      <c r="PN25"/>
      <c r="PO25"/>
      <c r="PP25"/>
      <c r="PQ25"/>
      <c r="PR25"/>
      <c r="PS25"/>
      <c r="PT25"/>
      <c r="QN25" s="357"/>
      <c r="QO25" s="66" t="s">
        <v>98</v>
      </c>
      <c r="QP25" s="204" t="s">
        <v>195</v>
      </c>
      <c r="QQ25" s="166" t="s">
        <v>20</v>
      </c>
      <c r="QR25" s="198" t="s">
        <v>2</v>
      </c>
      <c r="QS25" s="262" t="s">
        <v>215</v>
      </c>
      <c r="QT25" s="159" t="s">
        <v>1</v>
      </c>
      <c r="QU25" s="246" t="s">
        <v>15</v>
      </c>
      <c r="QV25" s="246" t="s">
        <v>3</v>
      </c>
      <c r="QW25" s="246" t="s">
        <v>43</v>
      </c>
      <c r="QX25" s="216" t="s">
        <v>198</v>
      </c>
      <c r="QY25" s="246" t="s">
        <v>8</v>
      </c>
      <c r="QZ25" s="166" t="s">
        <v>11</v>
      </c>
      <c r="RA25" s="221" t="s">
        <v>2</v>
      </c>
      <c r="RB25" s="225" t="s">
        <v>210</v>
      </c>
      <c r="RC25" s="182" t="s">
        <v>8</v>
      </c>
      <c r="RD25" s="199" t="s">
        <v>2</v>
      </c>
      <c r="RE25" s="131" t="s">
        <v>2</v>
      </c>
      <c r="RF25" s="159" t="s">
        <v>7</v>
      </c>
      <c r="RG25" s="159" t="s">
        <v>8</v>
      </c>
      <c r="RH25" s="246" t="s">
        <v>43</v>
      </c>
      <c r="RI25" s="246" t="s">
        <v>43</v>
      </c>
      <c r="RJ25" s="221" t="s">
        <v>1</v>
      </c>
      <c r="RK25" s="182" t="s">
        <v>2</v>
      </c>
      <c r="RL25" s="141" t="s">
        <v>8</v>
      </c>
      <c r="RM25" s="140" t="s">
        <v>203</v>
      </c>
      <c r="RN25" s="339" t="s">
        <v>212</v>
      </c>
      <c r="RO25" s="124" t="s">
        <v>201</v>
      </c>
      <c r="RP25" s="246" t="s">
        <v>43</v>
      </c>
      <c r="RQ25" s="230" t="s">
        <v>5</v>
      </c>
      <c r="RR25" s="246" t="s">
        <v>43</v>
      </c>
      <c r="RS25" s="246" t="s">
        <v>6</v>
      </c>
      <c r="RT25" s="235" t="s">
        <v>21</v>
      </c>
      <c r="RU25" s="246" t="s">
        <v>43</v>
      </c>
      <c r="RV25" s="182" t="s">
        <v>7</v>
      </c>
      <c r="RW25" s="240" t="s">
        <v>3</v>
      </c>
      <c r="RX25" s="334" t="s">
        <v>209</v>
      </c>
      <c r="RY25" s="158" t="s">
        <v>22</v>
      </c>
      <c r="RZ25" s="159" t="s">
        <v>185</v>
      </c>
      <c r="SA25" s="246" t="s">
        <v>43</v>
      </c>
      <c r="SB25" s="221" t="s">
        <v>1</v>
      </c>
      <c r="SC25" s="176" t="s">
        <v>1</v>
      </c>
      <c r="SD25" s="166" t="s">
        <v>15</v>
      </c>
      <c r="SE25" s="211" t="s">
        <v>22</v>
      </c>
      <c r="SF25" s="176" t="s">
        <v>7</v>
      </c>
      <c r="SG25" s="246" t="s">
        <v>43</v>
      </c>
      <c r="SH25" s="254" t="s">
        <v>15</v>
      </c>
      <c r="SI25" s="182" t="s">
        <v>1</v>
      </c>
      <c r="SJ25" s="221" t="s">
        <v>261</v>
      </c>
      <c r="SK25" s="322">
        <f t="shared" si="103"/>
        <v>642.24742904917719</v>
      </c>
      <c r="SM25" s="362">
        <v>12</v>
      </c>
      <c r="SO25"/>
      <c r="SP25"/>
      <c r="TP25" s="357"/>
      <c r="TQ25" s="66" t="s">
        <v>98</v>
      </c>
      <c r="TR25" s="306">
        <f t="shared" si="104"/>
        <v>31</v>
      </c>
      <c r="TS25" s="306">
        <f t="shared" si="105"/>
        <v>23</v>
      </c>
      <c r="TT25" s="306">
        <f t="shared" si="106"/>
        <v>12</v>
      </c>
      <c r="TU25" s="306">
        <f t="shared" si="107"/>
        <v>3</v>
      </c>
      <c r="TV25" s="306">
        <f t="shared" si="108"/>
        <v>12</v>
      </c>
      <c r="TW25" s="306">
        <f t="shared" si="109"/>
        <v>12</v>
      </c>
      <c r="TX25" s="306">
        <f t="shared" si="110"/>
        <v>3</v>
      </c>
      <c r="TY25" s="306">
        <f t="shared" si="111"/>
        <v>3</v>
      </c>
      <c r="TZ25" s="306">
        <f t="shared" si="112"/>
        <v>33</v>
      </c>
      <c r="UA25" s="306">
        <f t="shared" si="113"/>
        <v>24</v>
      </c>
      <c r="UB25" s="306">
        <f t="shared" si="114"/>
        <v>19</v>
      </c>
      <c r="UC25" s="306">
        <f t="shared" si="115"/>
        <v>23</v>
      </c>
      <c r="UD25" s="306">
        <f t="shared" si="116"/>
        <v>9</v>
      </c>
      <c r="UE25" s="306">
        <f t="shared" si="117"/>
        <v>26</v>
      </c>
      <c r="UF25" s="306">
        <f t="shared" si="118"/>
        <v>24</v>
      </c>
      <c r="UG25" s="306">
        <f t="shared" si="119"/>
        <v>13</v>
      </c>
      <c r="UH25" s="306">
        <f t="shared" si="120"/>
        <v>28</v>
      </c>
      <c r="UI25" s="306">
        <f t="shared" si="121"/>
        <v>32</v>
      </c>
      <c r="UJ25" s="306">
        <f t="shared" si="122"/>
        <v>26</v>
      </c>
      <c r="UK25" s="306">
        <f t="shared" si="123"/>
        <v>31</v>
      </c>
      <c r="UL25" s="306">
        <f t="shared" si="124"/>
        <v>3</v>
      </c>
      <c r="UM25" s="306">
        <f t="shared" si="125"/>
        <v>28</v>
      </c>
      <c r="UN25" s="306">
        <f t="shared" si="126"/>
        <v>8</v>
      </c>
      <c r="UO25" s="306">
        <f t="shared" si="127"/>
        <v>13</v>
      </c>
      <c r="UP25" s="306">
        <f t="shared" si="128"/>
        <v>12</v>
      </c>
      <c r="UQ25" s="306">
        <f t="shared" si="129"/>
        <v>30</v>
      </c>
      <c r="UR25" s="306">
        <f t="shared" si="130"/>
        <v>13</v>
      </c>
      <c r="US25" s="306">
        <f t="shared" si="131"/>
        <v>22</v>
      </c>
      <c r="UT25" s="306">
        <f t="shared" si="132"/>
        <v>30</v>
      </c>
      <c r="UU25" s="306">
        <f t="shared" si="133"/>
        <v>1</v>
      </c>
      <c r="UV25" s="306">
        <f t="shared" si="134"/>
        <v>31</v>
      </c>
      <c r="UW25" s="306">
        <f t="shared" si="135"/>
        <v>33</v>
      </c>
      <c r="UX25" s="306">
        <f t="shared" si="136"/>
        <v>32</v>
      </c>
      <c r="UY25" s="306">
        <f t="shared" si="137"/>
        <v>19</v>
      </c>
      <c r="UZ25" s="306">
        <f t="shared" si="138"/>
        <v>12</v>
      </c>
      <c r="VA25" s="306">
        <f t="shared" si="139"/>
        <v>18</v>
      </c>
      <c r="VB25" s="306">
        <f t="shared" si="140"/>
        <v>25</v>
      </c>
      <c r="VC25" s="306">
        <f t="shared" si="141"/>
        <v>18</v>
      </c>
      <c r="VD25" s="306">
        <f t="shared" si="142"/>
        <v>23</v>
      </c>
      <c r="VE25" s="306">
        <f t="shared" si="143"/>
        <v>26</v>
      </c>
      <c r="VF25" s="306">
        <f t="shared" si="144"/>
        <v>19</v>
      </c>
      <c r="VG25" s="306">
        <f t="shared" si="145"/>
        <v>13</v>
      </c>
      <c r="VH25" s="306">
        <f t="shared" si="146"/>
        <v>29</v>
      </c>
      <c r="VI25" s="306">
        <f t="shared" si="147"/>
        <v>28</v>
      </c>
      <c r="VJ25" s="306">
        <f t="shared" si="148"/>
        <v>30</v>
      </c>
      <c r="VK25" s="306">
        <f t="shared" si="149"/>
        <v>4</v>
      </c>
      <c r="VL25" s="306">
        <f t="shared" si="150"/>
        <v>25</v>
      </c>
      <c r="VN25" s="306">
        <f t="shared" si="151"/>
        <v>0</v>
      </c>
      <c r="WR25" s="357"/>
      <c r="WS25" s="66" t="s">
        <v>98</v>
      </c>
      <c r="WT25" s="225" t="s">
        <v>195</v>
      </c>
      <c r="WU25" s="246" t="s">
        <v>20</v>
      </c>
      <c r="WV25" s="246" t="s">
        <v>2</v>
      </c>
      <c r="WW25" s="225" t="s">
        <v>215</v>
      </c>
      <c r="WX25" s="246" t="s">
        <v>1</v>
      </c>
      <c r="WY25" s="246" t="s">
        <v>15</v>
      </c>
      <c r="WZ25" s="246" t="s">
        <v>3</v>
      </c>
      <c r="XA25" s="246" t="s">
        <v>43</v>
      </c>
      <c r="XB25" s="225" t="s">
        <v>198</v>
      </c>
      <c r="XC25" s="240" t="s">
        <v>8</v>
      </c>
      <c r="XD25" s="240" t="s">
        <v>11</v>
      </c>
      <c r="XE25" s="240" t="s">
        <v>2</v>
      </c>
      <c r="XF25" s="225" t="s">
        <v>210</v>
      </c>
      <c r="XG25" s="163" t="s">
        <v>8</v>
      </c>
      <c r="XH25" s="163" t="s">
        <v>2</v>
      </c>
      <c r="XI25" s="166" t="s">
        <v>2</v>
      </c>
      <c r="XJ25" s="166" t="s">
        <v>7</v>
      </c>
      <c r="XK25" s="166" t="s">
        <v>8</v>
      </c>
      <c r="XL25" s="246" t="s">
        <v>43</v>
      </c>
      <c r="XM25" s="246" t="s">
        <v>43</v>
      </c>
      <c r="XN25" s="240" t="s">
        <v>1</v>
      </c>
      <c r="XO25" s="240" t="s">
        <v>2</v>
      </c>
      <c r="XP25" s="246" t="s">
        <v>8</v>
      </c>
      <c r="XQ25" s="242" t="s">
        <v>203</v>
      </c>
      <c r="XR25" s="339" t="s">
        <v>212</v>
      </c>
      <c r="XS25" s="225" t="s">
        <v>201</v>
      </c>
      <c r="XT25" s="246" t="s">
        <v>43</v>
      </c>
      <c r="XU25" s="246" t="s">
        <v>5</v>
      </c>
      <c r="XV25" s="246" t="s">
        <v>43</v>
      </c>
      <c r="XW25" s="246" t="s">
        <v>6</v>
      </c>
      <c r="XX25" s="225" t="s">
        <v>21</v>
      </c>
      <c r="XY25" s="246" t="s">
        <v>43</v>
      </c>
      <c r="XZ25" s="240" t="s">
        <v>7</v>
      </c>
      <c r="YA25" s="240" t="s">
        <v>3</v>
      </c>
      <c r="YB25" s="327" t="s">
        <v>209</v>
      </c>
      <c r="YC25" s="246" t="s">
        <v>22</v>
      </c>
      <c r="YD25" s="246" t="s">
        <v>185</v>
      </c>
      <c r="YE25" s="246" t="s">
        <v>43</v>
      </c>
      <c r="YF25" s="246" t="s">
        <v>1</v>
      </c>
      <c r="YG25" s="246" t="s">
        <v>1</v>
      </c>
      <c r="YH25" s="246" t="s">
        <v>15</v>
      </c>
      <c r="YI25" s="246" t="s">
        <v>22</v>
      </c>
      <c r="YJ25" s="159" t="s">
        <v>7</v>
      </c>
      <c r="YK25" s="159" t="s">
        <v>43</v>
      </c>
      <c r="YL25" s="159" t="s">
        <v>15</v>
      </c>
      <c r="YM25" s="246" t="s">
        <v>1</v>
      </c>
      <c r="YN25" s="246" t="s">
        <v>261</v>
      </c>
      <c r="AFZ25" s="307"/>
    </row>
    <row r="26" spans="1:858" s="306" customFormat="1" ht="20.65" x14ac:dyDescent="0.5">
      <c r="A26" s="70">
        <v>17</v>
      </c>
      <c r="B26" s="305"/>
      <c r="C26" s="45" t="s">
        <v>103</v>
      </c>
      <c r="D26" s="45" t="s">
        <v>104</v>
      </c>
      <c r="E26" s="305"/>
      <c r="F26" s="128">
        <v>5001.1436096457219</v>
      </c>
      <c r="X26" s="355"/>
      <c r="AA26" s="55" t="s">
        <v>53</v>
      </c>
      <c r="AB26" s="305" t="s">
        <v>34</v>
      </c>
      <c r="AC26" s="183" t="s">
        <v>1</v>
      </c>
      <c r="AD26" s="210" t="s">
        <v>8</v>
      </c>
      <c r="AE26" s="132" t="s">
        <v>3</v>
      </c>
      <c r="AF26" s="203" t="s">
        <v>4</v>
      </c>
      <c r="AG26" s="258" t="s">
        <v>5</v>
      </c>
      <c r="AH26" s="196" t="s">
        <v>6</v>
      </c>
      <c r="AI26" s="253" t="s">
        <v>2</v>
      </c>
      <c r="AJ26" s="253" t="s">
        <v>2</v>
      </c>
      <c r="AK26" s="147" t="s">
        <v>10</v>
      </c>
      <c r="AL26" s="157" t="s">
        <v>2</v>
      </c>
      <c r="AM26" s="217" t="s">
        <v>24</v>
      </c>
      <c r="AN26" s="336" t="s">
        <v>246</v>
      </c>
      <c r="AO26" s="183" t="s">
        <v>3</v>
      </c>
      <c r="AP26" s="247" t="s">
        <v>250</v>
      </c>
      <c r="AQ26" s="232" t="s">
        <v>27</v>
      </c>
      <c r="AR26" s="318" t="s">
        <v>43</v>
      </c>
      <c r="AS26" s="146" t="s">
        <v>9</v>
      </c>
      <c r="AT26" s="196" t="s">
        <v>11</v>
      </c>
      <c r="AU26" s="150" t="s">
        <v>20</v>
      </c>
      <c r="AV26" s="147" t="s">
        <v>7</v>
      </c>
      <c r="AW26" s="210" t="s">
        <v>3</v>
      </c>
      <c r="AX26" s="229" t="s">
        <v>43</v>
      </c>
      <c r="AY26" s="229" t="s">
        <v>43</v>
      </c>
      <c r="AZ26" s="146" t="s">
        <v>15</v>
      </c>
      <c r="BA26" s="146" t="s">
        <v>20</v>
      </c>
      <c r="BB26" s="146" t="s">
        <v>6</v>
      </c>
      <c r="BC26" s="168" t="s">
        <v>21</v>
      </c>
      <c r="BD26" s="202" t="s">
        <v>33</v>
      </c>
      <c r="BE26" s="215" t="s">
        <v>10</v>
      </c>
      <c r="BF26" s="318" t="s">
        <v>43</v>
      </c>
      <c r="BG26" s="253" t="s">
        <v>7</v>
      </c>
      <c r="BH26" s="215" t="s">
        <v>3</v>
      </c>
      <c r="BI26" s="183" t="s">
        <v>14</v>
      </c>
      <c r="BJ26" s="183" t="s">
        <v>5</v>
      </c>
      <c r="BK26" s="183" t="s">
        <v>11</v>
      </c>
      <c r="BL26" s="224" t="s">
        <v>245</v>
      </c>
      <c r="BM26" s="192" t="s">
        <v>5</v>
      </c>
      <c r="BN26" s="258" t="s">
        <v>15</v>
      </c>
      <c r="BO26" s="309"/>
      <c r="BP26" s="319">
        <f t="shared" si="59"/>
        <v>-11.221651532353803</v>
      </c>
      <c r="BQ26" s="320" t="s">
        <v>64</v>
      </c>
      <c r="BR26" s="143" t="s">
        <v>2</v>
      </c>
      <c r="BS26" s="268" t="s">
        <v>15</v>
      </c>
      <c r="BT26" s="143" t="s">
        <v>14</v>
      </c>
      <c r="BU26" s="227" t="s">
        <v>43</v>
      </c>
      <c r="BV26" s="189" t="s">
        <v>20</v>
      </c>
      <c r="BW26" s="193" t="s">
        <v>44</v>
      </c>
      <c r="BX26" s="227" t="s">
        <v>43</v>
      </c>
      <c r="BY26" s="227" t="s">
        <v>43</v>
      </c>
      <c r="BZ26" s="177" t="s">
        <v>8</v>
      </c>
      <c r="CA26" s="227" t="s">
        <v>43</v>
      </c>
      <c r="CB26" s="177" t="s">
        <v>8</v>
      </c>
      <c r="CC26" s="227" t="s">
        <v>43</v>
      </c>
      <c r="CD26" s="143" t="s">
        <v>45</v>
      </c>
      <c r="CE26" s="227" t="s">
        <v>43</v>
      </c>
      <c r="CF26" s="161" t="s">
        <v>14</v>
      </c>
      <c r="CG26" s="193" t="s">
        <v>10</v>
      </c>
      <c r="CH26" s="227" t="s">
        <v>43</v>
      </c>
      <c r="CI26" s="193" t="s">
        <v>10</v>
      </c>
      <c r="CJ26" s="70">
        <v>51</v>
      </c>
      <c r="DG26" s="357"/>
      <c r="DI26" s="55" t="s">
        <v>53</v>
      </c>
      <c r="DJ26" s="305" t="s">
        <v>34</v>
      </c>
      <c r="DK26" s="363">
        <f t="shared" si="0"/>
        <v>7</v>
      </c>
      <c r="DL26" s="363">
        <f t="shared" si="1"/>
        <v>2</v>
      </c>
      <c r="DM26" s="363">
        <f t="shared" si="2"/>
        <v>7</v>
      </c>
      <c r="DN26" s="363">
        <f t="shared" si="3"/>
        <v>5</v>
      </c>
      <c r="DO26" s="363">
        <f t="shared" si="4"/>
        <v>7</v>
      </c>
      <c r="DP26" s="363">
        <f t="shared" si="5"/>
        <v>5</v>
      </c>
      <c r="DQ26" s="363">
        <f t="shared" si="6"/>
        <v>3</v>
      </c>
      <c r="DR26" s="363">
        <f t="shared" si="7"/>
        <v>7</v>
      </c>
      <c r="DS26" s="363">
        <f t="shared" si="8"/>
        <v>5</v>
      </c>
      <c r="DT26" s="363">
        <f t="shared" si="9"/>
        <v>5</v>
      </c>
      <c r="DU26" s="363">
        <f t="shared" si="10"/>
        <v>7</v>
      </c>
      <c r="DV26" s="363">
        <f t="shared" si="11"/>
        <v>7</v>
      </c>
      <c r="DW26" s="363">
        <f t="shared" si="12"/>
        <v>7</v>
      </c>
      <c r="DX26" s="363">
        <f t="shared" si="13"/>
        <v>7</v>
      </c>
      <c r="DY26" s="363">
        <f t="shared" si="14"/>
        <v>7</v>
      </c>
      <c r="DZ26" s="363">
        <f t="shared" si="15"/>
        <v>4</v>
      </c>
      <c r="EA26" s="363">
        <f t="shared" si="16"/>
        <v>7</v>
      </c>
      <c r="EB26" s="363">
        <f t="shared" si="17"/>
        <v>3</v>
      </c>
      <c r="EC26" s="363">
        <f t="shared" si="18"/>
        <v>7</v>
      </c>
      <c r="ED26" s="363">
        <f t="shared" si="19"/>
        <v>7</v>
      </c>
      <c r="EE26" s="363">
        <f t="shared" si="20"/>
        <v>5</v>
      </c>
      <c r="EF26" s="363">
        <f t="shared" si="21"/>
        <v>5</v>
      </c>
      <c r="EG26" s="363">
        <f t="shared" si="22"/>
        <v>5</v>
      </c>
      <c r="EH26" s="363">
        <f t="shared" si="23"/>
        <v>5</v>
      </c>
      <c r="EI26" s="363">
        <f t="shared" si="24"/>
        <v>5</v>
      </c>
      <c r="EJ26" s="363">
        <f t="shared" si="25"/>
        <v>5</v>
      </c>
      <c r="EK26" s="363">
        <f t="shared" si="26"/>
        <v>5</v>
      </c>
      <c r="EL26" s="363">
        <f t="shared" si="27"/>
        <v>3</v>
      </c>
      <c r="EM26" s="363">
        <f t="shared" si="28"/>
        <v>5</v>
      </c>
      <c r="EN26" s="363">
        <f t="shared" si="29"/>
        <v>3</v>
      </c>
      <c r="EO26" s="363">
        <f t="shared" si="30"/>
        <v>5</v>
      </c>
      <c r="EP26" s="363">
        <f t="shared" si="31"/>
        <v>5</v>
      </c>
      <c r="EQ26" s="363">
        <f t="shared" si="32"/>
        <v>6</v>
      </c>
      <c r="ER26" s="363">
        <f t="shared" si="33"/>
        <v>5</v>
      </c>
      <c r="ES26" s="363">
        <f t="shared" si="34"/>
        <v>7</v>
      </c>
      <c r="ET26" s="363">
        <f t="shared" si="35"/>
        <v>7</v>
      </c>
      <c r="EU26" s="363">
        <f t="shared" si="36"/>
        <v>7</v>
      </c>
      <c r="EV26" s="363">
        <f t="shared" si="37"/>
        <v>7</v>
      </c>
      <c r="EW26" s="383" t="s">
        <v>64</v>
      </c>
      <c r="EX26" s="363">
        <f t="shared" si="38"/>
        <v>6</v>
      </c>
      <c r="EY26" s="363">
        <f t="shared" si="39"/>
        <v>7</v>
      </c>
      <c r="EZ26" s="363">
        <f t="shared" si="40"/>
        <v>5</v>
      </c>
      <c r="FA26" s="363">
        <f t="shared" si="41"/>
        <v>7</v>
      </c>
      <c r="FB26" s="363">
        <f t="shared" si="42"/>
        <v>7</v>
      </c>
      <c r="FC26" s="363">
        <f t="shared" si="43"/>
        <v>7</v>
      </c>
      <c r="FD26" s="363">
        <f t="shared" si="44"/>
        <v>7</v>
      </c>
      <c r="FE26" s="363">
        <f t="shared" si="45"/>
        <v>7</v>
      </c>
      <c r="FF26" s="363">
        <f t="shared" si="46"/>
        <v>7</v>
      </c>
      <c r="FG26" s="363">
        <f t="shared" si="47"/>
        <v>7</v>
      </c>
      <c r="FH26" s="363">
        <f t="shared" si="48"/>
        <v>7</v>
      </c>
      <c r="FI26" s="363">
        <f t="shared" si="49"/>
        <v>7</v>
      </c>
      <c r="FJ26" s="363">
        <f t="shared" si="50"/>
        <v>7</v>
      </c>
      <c r="FK26" s="363">
        <f t="shared" si="51"/>
        <v>7</v>
      </c>
      <c r="FL26" s="363">
        <f t="shared" si="52"/>
        <v>6</v>
      </c>
      <c r="FM26" s="363">
        <f t="shared" si="53"/>
        <v>7</v>
      </c>
      <c r="FN26" s="363">
        <f t="shared" si="54"/>
        <v>7</v>
      </c>
      <c r="FO26" s="363">
        <f t="shared" si="55"/>
        <v>7</v>
      </c>
      <c r="FP26" s="363">
        <f t="shared" si="60"/>
        <v>0</v>
      </c>
      <c r="FQ26" s="363">
        <f t="shared" si="61"/>
        <v>0</v>
      </c>
      <c r="FR26" s="309">
        <f t="shared" si="62"/>
        <v>0</v>
      </c>
      <c r="GM26" s="357"/>
      <c r="GO26" s="55" t="s">
        <v>53</v>
      </c>
      <c r="GP26" s="305" t="s">
        <v>34</v>
      </c>
      <c r="GQ26" s="244" t="s">
        <v>1</v>
      </c>
      <c r="GR26" s="244" t="s">
        <v>8</v>
      </c>
      <c r="GS26" s="244" t="s">
        <v>3</v>
      </c>
      <c r="GT26" s="244" t="s">
        <v>4</v>
      </c>
      <c r="GU26" s="244" t="s">
        <v>5</v>
      </c>
      <c r="GV26" s="244" t="s">
        <v>6</v>
      </c>
      <c r="GW26" s="244" t="s">
        <v>2</v>
      </c>
      <c r="GX26" s="244" t="s">
        <v>2</v>
      </c>
      <c r="GY26" s="244" t="s">
        <v>10</v>
      </c>
      <c r="GZ26" s="223" t="s">
        <v>2</v>
      </c>
      <c r="HA26" s="366" t="s">
        <v>24</v>
      </c>
      <c r="HB26" s="380" t="s">
        <v>323</v>
      </c>
      <c r="HC26" s="244" t="s">
        <v>3</v>
      </c>
      <c r="HD26" s="366" t="s">
        <v>327</v>
      </c>
      <c r="HE26" s="366" t="s">
        <v>27</v>
      </c>
      <c r="HF26" s="318" t="s">
        <v>43</v>
      </c>
      <c r="HG26" s="244" t="s">
        <v>9</v>
      </c>
      <c r="HH26" s="244" t="s">
        <v>11</v>
      </c>
      <c r="HI26" s="244" t="s">
        <v>20</v>
      </c>
      <c r="HJ26" s="244" t="s">
        <v>7</v>
      </c>
      <c r="HK26" s="244" t="s">
        <v>3</v>
      </c>
      <c r="HL26" s="244" t="s">
        <v>43</v>
      </c>
      <c r="HM26" s="244" t="s">
        <v>43</v>
      </c>
      <c r="HN26" s="244" t="s">
        <v>15</v>
      </c>
      <c r="HO26" s="244" t="s">
        <v>20</v>
      </c>
      <c r="HP26" s="244" t="s">
        <v>6</v>
      </c>
      <c r="HQ26" s="366" t="s">
        <v>21</v>
      </c>
      <c r="HR26" s="385" t="s">
        <v>33</v>
      </c>
      <c r="HS26" s="244" t="s">
        <v>10</v>
      </c>
      <c r="HT26" s="318" t="s">
        <v>43</v>
      </c>
      <c r="HU26" s="244" t="s">
        <v>7</v>
      </c>
      <c r="HV26" s="244" t="s">
        <v>3</v>
      </c>
      <c r="HW26" s="244" t="s">
        <v>14</v>
      </c>
      <c r="HX26" s="244" t="s">
        <v>5</v>
      </c>
      <c r="HY26" s="244" t="s">
        <v>11</v>
      </c>
      <c r="HZ26" s="366" t="s">
        <v>319</v>
      </c>
      <c r="IA26" s="244" t="s">
        <v>5</v>
      </c>
      <c r="IB26" s="244" t="s">
        <v>15</v>
      </c>
      <c r="IC26" s="383" t="s">
        <v>64</v>
      </c>
      <c r="ID26" s="173" t="s">
        <v>2</v>
      </c>
      <c r="IE26" s="173" t="s">
        <v>15</v>
      </c>
      <c r="IF26" s="173" t="s">
        <v>14</v>
      </c>
      <c r="IG26" s="173" t="s">
        <v>43</v>
      </c>
      <c r="IH26" s="173" t="s">
        <v>20</v>
      </c>
      <c r="II26" s="173" t="s">
        <v>44</v>
      </c>
      <c r="IJ26" s="173" t="s">
        <v>43</v>
      </c>
      <c r="IK26" s="173" t="s">
        <v>43</v>
      </c>
      <c r="IL26" s="173" t="s">
        <v>8</v>
      </c>
      <c r="IM26" s="173" t="s">
        <v>43</v>
      </c>
      <c r="IN26" s="173" t="s">
        <v>8</v>
      </c>
      <c r="IO26" s="173" t="s">
        <v>43</v>
      </c>
      <c r="IP26" s="173" t="s">
        <v>45</v>
      </c>
      <c r="IQ26" s="173" t="s">
        <v>43</v>
      </c>
      <c r="IR26" s="173" t="s">
        <v>14</v>
      </c>
      <c r="IS26" s="173" t="s">
        <v>10</v>
      </c>
      <c r="IT26" s="173" t="s">
        <v>43</v>
      </c>
      <c r="IU26" s="173" t="s">
        <v>10</v>
      </c>
      <c r="JN26" s="357"/>
      <c r="JO26" s="369">
        <v>79</v>
      </c>
      <c r="JP26" s="305" t="s">
        <v>138</v>
      </c>
      <c r="JQ26" s="332" t="s">
        <v>152</v>
      </c>
      <c r="JR26" s="67" t="s">
        <v>153</v>
      </c>
      <c r="JS26" s="159" t="s">
        <v>7</v>
      </c>
      <c r="JT26" s="108" t="s">
        <v>22</v>
      </c>
      <c r="JU26" s="109" t="s">
        <v>6</v>
      </c>
      <c r="JV26" s="155" t="s">
        <v>20</v>
      </c>
      <c r="JW26" s="112" t="s">
        <v>188</v>
      </c>
      <c r="JX26" s="254" t="s">
        <v>8</v>
      </c>
      <c r="JY26" s="221" t="s">
        <v>7</v>
      </c>
      <c r="JZ26" s="159" t="s">
        <v>8</v>
      </c>
      <c r="KA26" s="111" t="s">
        <v>189</v>
      </c>
      <c r="KB26" s="115" t="s">
        <v>192</v>
      </c>
      <c r="KC26" s="246" t="s">
        <v>43</v>
      </c>
      <c r="KD26" s="246" t="s">
        <v>43</v>
      </c>
      <c r="KE26" s="182" t="s">
        <v>12</v>
      </c>
      <c r="KF26" s="254" t="s">
        <v>20</v>
      </c>
      <c r="KG26" s="114" t="s">
        <v>7</v>
      </c>
      <c r="KH26" s="118" t="s">
        <v>186</v>
      </c>
      <c r="KI26" s="246" t="s">
        <v>43</v>
      </c>
      <c r="KJ26" s="190" t="s">
        <v>187</v>
      </c>
      <c r="KK26" s="246" t="s">
        <v>43</v>
      </c>
      <c r="KL26" s="159" t="s">
        <v>12</v>
      </c>
      <c r="KM26" s="159" t="s">
        <v>14</v>
      </c>
      <c r="KN26" s="182" t="s">
        <v>6</v>
      </c>
      <c r="KO26" s="182" t="s">
        <v>5</v>
      </c>
      <c r="KP26" s="322">
        <f t="shared" si="63"/>
        <v>240.55684338962539</v>
      </c>
      <c r="KR26" s="329" t="s">
        <v>138</v>
      </c>
      <c r="KS26" s="159" t="s">
        <v>10</v>
      </c>
      <c r="KT26" s="170" t="s">
        <v>9</v>
      </c>
      <c r="KU26" s="221" t="s">
        <v>20</v>
      </c>
      <c r="KV26" s="117" t="s">
        <v>14</v>
      </c>
      <c r="KW26" s="124" t="s">
        <v>194</v>
      </c>
      <c r="KX26" s="240" t="s">
        <v>6</v>
      </c>
      <c r="KY26" s="240" t="s">
        <v>15</v>
      </c>
      <c r="KZ26" s="240" t="s">
        <v>6</v>
      </c>
      <c r="LA26" s="155" t="s">
        <v>10</v>
      </c>
      <c r="LB26" s="166" t="s">
        <v>9</v>
      </c>
      <c r="LC26" s="117" t="s">
        <v>5</v>
      </c>
      <c r="LD26" s="159" t="s">
        <v>9</v>
      </c>
      <c r="LE26" s="155" t="s">
        <v>7</v>
      </c>
      <c r="LF26" s="166" t="s">
        <v>15</v>
      </c>
      <c r="LG26" s="123" t="s">
        <v>229</v>
      </c>
      <c r="LH26" s="358">
        <v>13</v>
      </c>
      <c r="LW26" s="369">
        <v>79</v>
      </c>
      <c r="LX26" s="317" t="s">
        <v>138</v>
      </c>
      <c r="LY26" s="379" t="s">
        <v>152</v>
      </c>
      <c r="LZ26" s="306">
        <f t="shared" si="64"/>
        <v>20</v>
      </c>
      <c r="MA26" s="306">
        <f t="shared" si="65"/>
        <v>4</v>
      </c>
      <c r="MB26" s="306">
        <f t="shared" si="66"/>
        <v>14</v>
      </c>
      <c r="MC26" s="306">
        <f t="shared" si="67"/>
        <v>28</v>
      </c>
      <c r="MD26" s="306">
        <f t="shared" si="68"/>
        <v>17</v>
      </c>
      <c r="ME26" s="306">
        <f t="shared" si="69"/>
        <v>21</v>
      </c>
      <c r="MF26" s="306">
        <f t="shared" si="70"/>
        <v>19</v>
      </c>
      <c r="MG26" s="306">
        <f t="shared" si="71"/>
        <v>23</v>
      </c>
      <c r="MH26" s="306">
        <f t="shared" si="72"/>
        <v>18</v>
      </c>
      <c r="MI26" s="306">
        <f t="shared" si="73"/>
        <v>9</v>
      </c>
      <c r="MJ26" s="306">
        <f t="shared" si="74"/>
        <v>18</v>
      </c>
      <c r="MK26" s="306">
        <f t="shared" si="75"/>
        <v>9</v>
      </c>
      <c r="ML26" s="306">
        <f t="shared" si="76"/>
        <v>17</v>
      </c>
      <c r="MM26" s="306">
        <f t="shared" si="77"/>
        <v>10</v>
      </c>
      <c r="MN26" s="306">
        <f t="shared" si="78"/>
        <v>8</v>
      </c>
      <c r="MO26" s="306">
        <f t="shared" si="79"/>
        <v>19</v>
      </c>
      <c r="MP26" s="306">
        <f t="shared" si="80"/>
        <v>19</v>
      </c>
      <c r="MQ26" s="306">
        <f t="shared" si="81"/>
        <v>21</v>
      </c>
      <c r="MR26" s="306">
        <f t="shared" si="82"/>
        <v>22</v>
      </c>
      <c r="MS26" s="306">
        <f t="shared" si="83"/>
        <v>25</v>
      </c>
      <c r="MT26" s="306">
        <f t="shared" si="84"/>
        <v>26</v>
      </c>
      <c r="MU26" s="306">
        <f t="shared" si="85"/>
        <v>28</v>
      </c>
      <c r="MV26" s="306">
        <f t="shared" si="86"/>
        <v>23</v>
      </c>
      <c r="MY26" s="306">
        <f t="shared" si="87"/>
        <v>25</v>
      </c>
      <c r="MZ26" s="306">
        <f t="shared" si="88"/>
        <v>29</v>
      </c>
      <c r="NA26" s="306">
        <f t="shared" si="89"/>
        <v>28</v>
      </c>
      <c r="NB26" s="306">
        <f t="shared" si="90"/>
        <v>13</v>
      </c>
      <c r="NC26" s="306">
        <f t="shared" si="91"/>
        <v>14</v>
      </c>
      <c r="ND26" s="306">
        <f t="shared" si="92"/>
        <v>28</v>
      </c>
      <c r="NE26" s="306">
        <f t="shared" si="93"/>
        <v>29</v>
      </c>
      <c r="NF26" s="306">
        <f t="shared" si="94"/>
        <v>29</v>
      </c>
      <c r="NG26" s="306">
        <f t="shared" si="95"/>
        <v>17</v>
      </c>
      <c r="NH26" s="306">
        <f t="shared" si="96"/>
        <v>26</v>
      </c>
      <c r="NI26" s="306">
        <f t="shared" si="97"/>
        <v>13</v>
      </c>
      <c r="NJ26" s="306">
        <f t="shared" si="98"/>
        <v>14</v>
      </c>
      <c r="NK26" s="306">
        <f t="shared" si="99"/>
        <v>16</v>
      </c>
      <c r="NL26" s="306">
        <f t="shared" si="100"/>
        <v>26</v>
      </c>
      <c r="NM26" s="306">
        <f t="shared" si="57"/>
        <v>10</v>
      </c>
      <c r="NN26" s="306">
        <f t="shared" si="101"/>
        <v>0</v>
      </c>
      <c r="NO26" s="306">
        <f t="shared" si="102"/>
        <v>0</v>
      </c>
      <c r="NU26" s="379" t="s">
        <v>152</v>
      </c>
      <c r="NV26" s="357"/>
      <c r="NX26" s="166" t="s">
        <v>7</v>
      </c>
      <c r="NY26" s="166" t="s">
        <v>22</v>
      </c>
      <c r="NZ26" s="166" t="s">
        <v>6</v>
      </c>
      <c r="OA26" s="246" t="s">
        <v>20</v>
      </c>
      <c r="OB26" s="372" t="s">
        <v>188</v>
      </c>
      <c r="OC26" s="230" t="s">
        <v>8</v>
      </c>
      <c r="OD26" s="230" t="s">
        <v>7</v>
      </c>
      <c r="OE26" s="230" t="s">
        <v>8</v>
      </c>
      <c r="OF26" s="371" t="s">
        <v>189</v>
      </c>
      <c r="OG26" s="372" t="s">
        <v>192</v>
      </c>
      <c r="OH26" s="246" t="s">
        <v>43</v>
      </c>
      <c r="OI26" s="246" t="s">
        <v>43</v>
      </c>
      <c r="OJ26" s="230" t="s">
        <v>12</v>
      </c>
      <c r="OK26" s="230" t="s">
        <v>20</v>
      </c>
      <c r="OL26" s="246" t="s">
        <v>7</v>
      </c>
      <c r="OM26" s="372" t="s">
        <v>186</v>
      </c>
      <c r="ON26" s="246" t="s">
        <v>43</v>
      </c>
      <c r="OO26" s="225" t="s">
        <v>187</v>
      </c>
      <c r="OP26" s="246" t="s">
        <v>43</v>
      </c>
      <c r="OQ26" s="246" t="s">
        <v>12</v>
      </c>
      <c r="OR26" s="159" t="s">
        <v>14</v>
      </c>
      <c r="OS26" s="159" t="s">
        <v>6</v>
      </c>
      <c r="OT26" s="246" t="s">
        <v>5</v>
      </c>
      <c r="OV26" s="375" t="s">
        <v>138</v>
      </c>
      <c r="OW26" s="246" t="s">
        <v>10</v>
      </c>
      <c r="OX26" s="246" t="s">
        <v>9</v>
      </c>
      <c r="OY26" s="240" t="s">
        <v>20</v>
      </c>
      <c r="OZ26" s="240" t="s">
        <v>14</v>
      </c>
      <c r="PA26" s="225" t="s">
        <v>194</v>
      </c>
      <c r="PB26" s="246" t="s">
        <v>6</v>
      </c>
      <c r="PC26" s="246" t="s">
        <v>15</v>
      </c>
      <c r="PD26" s="246" t="s">
        <v>6</v>
      </c>
      <c r="PE26" s="246" t="s">
        <v>10</v>
      </c>
      <c r="PF26" s="246" t="s">
        <v>9</v>
      </c>
      <c r="PG26" s="246" t="s">
        <v>5</v>
      </c>
      <c r="PH26" s="246" t="s">
        <v>9</v>
      </c>
      <c r="PI26" s="246" t="s">
        <v>7</v>
      </c>
      <c r="PJ26" s="246" t="s">
        <v>15</v>
      </c>
      <c r="PK26" s="376" t="s">
        <v>229</v>
      </c>
      <c r="PM26"/>
      <c r="PN26"/>
      <c r="PO26"/>
      <c r="PP26"/>
      <c r="PQ26"/>
      <c r="PR26"/>
      <c r="PS26"/>
      <c r="PT26"/>
      <c r="QN26" s="357"/>
      <c r="QO26" s="66" t="s">
        <v>100</v>
      </c>
      <c r="QP26" s="124" t="s">
        <v>213</v>
      </c>
      <c r="QQ26" s="246" t="s">
        <v>185</v>
      </c>
      <c r="QR26" s="166" t="s">
        <v>14</v>
      </c>
      <c r="QS26" s="216" t="s">
        <v>197</v>
      </c>
      <c r="QT26" s="254" t="s">
        <v>11</v>
      </c>
      <c r="QU26" s="182" t="s">
        <v>185</v>
      </c>
      <c r="QV26" s="312" t="s">
        <v>43</v>
      </c>
      <c r="QW26" s="131" t="s">
        <v>22</v>
      </c>
      <c r="QX26" s="216" t="s">
        <v>198</v>
      </c>
      <c r="QY26" s="246" t="s">
        <v>2</v>
      </c>
      <c r="QZ26" s="254" t="s">
        <v>22</v>
      </c>
      <c r="RA26" s="254" t="s">
        <v>3</v>
      </c>
      <c r="RB26" s="246" t="s">
        <v>43</v>
      </c>
      <c r="RC26" s="125" t="s">
        <v>12</v>
      </c>
      <c r="RD26" s="199" t="s">
        <v>2</v>
      </c>
      <c r="RE26" s="131" t="s">
        <v>205</v>
      </c>
      <c r="RF26" s="159" t="s">
        <v>7</v>
      </c>
      <c r="RG26" s="159" t="s">
        <v>8</v>
      </c>
      <c r="RH26" s="246" t="s">
        <v>43</v>
      </c>
      <c r="RI26" s="246" t="s">
        <v>43</v>
      </c>
      <c r="RJ26" s="233" t="s">
        <v>7</v>
      </c>
      <c r="RK26" s="233" t="s">
        <v>1</v>
      </c>
      <c r="RL26" s="141" t="s">
        <v>8</v>
      </c>
      <c r="RM26" s="246" t="s">
        <v>43</v>
      </c>
      <c r="RN26" s="312" t="s">
        <v>43</v>
      </c>
      <c r="RO26" s="124" t="s">
        <v>201</v>
      </c>
      <c r="RP26" s="254" t="s">
        <v>5</v>
      </c>
      <c r="RQ26" s="230" t="s">
        <v>5</v>
      </c>
      <c r="RR26" s="246" t="s">
        <v>43</v>
      </c>
      <c r="RS26" s="254" t="s">
        <v>20</v>
      </c>
      <c r="RT26" s="235" t="s">
        <v>21</v>
      </c>
      <c r="RU26" s="221" t="s">
        <v>7</v>
      </c>
      <c r="RV26" s="182" t="s">
        <v>7</v>
      </c>
      <c r="RW26" s="240" t="s">
        <v>3</v>
      </c>
      <c r="RX26" s="312" t="s">
        <v>43</v>
      </c>
      <c r="RY26" s="158" t="s">
        <v>22</v>
      </c>
      <c r="RZ26" s="182" t="s">
        <v>20</v>
      </c>
      <c r="SA26" s="190" t="s">
        <v>211</v>
      </c>
      <c r="SB26" s="246" t="s">
        <v>43</v>
      </c>
      <c r="SC26" s="176" t="s">
        <v>1</v>
      </c>
      <c r="SD26" s="182" t="s">
        <v>10</v>
      </c>
      <c r="SE26" s="159" t="s">
        <v>14</v>
      </c>
      <c r="SF26" s="176" t="s">
        <v>7</v>
      </c>
      <c r="SG26" s="124" t="s">
        <v>214</v>
      </c>
      <c r="SH26" s="246" t="s">
        <v>43</v>
      </c>
      <c r="SI26" s="131" t="s">
        <v>5</v>
      </c>
      <c r="SJ26" s="230" t="s">
        <v>279</v>
      </c>
      <c r="SK26" s="322">
        <f t="shared" si="103"/>
        <v>8229.5260722360181</v>
      </c>
      <c r="SM26" s="362">
        <v>13</v>
      </c>
      <c r="SO26"/>
      <c r="SP26"/>
      <c r="TP26" s="357"/>
      <c r="TQ26" s="66" t="s">
        <v>100</v>
      </c>
      <c r="TR26" s="306">
        <f t="shared" si="104"/>
        <v>5</v>
      </c>
      <c r="TS26" s="306">
        <f t="shared" si="105"/>
        <v>2</v>
      </c>
      <c r="TT26" s="306">
        <f t="shared" si="106"/>
        <v>20</v>
      </c>
      <c r="TU26" s="306">
        <f t="shared" si="107"/>
        <v>6</v>
      </c>
      <c r="TV26" s="306">
        <f t="shared" si="108"/>
        <v>4</v>
      </c>
      <c r="TW26" s="306">
        <f t="shared" si="109"/>
        <v>24</v>
      </c>
      <c r="TX26" s="306">
        <f t="shared" si="110"/>
        <v>11</v>
      </c>
      <c r="TY26" s="306">
        <f t="shared" si="111"/>
        <v>33</v>
      </c>
      <c r="TZ26" s="306">
        <f t="shared" si="112"/>
        <v>33</v>
      </c>
      <c r="UA26" s="306">
        <f t="shared" si="113"/>
        <v>4</v>
      </c>
      <c r="UB26" s="306">
        <f t="shared" si="114"/>
        <v>4</v>
      </c>
      <c r="UC26" s="306">
        <f t="shared" si="115"/>
        <v>3</v>
      </c>
      <c r="UD26" s="306">
        <f t="shared" si="116"/>
        <v>27</v>
      </c>
      <c r="UE26" s="306">
        <f t="shared" si="117"/>
        <v>9</v>
      </c>
      <c r="UF26" s="306">
        <f t="shared" si="118"/>
        <v>24</v>
      </c>
      <c r="UG26" s="306">
        <f t="shared" si="119"/>
        <v>7</v>
      </c>
      <c r="UH26" s="306">
        <f t="shared" si="120"/>
        <v>28</v>
      </c>
      <c r="UI26" s="306">
        <f t="shared" si="121"/>
        <v>32</v>
      </c>
      <c r="UJ26" s="306">
        <f t="shared" si="122"/>
        <v>26</v>
      </c>
      <c r="UK26" s="306">
        <f t="shared" si="123"/>
        <v>31</v>
      </c>
      <c r="UL26" s="306">
        <f t="shared" si="124"/>
        <v>6</v>
      </c>
      <c r="UM26" s="306">
        <f t="shared" si="125"/>
        <v>6</v>
      </c>
      <c r="UN26" s="306">
        <f t="shared" si="126"/>
        <v>8</v>
      </c>
      <c r="UO26" s="306">
        <f t="shared" si="127"/>
        <v>23</v>
      </c>
      <c r="UP26" s="306">
        <f t="shared" si="128"/>
        <v>13</v>
      </c>
      <c r="UQ26" s="306">
        <f t="shared" si="129"/>
        <v>30</v>
      </c>
      <c r="UR26" s="306">
        <f t="shared" si="130"/>
        <v>7</v>
      </c>
      <c r="US26" s="306">
        <f t="shared" si="131"/>
        <v>22</v>
      </c>
      <c r="UT26" s="306">
        <f t="shared" si="132"/>
        <v>30</v>
      </c>
      <c r="UU26" s="306">
        <f t="shared" si="133"/>
        <v>7</v>
      </c>
      <c r="UV26" s="306">
        <f t="shared" si="134"/>
        <v>31</v>
      </c>
      <c r="UW26" s="306">
        <f t="shared" si="135"/>
        <v>3</v>
      </c>
      <c r="UX26" s="306">
        <f t="shared" si="136"/>
        <v>32</v>
      </c>
      <c r="UY26" s="306">
        <f t="shared" si="137"/>
        <v>19</v>
      </c>
      <c r="UZ26" s="306">
        <f t="shared" si="138"/>
        <v>11</v>
      </c>
      <c r="VA26" s="306">
        <f t="shared" si="139"/>
        <v>18</v>
      </c>
      <c r="VB26" s="306">
        <f t="shared" si="140"/>
        <v>8</v>
      </c>
      <c r="VC26" s="306">
        <f t="shared" si="141"/>
        <v>13</v>
      </c>
      <c r="VD26" s="306">
        <f t="shared" si="142"/>
        <v>13</v>
      </c>
      <c r="VE26" s="306">
        <f t="shared" si="143"/>
        <v>26</v>
      </c>
      <c r="VF26" s="306">
        <f t="shared" si="144"/>
        <v>17</v>
      </c>
      <c r="VG26" s="306">
        <f t="shared" si="145"/>
        <v>23</v>
      </c>
      <c r="VH26" s="306">
        <f t="shared" si="146"/>
        <v>29</v>
      </c>
      <c r="VI26" s="306">
        <f t="shared" si="147"/>
        <v>6</v>
      </c>
      <c r="VJ26" s="306">
        <f t="shared" si="148"/>
        <v>6</v>
      </c>
      <c r="VK26" s="306">
        <f t="shared" si="149"/>
        <v>32</v>
      </c>
      <c r="VL26" s="306">
        <f t="shared" si="150"/>
        <v>4</v>
      </c>
      <c r="VN26" s="306">
        <f t="shared" si="151"/>
        <v>0</v>
      </c>
      <c r="WR26" s="357"/>
      <c r="WS26" s="66" t="s">
        <v>100</v>
      </c>
      <c r="WT26" s="225" t="s">
        <v>213</v>
      </c>
      <c r="WU26" s="246" t="s">
        <v>185</v>
      </c>
      <c r="WV26" s="246" t="s">
        <v>14</v>
      </c>
      <c r="WW26" s="225" t="s">
        <v>197</v>
      </c>
      <c r="WX26" s="246" t="s">
        <v>11</v>
      </c>
      <c r="WY26" s="246" t="s">
        <v>185</v>
      </c>
      <c r="WZ26" s="312" t="s">
        <v>43</v>
      </c>
      <c r="XA26" s="246" t="s">
        <v>22</v>
      </c>
      <c r="XB26" s="225" t="s">
        <v>198</v>
      </c>
      <c r="XC26" s="246" t="s">
        <v>2</v>
      </c>
      <c r="XD26" s="141" t="s">
        <v>22</v>
      </c>
      <c r="XE26" s="141" t="s">
        <v>3</v>
      </c>
      <c r="XF26" s="246" t="s">
        <v>43</v>
      </c>
      <c r="XG26" s="159" t="s">
        <v>12</v>
      </c>
      <c r="XH26" s="159" t="s">
        <v>2</v>
      </c>
      <c r="XI26" s="240" t="s">
        <v>205</v>
      </c>
      <c r="XJ26" s="240" t="s">
        <v>7</v>
      </c>
      <c r="XK26" s="240" t="s">
        <v>8</v>
      </c>
      <c r="XL26" s="246" t="s">
        <v>43</v>
      </c>
      <c r="XM26" s="246" t="s">
        <v>43</v>
      </c>
      <c r="XN26" s="166" t="s">
        <v>7</v>
      </c>
      <c r="XO26" s="166" t="s">
        <v>1</v>
      </c>
      <c r="XP26" s="246" t="s">
        <v>8</v>
      </c>
      <c r="XQ26" s="246" t="s">
        <v>43</v>
      </c>
      <c r="XR26" s="312" t="s">
        <v>43</v>
      </c>
      <c r="XS26" s="225" t="s">
        <v>201</v>
      </c>
      <c r="XT26" s="166" t="s">
        <v>5</v>
      </c>
      <c r="XU26" s="166" t="s">
        <v>5</v>
      </c>
      <c r="XV26" s="246" t="s">
        <v>43</v>
      </c>
      <c r="XW26" s="246" t="s">
        <v>20</v>
      </c>
      <c r="XX26" s="225" t="s">
        <v>21</v>
      </c>
      <c r="XY26" s="246" t="s">
        <v>7</v>
      </c>
      <c r="XZ26" s="240" t="s">
        <v>7</v>
      </c>
      <c r="YA26" s="240" t="s">
        <v>3</v>
      </c>
      <c r="YB26" s="312" t="s">
        <v>43</v>
      </c>
      <c r="YC26" s="246" t="s">
        <v>22</v>
      </c>
      <c r="YD26" s="246" t="s">
        <v>20</v>
      </c>
      <c r="YE26" s="225" t="s">
        <v>211</v>
      </c>
      <c r="YF26" s="246" t="s">
        <v>43</v>
      </c>
      <c r="YG26" s="246" t="s">
        <v>1</v>
      </c>
      <c r="YH26" s="246" t="s">
        <v>10</v>
      </c>
      <c r="YI26" s="246" t="s">
        <v>14</v>
      </c>
      <c r="YJ26" s="246" t="s">
        <v>7</v>
      </c>
      <c r="YK26" s="225" t="s">
        <v>214</v>
      </c>
      <c r="YL26" s="246" t="s">
        <v>43</v>
      </c>
      <c r="YM26" s="246" t="s">
        <v>5</v>
      </c>
      <c r="YN26" s="246" t="s">
        <v>279</v>
      </c>
      <c r="AFZ26" s="307"/>
    </row>
    <row r="27" spans="1:858" s="306" customFormat="1" ht="20.65" x14ac:dyDescent="0.5">
      <c r="A27" s="70">
        <v>18</v>
      </c>
      <c r="B27" s="305"/>
      <c r="C27" s="45" t="s">
        <v>105</v>
      </c>
      <c r="D27" s="45" t="s">
        <v>106</v>
      </c>
      <c r="E27" s="305"/>
      <c r="F27" s="128">
        <v>1289.0895083854512</v>
      </c>
      <c r="X27" s="355"/>
      <c r="AA27" s="55" t="s">
        <v>53</v>
      </c>
      <c r="AB27" s="305" t="s">
        <v>34</v>
      </c>
      <c r="AC27" s="183" t="s">
        <v>1</v>
      </c>
      <c r="AD27" s="210" t="s">
        <v>8</v>
      </c>
      <c r="AE27" s="132" t="s">
        <v>3</v>
      </c>
      <c r="AF27" s="203" t="s">
        <v>4</v>
      </c>
      <c r="AG27" s="258" t="s">
        <v>5</v>
      </c>
      <c r="AH27" s="196" t="s">
        <v>6</v>
      </c>
      <c r="AI27" s="253" t="s">
        <v>2</v>
      </c>
      <c r="AJ27" s="253" t="s">
        <v>2</v>
      </c>
      <c r="AK27" s="147" t="s">
        <v>10</v>
      </c>
      <c r="AL27" s="157" t="s">
        <v>2</v>
      </c>
      <c r="AM27" s="217" t="s">
        <v>24</v>
      </c>
      <c r="AN27" s="336" t="s">
        <v>246</v>
      </c>
      <c r="AO27" s="183" t="s">
        <v>3</v>
      </c>
      <c r="AP27" s="247" t="s">
        <v>250</v>
      </c>
      <c r="AQ27" s="232" t="s">
        <v>27</v>
      </c>
      <c r="AR27" s="318" t="s">
        <v>43</v>
      </c>
      <c r="AS27" s="146" t="s">
        <v>9</v>
      </c>
      <c r="AT27" s="196" t="s">
        <v>11</v>
      </c>
      <c r="AU27" s="150" t="s">
        <v>20</v>
      </c>
      <c r="AV27" s="147" t="s">
        <v>7</v>
      </c>
      <c r="AW27" s="210" t="s">
        <v>3</v>
      </c>
      <c r="AX27" s="229" t="s">
        <v>43</v>
      </c>
      <c r="AY27" s="229" t="s">
        <v>43</v>
      </c>
      <c r="AZ27" s="146" t="s">
        <v>15</v>
      </c>
      <c r="BA27" s="146" t="s">
        <v>20</v>
      </c>
      <c r="BB27" s="146" t="s">
        <v>6</v>
      </c>
      <c r="BC27" s="168" t="s">
        <v>21</v>
      </c>
      <c r="BD27" s="202" t="s">
        <v>33</v>
      </c>
      <c r="BE27" s="215" t="s">
        <v>10</v>
      </c>
      <c r="BF27" s="318" t="s">
        <v>43</v>
      </c>
      <c r="BG27" s="253" t="s">
        <v>7</v>
      </c>
      <c r="BH27" s="215" t="s">
        <v>3</v>
      </c>
      <c r="BI27" s="183" t="s">
        <v>14</v>
      </c>
      <c r="BJ27" s="183" t="s">
        <v>5</v>
      </c>
      <c r="BK27" s="183" t="s">
        <v>11</v>
      </c>
      <c r="BL27" s="224" t="s">
        <v>245</v>
      </c>
      <c r="BM27" s="192" t="s">
        <v>5</v>
      </c>
      <c r="BN27" s="258" t="s">
        <v>15</v>
      </c>
      <c r="BO27" s="309"/>
      <c r="BP27" s="319">
        <f t="shared" si="59"/>
        <v>-32.732009009571783</v>
      </c>
      <c r="BQ27" s="320" t="s">
        <v>63</v>
      </c>
      <c r="BR27" s="143" t="s">
        <v>2</v>
      </c>
      <c r="BS27" s="268" t="s">
        <v>15</v>
      </c>
      <c r="BT27" s="269" t="s">
        <v>20</v>
      </c>
      <c r="BU27" s="227" t="s">
        <v>43</v>
      </c>
      <c r="BV27" s="189" t="s">
        <v>20</v>
      </c>
      <c r="BW27" s="193" t="s">
        <v>44</v>
      </c>
      <c r="BX27" s="227" t="s">
        <v>43</v>
      </c>
      <c r="BY27" s="227" t="s">
        <v>43</v>
      </c>
      <c r="BZ27" s="177" t="s">
        <v>8</v>
      </c>
      <c r="CA27" s="227" t="s">
        <v>43</v>
      </c>
      <c r="CB27" s="177" t="s">
        <v>8</v>
      </c>
      <c r="CC27" s="227" t="s">
        <v>43</v>
      </c>
      <c r="CD27" s="143" t="s">
        <v>45</v>
      </c>
      <c r="CE27" s="227" t="s">
        <v>43</v>
      </c>
      <c r="CF27" s="161" t="s">
        <v>14</v>
      </c>
      <c r="CG27" s="193" t="s">
        <v>10</v>
      </c>
      <c r="CH27" s="227" t="s">
        <v>43</v>
      </c>
      <c r="CI27" s="193" t="s">
        <v>10</v>
      </c>
      <c r="CJ27" s="70">
        <v>52</v>
      </c>
      <c r="DG27" s="357"/>
      <c r="DI27" s="55" t="s">
        <v>53</v>
      </c>
      <c r="DJ27" s="305" t="s">
        <v>34</v>
      </c>
      <c r="DK27" s="363">
        <f t="shared" si="0"/>
        <v>7</v>
      </c>
      <c r="DL27" s="363">
        <f t="shared" si="1"/>
        <v>2</v>
      </c>
      <c r="DM27" s="363">
        <f t="shared" si="2"/>
        <v>7</v>
      </c>
      <c r="DN27" s="363">
        <f t="shared" si="3"/>
        <v>5</v>
      </c>
      <c r="DO27" s="363">
        <f t="shared" si="4"/>
        <v>7</v>
      </c>
      <c r="DP27" s="363">
        <f t="shared" si="5"/>
        <v>5</v>
      </c>
      <c r="DQ27" s="363">
        <f t="shared" si="6"/>
        <v>3</v>
      </c>
      <c r="DR27" s="363">
        <f t="shared" si="7"/>
        <v>7</v>
      </c>
      <c r="DS27" s="363">
        <f t="shared" si="8"/>
        <v>5</v>
      </c>
      <c r="DT27" s="363">
        <f t="shared" si="9"/>
        <v>5</v>
      </c>
      <c r="DU27" s="363">
        <f t="shared" si="10"/>
        <v>7</v>
      </c>
      <c r="DV27" s="363">
        <f t="shared" si="11"/>
        <v>7</v>
      </c>
      <c r="DW27" s="363">
        <f t="shared" si="12"/>
        <v>7</v>
      </c>
      <c r="DX27" s="363">
        <f t="shared" si="13"/>
        <v>7</v>
      </c>
      <c r="DY27" s="363">
        <f t="shared" si="14"/>
        <v>7</v>
      </c>
      <c r="DZ27" s="363">
        <f t="shared" si="15"/>
        <v>4</v>
      </c>
      <c r="EA27" s="363">
        <f t="shared" si="16"/>
        <v>7</v>
      </c>
      <c r="EB27" s="363">
        <f t="shared" si="17"/>
        <v>3</v>
      </c>
      <c r="EC27" s="363">
        <f t="shared" si="18"/>
        <v>7</v>
      </c>
      <c r="ED27" s="363">
        <f t="shared" si="19"/>
        <v>7</v>
      </c>
      <c r="EE27" s="363">
        <f t="shared" si="20"/>
        <v>5</v>
      </c>
      <c r="EF27" s="363">
        <f t="shared" si="21"/>
        <v>5</v>
      </c>
      <c r="EG27" s="363">
        <f t="shared" si="22"/>
        <v>5</v>
      </c>
      <c r="EH27" s="363">
        <f t="shared" si="23"/>
        <v>5</v>
      </c>
      <c r="EI27" s="363">
        <f t="shared" si="24"/>
        <v>5</v>
      </c>
      <c r="EJ27" s="363">
        <f t="shared" si="25"/>
        <v>5</v>
      </c>
      <c r="EK27" s="363">
        <f t="shared" si="26"/>
        <v>5</v>
      </c>
      <c r="EL27" s="363">
        <f t="shared" si="27"/>
        <v>3</v>
      </c>
      <c r="EM27" s="363">
        <f t="shared" si="28"/>
        <v>5</v>
      </c>
      <c r="EN27" s="363">
        <f t="shared" si="29"/>
        <v>3</v>
      </c>
      <c r="EO27" s="363">
        <f t="shared" si="30"/>
        <v>5</v>
      </c>
      <c r="EP27" s="363">
        <f t="shared" si="31"/>
        <v>5</v>
      </c>
      <c r="EQ27" s="363">
        <f t="shared" si="32"/>
        <v>6</v>
      </c>
      <c r="ER27" s="363">
        <f t="shared" si="33"/>
        <v>5</v>
      </c>
      <c r="ES27" s="363">
        <f t="shared" si="34"/>
        <v>7</v>
      </c>
      <c r="ET27" s="363">
        <f t="shared" si="35"/>
        <v>7</v>
      </c>
      <c r="EU27" s="363">
        <f t="shared" si="36"/>
        <v>7</v>
      </c>
      <c r="EV27" s="363">
        <f t="shared" si="37"/>
        <v>7</v>
      </c>
      <c r="EW27" s="320" t="s">
        <v>63</v>
      </c>
      <c r="EX27" s="363">
        <f t="shared" si="38"/>
        <v>6</v>
      </c>
      <c r="EY27" s="363">
        <f t="shared" si="39"/>
        <v>7</v>
      </c>
      <c r="EZ27" s="363">
        <f t="shared" si="40"/>
        <v>2</v>
      </c>
      <c r="FA27" s="363">
        <f t="shared" si="41"/>
        <v>7</v>
      </c>
      <c r="FB27" s="363">
        <f t="shared" si="42"/>
        <v>7</v>
      </c>
      <c r="FC27" s="363">
        <f t="shared" si="43"/>
        <v>7</v>
      </c>
      <c r="FD27" s="363">
        <f t="shared" si="44"/>
        <v>7</v>
      </c>
      <c r="FE27" s="363">
        <f t="shared" si="45"/>
        <v>7</v>
      </c>
      <c r="FF27" s="363">
        <f t="shared" si="46"/>
        <v>7</v>
      </c>
      <c r="FG27" s="363">
        <f t="shared" si="47"/>
        <v>7</v>
      </c>
      <c r="FH27" s="363">
        <f t="shared" si="48"/>
        <v>7</v>
      </c>
      <c r="FI27" s="363">
        <f t="shared" si="49"/>
        <v>7</v>
      </c>
      <c r="FJ27" s="363">
        <f t="shared" si="50"/>
        <v>7</v>
      </c>
      <c r="FK27" s="363">
        <f t="shared" si="51"/>
        <v>7</v>
      </c>
      <c r="FL27" s="363">
        <f t="shared" si="52"/>
        <v>6</v>
      </c>
      <c r="FM27" s="363">
        <f t="shared" si="53"/>
        <v>7</v>
      </c>
      <c r="FN27" s="363">
        <f t="shared" si="54"/>
        <v>7</v>
      </c>
      <c r="FO27" s="363">
        <f t="shared" si="55"/>
        <v>7</v>
      </c>
      <c r="FP27" s="363">
        <f t="shared" si="60"/>
        <v>0</v>
      </c>
      <c r="FQ27" s="363">
        <f t="shared" si="61"/>
        <v>0</v>
      </c>
      <c r="FR27" s="309">
        <f t="shared" si="62"/>
        <v>0</v>
      </c>
      <c r="GM27" s="357"/>
      <c r="GO27" s="55" t="s">
        <v>53</v>
      </c>
      <c r="GP27" s="305" t="s">
        <v>34</v>
      </c>
      <c r="GQ27" s="244" t="s">
        <v>1</v>
      </c>
      <c r="GR27" s="244" t="s">
        <v>8</v>
      </c>
      <c r="GS27" s="244" t="s">
        <v>3</v>
      </c>
      <c r="GT27" s="244" t="s">
        <v>4</v>
      </c>
      <c r="GU27" s="244" t="s">
        <v>5</v>
      </c>
      <c r="GV27" s="244" t="s">
        <v>6</v>
      </c>
      <c r="GW27" s="244" t="s">
        <v>2</v>
      </c>
      <c r="GX27" s="244" t="s">
        <v>2</v>
      </c>
      <c r="GY27" s="244" t="s">
        <v>10</v>
      </c>
      <c r="GZ27" s="223" t="s">
        <v>2</v>
      </c>
      <c r="HA27" s="366" t="s">
        <v>24</v>
      </c>
      <c r="HB27" s="380" t="s">
        <v>323</v>
      </c>
      <c r="HC27" s="244" t="s">
        <v>3</v>
      </c>
      <c r="HD27" s="366" t="s">
        <v>327</v>
      </c>
      <c r="HE27" s="366" t="s">
        <v>27</v>
      </c>
      <c r="HF27" s="318" t="s">
        <v>43</v>
      </c>
      <c r="HG27" s="244" t="s">
        <v>9</v>
      </c>
      <c r="HH27" s="244" t="s">
        <v>11</v>
      </c>
      <c r="HI27" s="244" t="s">
        <v>20</v>
      </c>
      <c r="HJ27" s="244" t="s">
        <v>7</v>
      </c>
      <c r="HK27" s="244" t="s">
        <v>3</v>
      </c>
      <c r="HL27" s="244" t="s">
        <v>43</v>
      </c>
      <c r="HM27" s="244" t="s">
        <v>43</v>
      </c>
      <c r="HN27" s="244" t="s">
        <v>15</v>
      </c>
      <c r="HO27" s="244" t="s">
        <v>20</v>
      </c>
      <c r="HP27" s="244" t="s">
        <v>6</v>
      </c>
      <c r="HQ27" s="366" t="s">
        <v>21</v>
      </c>
      <c r="HR27" s="385" t="s">
        <v>33</v>
      </c>
      <c r="HS27" s="244" t="s">
        <v>10</v>
      </c>
      <c r="HT27" s="318" t="s">
        <v>43</v>
      </c>
      <c r="HU27" s="244" t="s">
        <v>7</v>
      </c>
      <c r="HV27" s="244" t="s">
        <v>3</v>
      </c>
      <c r="HW27" s="244" t="s">
        <v>14</v>
      </c>
      <c r="HX27" s="244" t="s">
        <v>5</v>
      </c>
      <c r="HY27" s="244" t="s">
        <v>11</v>
      </c>
      <c r="HZ27" s="366" t="s">
        <v>319</v>
      </c>
      <c r="IA27" s="244" t="s">
        <v>5</v>
      </c>
      <c r="IB27" s="244" t="s">
        <v>15</v>
      </c>
      <c r="IC27" s="320" t="s">
        <v>63</v>
      </c>
      <c r="ID27" s="173" t="s">
        <v>2</v>
      </c>
      <c r="IE27" s="173" t="s">
        <v>15</v>
      </c>
      <c r="IF27" s="173" t="s">
        <v>20</v>
      </c>
      <c r="IG27" s="173" t="s">
        <v>43</v>
      </c>
      <c r="IH27" s="173" t="s">
        <v>20</v>
      </c>
      <c r="II27" s="173" t="s">
        <v>44</v>
      </c>
      <c r="IJ27" s="173" t="s">
        <v>43</v>
      </c>
      <c r="IK27" s="173" t="s">
        <v>43</v>
      </c>
      <c r="IL27" s="173" t="s">
        <v>8</v>
      </c>
      <c r="IM27" s="173" t="s">
        <v>43</v>
      </c>
      <c r="IN27" s="173" t="s">
        <v>8</v>
      </c>
      <c r="IO27" s="173" t="s">
        <v>43</v>
      </c>
      <c r="IP27" s="173" t="s">
        <v>45</v>
      </c>
      <c r="IQ27" s="173" t="s">
        <v>43</v>
      </c>
      <c r="IR27" s="173" t="s">
        <v>14</v>
      </c>
      <c r="IS27" s="173" t="s">
        <v>10</v>
      </c>
      <c r="IT27" s="173" t="s">
        <v>43</v>
      </c>
      <c r="IU27" s="173" t="s">
        <v>10</v>
      </c>
      <c r="JN27" s="357"/>
      <c r="JO27" s="369">
        <v>80</v>
      </c>
      <c r="JP27" s="473" t="s">
        <v>138</v>
      </c>
      <c r="JQ27" s="328" t="s">
        <v>154</v>
      </c>
      <c r="JR27" s="67" t="s">
        <v>155</v>
      </c>
      <c r="JS27" s="159" t="s">
        <v>7</v>
      </c>
      <c r="JT27" s="108" t="s">
        <v>22</v>
      </c>
      <c r="JU27" s="109" t="s">
        <v>6</v>
      </c>
      <c r="JV27" s="155" t="s">
        <v>20</v>
      </c>
      <c r="JW27" s="112" t="s">
        <v>188</v>
      </c>
      <c r="JX27" s="254" t="s">
        <v>8</v>
      </c>
      <c r="JY27" s="221" t="s">
        <v>7</v>
      </c>
      <c r="JZ27" s="159" t="s">
        <v>8</v>
      </c>
      <c r="KA27" s="111" t="s">
        <v>189</v>
      </c>
      <c r="KB27" s="116" t="s">
        <v>190</v>
      </c>
      <c r="KC27" s="246" t="s">
        <v>43</v>
      </c>
      <c r="KD27" s="163" t="s">
        <v>20</v>
      </c>
      <c r="KE27" s="182" t="s">
        <v>12</v>
      </c>
      <c r="KF27" s="254" t="s">
        <v>20</v>
      </c>
      <c r="KG27" s="114" t="s">
        <v>7</v>
      </c>
      <c r="KH27" s="118" t="s">
        <v>186</v>
      </c>
      <c r="KI27" s="246" t="s">
        <v>43</v>
      </c>
      <c r="KJ27" s="190" t="s">
        <v>187</v>
      </c>
      <c r="KK27" s="246" t="s">
        <v>43</v>
      </c>
      <c r="KL27" s="159" t="s">
        <v>12</v>
      </c>
      <c r="KM27" s="159" t="s">
        <v>14</v>
      </c>
      <c r="KN27" s="182" t="s">
        <v>6</v>
      </c>
      <c r="KO27" s="182" t="s">
        <v>5</v>
      </c>
      <c r="KP27" s="322">
        <f t="shared" si="63"/>
        <v>220.12253680779818</v>
      </c>
      <c r="KR27" s="474" t="s">
        <v>141</v>
      </c>
      <c r="KS27" s="254" t="s">
        <v>4</v>
      </c>
      <c r="KT27" s="170" t="s">
        <v>9</v>
      </c>
      <c r="KU27" s="221" t="s">
        <v>20</v>
      </c>
      <c r="KV27" s="117" t="s">
        <v>14</v>
      </c>
      <c r="KW27" s="124" t="s">
        <v>194</v>
      </c>
      <c r="KX27" s="240" t="s">
        <v>6</v>
      </c>
      <c r="KY27" s="240" t="s">
        <v>15</v>
      </c>
      <c r="KZ27" s="240" t="s">
        <v>6</v>
      </c>
      <c r="LA27" s="155" t="s">
        <v>10</v>
      </c>
      <c r="LB27" s="166" t="s">
        <v>9</v>
      </c>
      <c r="LC27" s="117" t="s">
        <v>5</v>
      </c>
      <c r="LD27" s="159" t="s">
        <v>9</v>
      </c>
      <c r="LE27" s="155" t="s">
        <v>7</v>
      </c>
      <c r="LF27" s="166" t="s">
        <v>15</v>
      </c>
      <c r="LG27" s="123" t="s">
        <v>230</v>
      </c>
      <c r="LH27" s="358">
        <v>14</v>
      </c>
      <c r="LW27" s="369">
        <v>80</v>
      </c>
      <c r="LX27" s="317" t="s">
        <v>141</v>
      </c>
      <c r="LY27" s="370" t="s">
        <v>154</v>
      </c>
      <c r="LZ27" s="306">
        <f t="shared" si="64"/>
        <v>20</v>
      </c>
      <c r="MA27" s="306">
        <f t="shared" si="65"/>
        <v>4</v>
      </c>
      <c r="MB27" s="306">
        <f t="shared" si="66"/>
        <v>14</v>
      </c>
      <c r="MC27" s="306">
        <f t="shared" si="67"/>
        <v>28</v>
      </c>
      <c r="MD27" s="306">
        <f t="shared" si="68"/>
        <v>17</v>
      </c>
      <c r="ME27" s="306">
        <f t="shared" si="69"/>
        <v>21</v>
      </c>
      <c r="MF27" s="306">
        <f t="shared" si="70"/>
        <v>19</v>
      </c>
      <c r="MG27" s="306">
        <f t="shared" si="71"/>
        <v>23</v>
      </c>
      <c r="MH27" s="306">
        <f t="shared" si="72"/>
        <v>18</v>
      </c>
      <c r="MI27" s="306">
        <f t="shared" si="73"/>
        <v>9</v>
      </c>
      <c r="MJ27" s="306">
        <f t="shared" si="74"/>
        <v>18</v>
      </c>
      <c r="MK27" s="306">
        <f t="shared" si="75"/>
        <v>21</v>
      </c>
      <c r="ML27" s="306">
        <f t="shared" si="76"/>
        <v>17</v>
      </c>
      <c r="MM27" s="306">
        <f t="shared" si="77"/>
        <v>10</v>
      </c>
      <c r="MN27" s="306">
        <f t="shared" si="78"/>
        <v>8</v>
      </c>
      <c r="MO27" s="306">
        <f t="shared" si="79"/>
        <v>19</v>
      </c>
      <c r="MP27" s="306">
        <f t="shared" si="80"/>
        <v>19</v>
      </c>
      <c r="MQ27" s="306">
        <f t="shared" si="81"/>
        <v>21</v>
      </c>
      <c r="MR27" s="306">
        <f t="shared" si="82"/>
        <v>22</v>
      </c>
      <c r="MS27" s="306">
        <f t="shared" si="83"/>
        <v>25</v>
      </c>
      <c r="MT27" s="306">
        <f t="shared" si="84"/>
        <v>26</v>
      </c>
      <c r="MU27" s="306">
        <f t="shared" si="85"/>
        <v>28</v>
      </c>
      <c r="MV27" s="306">
        <f t="shared" si="86"/>
        <v>23</v>
      </c>
      <c r="MY27" s="306">
        <f t="shared" si="87"/>
        <v>5</v>
      </c>
      <c r="MZ27" s="306">
        <f t="shared" si="88"/>
        <v>29</v>
      </c>
      <c r="NA27" s="306">
        <f t="shared" si="89"/>
        <v>28</v>
      </c>
      <c r="NB27" s="306">
        <f t="shared" si="90"/>
        <v>13</v>
      </c>
      <c r="NC27" s="306">
        <f t="shared" si="91"/>
        <v>14</v>
      </c>
      <c r="ND27" s="306">
        <f t="shared" si="92"/>
        <v>28</v>
      </c>
      <c r="NE27" s="306">
        <f t="shared" si="93"/>
        <v>29</v>
      </c>
      <c r="NF27" s="306">
        <f t="shared" si="94"/>
        <v>29</v>
      </c>
      <c r="NG27" s="306">
        <f t="shared" si="95"/>
        <v>17</v>
      </c>
      <c r="NH27" s="306">
        <f t="shared" si="96"/>
        <v>26</v>
      </c>
      <c r="NI27" s="306">
        <f t="shared" si="97"/>
        <v>13</v>
      </c>
      <c r="NJ27" s="306">
        <f t="shared" si="98"/>
        <v>14</v>
      </c>
      <c r="NK27" s="306">
        <f t="shared" si="99"/>
        <v>16</v>
      </c>
      <c r="NL27" s="306">
        <f t="shared" si="100"/>
        <v>26</v>
      </c>
      <c r="NM27" s="306">
        <f t="shared" si="57"/>
        <v>3</v>
      </c>
      <c r="NN27" s="306">
        <f t="shared" si="101"/>
        <v>0</v>
      </c>
      <c r="NO27" s="306">
        <f t="shared" si="102"/>
        <v>0</v>
      </c>
      <c r="NU27" s="370" t="s">
        <v>154</v>
      </c>
      <c r="NV27" s="357"/>
      <c r="NX27" s="166" t="s">
        <v>7</v>
      </c>
      <c r="NY27" s="166" t="s">
        <v>22</v>
      </c>
      <c r="NZ27" s="166" t="s">
        <v>6</v>
      </c>
      <c r="OA27" s="246" t="s">
        <v>20</v>
      </c>
      <c r="OB27" s="372" t="s">
        <v>188</v>
      </c>
      <c r="OC27" s="230" t="s">
        <v>8</v>
      </c>
      <c r="OD27" s="230" t="s">
        <v>7</v>
      </c>
      <c r="OE27" s="230" t="s">
        <v>8</v>
      </c>
      <c r="OF27" s="371" t="s">
        <v>189</v>
      </c>
      <c r="OG27" s="372" t="s">
        <v>190</v>
      </c>
      <c r="OH27" s="246" t="s">
        <v>43</v>
      </c>
      <c r="OI27" s="246" t="s">
        <v>20</v>
      </c>
      <c r="OJ27" s="230" t="s">
        <v>12</v>
      </c>
      <c r="OK27" s="230" t="s">
        <v>20</v>
      </c>
      <c r="OL27" s="246" t="s">
        <v>7</v>
      </c>
      <c r="OM27" s="372" t="s">
        <v>186</v>
      </c>
      <c r="ON27" s="246" t="s">
        <v>43</v>
      </c>
      <c r="OO27" s="225" t="s">
        <v>187</v>
      </c>
      <c r="OP27" s="246" t="s">
        <v>43</v>
      </c>
      <c r="OQ27" s="246" t="s">
        <v>12</v>
      </c>
      <c r="OR27" s="159" t="s">
        <v>14</v>
      </c>
      <c r="OS27" s="159" t="s">
        <v>6</v>
      </c>
      <c r="OT27" s="246" t="s">
        <v>5</v>
      </c>
      <c r="OV27" s="475" t="s">
        <v>141</v>
      </c>
      <c r="OW27" s="246" t="s">
        <v>4</v>
      </c>
      <c r="OX27" s="246" t="s">
        <v>9</v>
      </c>
      <c r="OY27" s="240" t="s">
        <v>20</v>
      </c>
      <c r="OZ27" s="240" t="s">
        <v>14</v>
      </c>
      <c r="PA27" s="225" t="s">
        <v>194</v>
      </c>
      <c r="PB27" s="246" t="s">
        <v>6</v>
      </c>
      <c r="PC27" s="246" t="s">
        <v>15</v>
      </c>
      <c r="PD27" s="246" t="s">
        <v>6</v>
      </c>
      <c r="PE27" s="246" t="s">
        <v>10</v>
      </c>
      <c r="PF27" s="246" t="s">
        <v>9</v>
      </c>
      <c r="PG27" s="246" t="s">
        <v>5</v>
      </c>
      <c r="PH27" s="246" t="s">
        <v>9</v>
      </c>
      <c r="PI27" s="246" t="s">
        <v>7</v>
      </c>
      <c r="PJ27" s="246" t="s">
        <v>15</v>
      </c>
      <c r="PK27" s="382" t="s">
        <v>230</v>
      </c>
      <c r="PM27"/>
      <c r="PN27"/>
      <c r="PO27"/>
      <c r="PP27"/>
      <c r="PQ27"/>
      <c r="PR27"/>
      <c r="PS27"/>
      <c r="PT27"/>
      <c r="QN27" s="357"/>
      <c r="QO27" s="66" t="s">
        <v>102</v>
      </c>
      <c r="QP27" s="124" t="s">
        <v>213</v>
      </c>
      <c r="QQ27" s="246" t="s">
        <v>185</v>
      </c>
      <c r="QR27" s="166" t="s">
        <v>14</v>
      </c>
      <c r="QS27" s="216" t="s">
        <v>197</v>
      </c>
      <c r="QT27" s="254" t="s">
        <v>11</v>
      </c>
      <c r="QU27" s="182" t="s">
        <v>185</v>
      </c>
      <c r="QV27" s="312" t="s">
        <v>43</v>
      </c>
      <c r="QW27" s="131" t="s">
        <v>22</v>
      </c>
      <c r="QX27" s="216" t="s">
        <v>198</v>
      </c>
      <c r="QY27" s="246" t="s">
        <v>2</v>
      </c>
      <c r="QZ27" s="254" t="s">
        <v>22</v>
      </c>
      <c r="RA27" s="254" t="s">
        <v>3</v>
      </c>
      <c r="RB27" s="246" t="s">
        <v>43</v>
      </c>
      <c r="RC27" s="125" t="s">
        <v>12</v>
      </c>
      <c r="RD27" s="199" t="s">
        <v>2</v>
      </c>
      <c r="RE27" s="131" t="s">
        <v>205</v>
      </c>
      <c r="RF27" s="159" t="s">
        <v>7</v>
      </c>
      <c r="RG27" s="159" t="s">
        <v>8</v>
      </c>
      <c r="RH27" s="246" t="s">
        <v>43</v>
      </c>
      <c r="RI27" s="246" t="s">
        <v>43</v>
      </c>
      <c r="RJ27" s="125" t="s">
        <v>11</v>
      </c>
      <c r="RK27" s="182" t="s">
        <v>2</v>
      </c>
      <c r="RL27" s="141" t="s">
        <v>8</v>
      </c>
      <c r="RM27" s="246" t="s">
        <v>43</v>
      </c>
      <c r="RN27" s="312" t="s">
        <v>43</v>
      </c>
      <c r="RO27" s="124" t="s">
        <v>201</v>
      </c>
      <c r="RP27" s="254" t="s">
        <v>5</v>
      </c>
      <c r="RQ27" s="230" t="s">
        <v>5</v>
      </c>
      <c r="RR27" s="246" t="s">
        <v>43</v>
      </c>
      <c r="RS27" s="254" t="s">
        <v>20</v>
      </c>
      <c r="RT27" s="235" t="s">
        <v>21</v>
      </c>
      <c r="RU27" s="221" t="s">
        <v>7</v>
      </c>
      <c r="RV27" s="182" t="s">
        <v>7</v>
      </c>
      <c r="RW27" s="240" t="s">
        <v>3</v>
      </c>
      <c r="RX27" s="312" t="s">
        <v>43</v>
      </c>
      <c r="RY27" s="158" t="s">
        <v>22</v>
      </c>
      <c r="RZ27" s="182" t="s">
        <v>20</v>
      </c>
      <c r="SA27" s="190" t="s">
        <v>211</v>
      </c>
      <c r="SB27" s="246" t="s">
        <v>43</v>
      </c>
      <c r="SC27" s="176" t="s">
        <v>1</v>
      </c>
      <c r="SD27" s="182" t="s">
        <v>10</v>
      </c>
      <c r="SE27" s="159" t="s">
        <v>14</v>
      </c>
      <c r="SF27" s="176" t="s">
        <v>7</v>
      </c>
      <c r="SG27" s="124" t="s">
        <v>214</v>
      </c>
      <c r="SH27" s="246" t="s">
        <v>43</v>
      </c>
      <c r="SI27" s="131" t="s">
        <v>5</v>
      </c>
      <c r="SJ27" s="230" t="s">
        <v>279</v>
      </c>
      <c r="SK27" s="322">
        <f t="shared" si="103"/>
        <v>11948.997837178424</v>
      </c>
      <c r="SM27" s="362">
        <v>14</v>
      </c>
      <c r="SO27"/>
      <c r="SP27"/>
      <c r="TP27" s="357"/>
      <c r="TQ27" s="66" t="s">
        <v>102</v>
      </c>
      <c r="TR27" s="306">
        <f t="shared" si="104"/>
        <v>5</v>
      </c>
      <c r="TS27" s="306">
        <f t="shared" si="105"/>
        <v>2</v>
      </c>
      <c r="TT27" s="306">
        <f t="shared" si="106"/>
        <v>20</v>
      </c>
      <c r="TU27" s="306">
        <f t="shared" si="107"/>
        <v>6</v>
      </c>
      <c r="TV27" s="306">
        <f t="shared" si="108"/>
        <v>4</v>
      </c>
      <c r="TW27" s="306">
        <f t="shared" si="109"/>
        <v>24</v>
      </c>
      <c r="TX27" s="306">
        <f t="shared" si="110"/>
        <v>11</v>
      </c>
      <c r="TY27" s="306">
        <f t="shared" si="111"/>
        <v>33</v>
      </c>
      <c r="TZ27" s="306">
        <f t="shared" si="112"/>
        <v>33</v>
      </c>
      <c r="UA27" s="306">
        <f t="shared" si="113"/>
        <v>4</v>
      </c>
      <c r="UB27" s="306">
        <f t="shared" si="114"/>
        <v>4</v>
      </c>
      <c r="UC27" s="306">
        <f t="shared" si="115"/>
        <v>3</v>
      </c>
      <c r="UD27" s="306">
        <f t="shared" si="116"/>
        <v>27</v>
      </c>
      <c r="UE27" s="306">
        <f t="shared" si="117"/>
        <v>9</v>
      </c>
      <c r="UF27" s="306">
        <f t="shared" si="118"/>
        <v>24</v>
      </c>
      <c r="UG27" s="306">
        <f t="shared" si="119"/>
        <v>7</v>
      </c>
      <c r="UH27" s="306">
        <f t="shared" si="120"/>
        <v>28</v>
      </c>
      <c r="UI27" s="306">
        <f t="shared" si="121"/>
        <v>32</v>
      </c>
      <c r="UJ27" s="306">
        <f t="shared" si="122"/>
        <v>26</v>
      </c>
      <c r="UK27" s="306">
        <f t="shared" si="123"/>
        <v>31</v>
      </c>
      <c r="UL27" s="306">
        <f t="shared" si="124"/>
        <v>26</v>
      </c>
      <c r="UM27" s="306">
        <f t="shared" si="125"/>
        <v>28</v>
      </c>
      <c r="UN27" s="306">
        <f t="shared" si="126"/>
        <v>8</v>
      </c>
      <c r="UO27" s="306">
        <f t="shared" si="127"/>
        <v>23</v>
      </c>
      <c r="UP27" s="306">
        <f t="shared" si="128"/>
        <v>13</v>
      </c>
      <c r="UQ27" s="306">
        <f t="shared" si="129"/>
        <v>30</v>
      </c>
      <c r="UR27" s="306">
        <f t="shared" si="130"/>
        <v>7</v>
      </c>
      <c r="US27" s="306">
        <f t="shared" si="131"/>
        <v>22</v>
      </c>
      <c r="UT27" s="306">
        <f t="shared" si="132"/>
        <v>30</v>
      </c>
      <c r="UU27" s="306">
        <f t="shared" si="133"/>
        <v>7</v>
      </c>
      <c r="UV27" s="306">
        <f t="shared" si="134"/>
        <v>31</v>
      </c>
      <c r="UW27" s="306">
        <f t="shared" si="135"/>
        <v>3</v>
      </c>
      <c r="UX27" s="306">
        <f t="shared" si="136"/>
        <v>32</v>
      </c>
      <c r="UY27" s="306">
        <f t="shared" si="137"/>
        <v>19</v>
      </c>
      <c r="UZ27" s="306">
        <f t="shared" si="138"/>
        <v>11</v>
      </c>
      <c r="VA27" s="306">
        <f t="shared" si="139"/>
        <v>18</v>
      </c>
      <c r="VB27" s="306">
        <f t="shared" si="140"/>
        <v>8</v>
      </c>
      <c r="VC27" s="306">
        <f t="shared" si="141"/>
        <v>13</v>
      </c>
      <c r="VD27" s="306">
        <f t="shared" si="142"/>
        <v>13</v>
      </c>
      <c r="VE27" s="306">
        <f t="shared" si="143"/>
        <v>26</v>
      </c>
      <c r="VF27" s="306">
        <f t="shared" si="144"/>
        <v>17</v>
      </c>
      <c r="VG27" s="306">
        <f t="shared" si="145"/>
        <v>23</v>
      </c>
      <c r="VH27" s="306">
        <f t="shared" si="146"/>
        <v>29</v>
      </c>
      <c r="VI27" s="306">
        <f t="shared" si="147"/>
        <v>6</v>
      </c>
      <c r="VJ27" s="306">
        <f t="shared" si="148"/>
        <v>6</v>
      </c>
      <c r="VK27" s="306">
        <f t="shared" si="149"/>
        <v>32</v>
      </c>
      <c r="VL27" s="306">
        <f t="shared" si="150"/>
        <v>4</v>
      </c>
      <c r="VN27" s="306">
        <f t="shared" si="151"/>
        <v>0</v>
      </c>
      <c r="WR27" s="357"/>
      <c r="WS27" s="66" t="s">
        <v>102</v>
      </c>
      <c r="WT27" s="225" t="s">
        <v>213</v>
      </c>
      <c r="WU27" s="246" t="s">
        <v>185</v>
      </c>
      <c r="WV27" s="246" t="s">
        <v>14</v>
      </c>
      <c r="WW27" s="225" t="s">
        <v>197</v>
      </c>
      <c r="WX27" s="246" t="s">
        <v>11</v>
      </c>
      <c r="WY27" s="246" t="s">
        <v>185</v>
      </c>
      <c r="WZ27" s="312" t="s">
        <v>43</v>
      </c>
      <c r="XA27" s="246" t="s">
        <v>22</v>
      </c>
      <c r="XB27" s="225" t="s">
        <v>198</v>
      </c>
      <c r="XC27" s="246" t="s">
        <v>2</v>
      </c>
      <c r="XD27" s="141" t="s">
        <v>22</v>
      </c>
      <c r="XE27" s="141" t="s">
        <v>3</v>
      </c>
      <c r="XF27" s="246" t="s">
        <v>43</v>
      </c>
      <c r="XG27" s="159" t="s">
        <v>12</v>
      </c>
      <c r="XH27" s="159" t="s">
        <v>2</v>
      </c>
      <c r="XI27" s="240" t="s">
        <v>205</v>
      </c>
      <c r="XJ27" s="240" t="s">
        <v>7</v>
      </c>
      <c r="XK27" s="240" t="s">
        <v>8</v>
      </c>
      <c r="XL27" s="246" t="s">
        <v>43</v>
      </c>
      <c r="XM27" s="246" t="s">
        <v>43</v>
      </c>
      <c r="XN27" s="159" t="s">
        <v>11</v>
      </c>
      <c r="XO27" s="159" t="s">
        <v>2</v>
      </c>
      <c r="XP27" s="246" t="s">
        <v>8</v>
      </c>
      <c r="XQ27" s="246" t="s">
        <v>43</v>
      </c>
      <c r="XR27" s="312" t="s">
        <v>43</v>
      </c>
      <c r="XS27" s="225" t="s">
        <v>201</v>
      </c>
      <c r="XT27" s="166" t="s">
        <v>5</v>
      </c>
      <c r="XU27" s="166" t="s">
        <v>5</v>
      </c>
      <c r="XV27" s="246" t="s">
        <v>43</v>
      </c>
      <c r="XW27" s="246" t="s">
        <v>20</v>
      </c>
      <c r="XX27" s="225" t="s">
        <v>21</v>
      </c>
      <c r="XY27" s="246" t="s">
        <v>7</v>
      </c>
      <c r="XZ27" s="240" t="s">
        <v>7</v>
      </c>
      <c r="YA27" s="240" t="s">
        <v>3</v>
      </c>
      <c r="YB27" s="312" t="s">
        <v>43</v>
      </c>
      <c r="YC27" s="246" t="s">
        <v>22</v>
      </c>
      <c r="YD27" s="246" t="s">
        <v>20</v>
      </c>
      <c r="YE27" s="225" t="s">
        <v>211</v>
      </c>
      <c r="YF27" s="246" t="s">
        <v>43</v>
      </c>
      <c r="YG27" s="246" t="s">
        <v>1</v>
      </c>
      <c r="YH27" s="246" t="s">
        <v>10</v>
      </c>
      <c r="YI27" s="246" t="s">
        <v>14</v>
      </c>
      <c r="YJ27" s="246" t="s">
        <v>7</v>
      </c>
      <c r="YK27" s="225" t="s">
        <v>214</v>
      </c>
      <c r="YL27" s="246" t="s">
        <v>43</v>
      </c>
      <c r="YM27" s="246" t="s">
        <v>5</v>
      </c>
      <c r="YN27" s="246" t="s">
        <v>279</v>
      </c>
      <c r="AFZ27" s="307"/>
    </row>
    <row r="28" spans="1:858" s="306" customFormat="1" ht="20.65" x14ac:dyDescent="0.65">
      <c r="A28" s="70">
        <v>19</v>
      </c>
      <c r="B28" s="305"/>
      <c r="C28" s="45" t="s">
        <v>107</v>
      </c>
      <c r="D28" s="45" t="s">
        <v>106</v>
      </c>
      <c r="E28" s="305"/>
      <c r="F28" s="128">
        <v>1371.4710070037861</v>
      </c>
      <c r="X28" s="355"/>
      <c r="AA28" s="55" t="s">
        <v>53</v>
      </c>
      <c r="AB28" s="305" t="s">
        <v>35</v>
      </c>
      <c r="AC28" s="183" t="s">
        <v>1</v>
      </c>
      <c r="AD28" s="147" t="s">
        <v>2</v>
      </c>
      <c r="AE28" s="132" t="s">
        <v>3</v>
      </c>
      <c r="AF28" s="203" t="s">
        <v>4</v>
      </c>
      <c r="AG28" s="258" t="s">
        <v>5</v>
      </c>
      <c r="AH28" s="196" t="s">
        <v>6</v>
      </c>
      <c r="AI28" s="210" t="s">
        <v>22</v>
      </c>
      <c r="AJ28" s="253" t="s">
        <v>2</v>
      </c>
      <c r="AK28" s="147" t="s">
        <v>10</v>
      </c>
      <c r="AL28" s="157" t="s">
        <v>2</v>
      </c>
      <c r="AM28" s="217" t="s">
        <v>24</v>
      </c>
      <c r="AN28" s="336" t="s">
        <v>246</v>
      </c>
      <c r="AO28" s="183" t="s">
        <v>3</v>
      </c>
      <c r="AP28" s="247" t="s">
        <v>250</v>
      </c>
      <c r="AQ28" s="232" t="s">
        <v>27</v>
      </c>
      <c r="AR28" s="318" t="s">
        <v>43</v>
      </c>
      <c r="AS28" s="146" t="s">
        <v>9</v>
      </c>
      <c r="AT28" s="196" t="s">
        <v>11</v>
      </c>
      <c r="AU28" s="150" t="s">
        <v>20</v>
      </c>
      <c r="AV28" s="147" t="s">
        <v>7</v>
      </c>
      <c r="AW28" s="210" t="s">
        <v>3</v>
      </c>
      <c r="AX28" s="229" t="s">
        <v>43</v>
      </c>
      <c r="AY28" s="229" t="s">
        <v>43</v>
      </c>
      <c r="AZ28" s="146" t="s">
        <v>15</v>
      </c>
      <c r="BA28" s="146" t="s">
        <v>20</v>
      </c>
      <c r="BB28" s="146" t="s">
        <v>6</v>
      </c>
      <c r="BC28" s="168" t="s">
        <v>21</v>
      </c>
      <c r="BD28" s="257" t="s">
        <v>33</v>
      </c>
      <c r="BE28" s="215" t="s">
        <v>10</v>
      </c>
      <c r="BF28" s="318" t="s">
        <v>43</v>
      </c>
      <c r="BG28" s="253" t="s">
        <v>7</v>
      </c>
      <c r="BH28" s="215" t="s">
        <v>3</v>
      </c>
      <c r="BI28" s="183" t="s">
        <v>14</v>
      </c>
      <c r="BJ28" s="183" t="s">
        <v>5</v>
      </c>
      <c r="BK28" s="183" t="s">
        <v>11</v>
      </c>
      <c r="BL28" s="224" t="s">
        <v>245</v>
      </c>
      <c r="BM28" s="192" t="s">
        <v>5</v>
      </c>
      <c r="BN28" s="258" t="s">
        <v>15</v>
      </c>
      <c r="BO28" s="309"/>
      <c r="BP28" s="319">
        <f t="shared" si="59"/>
        <v>528.15578455078946</v>
      </c>
      <c r="BQ28" s="320" t="s">
        <v>65</v>
      </c>
      <c r="BR28" s="193" t="s">
        <v>8</v>
      </c>
      <c r="BS28" s="268" t="s">
        <v>15</v>
      </c>
      <c r="BT28" s="143" t="s">
        <v>14</v>
      </c>
      <c r="BU28" s="227" t="s">
        <v>43</v>
      </c>
      <c r="BV28" s="189" t="s">
        <v>20</v>
      </c>
      <c r="BW28" s="193" t="s">
        <v>44</v>
      </c>
      <c r="BX28" s="227" t="s">
        <v>43</v>
      </c>
      <c r="BY28" s="227" t="s">
        <v>43</v>
      </c>
      <c r="BZ28" s="177" t="s">
        <v>8</v>
      </c>
      <c r="CA28" s="227" t="s">
        <v>43</v>
      </c>
      <c r="CB28" s="177" t="s">
        <v>8</v>
      </c>
      <c r="CC28" s="227" t="s">
        <v>43</v>
      </c>
      <c r="CD28" s="143" t="s">
        <v>45</v>
      </c>
      <c r="CE28" s="227" t="s">
        <v>43</v>
      </c>
      <c r="CF28" s="208" t="s">
        <v>22</v>
      </c>
      <c r="CG28" s="193" t="s">
        <v>10</v>
      </c>
      <c r="CH28" s="227" t="s">
        <v>43</v>
      </c>
      <c r="CI28" s="193" t="s">
        <v>10</v>
      </c>
      <c r="CJ28" s="70">
        <v>53</v>
      </c>
      <c r="DG28" s="357"/>
      <c r="DI28" s="55" t="s">
        <v>53</v>
      </c>
      <c r="DJ28" s="305" t="s">
        <v>35</v>
      </c>
      <c r="DK28" s="363">
        <f t="shared" si="0"/>
        <v>7</v>
      </c>
      <c r="DL28" s="363">
        <f t="shared" si="1"/>
        <v>5</v>
      </c>
      <c r="DM28" s="363">
        <f t="shared" si="2"/>
        <v>7</v>
      </c>
      <c r="DN28" s="363">
        <f t="shared" si="3"/>
        <v>5</v>
      </c>
      <c r="DO28" s="363">
        <f t="shared" si="4"/>
        <v>7</v>
      </c>
      <c r="DP28" s="363">
        <f t="shared" si="5"/>
        <v>5</v>
      </c>
      <c r="DQ28" s="363">
        <f t="shared" si="6"/>
        <v>4</v>
      </c>
      <c r="DR28" s="363">
        <f t="shared" si="7"/>
        <v>7</v>
      </c>
      <c r="DS28" s="363">
        <f t="shared" si="8"/>
        <v>5</v>
      </c>
      <c r="DT28" s="363">
        <f t="shared" si="9"/>
        <v>5</v>
      </c>
      <c r="DU28" s="363">
        <f t="shared" si="10"/>
        <v>7</v>
      </c>
      <c r="DV28" s="363">
        <f t="shared" si="11"/>
        <v>7</v>
      </c>
      <c r="DW28" s="363">
        <f t="shared" si="12"/>
        <v>7</v>
      </c>
      <c r="DX28" s="363">
        <f t="shared" si="13"/>
        <v>7</v>
      </c>
      <c r="DY28" s="363">
        <f t="shared" si="14"/>
        <v>7</v>
      </c>
      <c r="DZ28" s="363">
        <f t="shared" si="15"/>
        <v>4</v>
      </c>
      <c r="EA28" s="363">
        <f t="shared" si="16"/>
        <v>7</v>
      </c>
      <c r="EB28" s="363">
        <f t="shared" si="17"/>
        <v>3</v>
      </c>
      <c r="EC28" s="363">
        <f t="shared" si="18"/>
        <v>7</v>
      </c>
      <c r="ED28" s="363">
        <f t="shared" si="19"/>
        <v>7</v>
      </c>
      <c r="EE28" s="363">
        <f t="shared" si="20"/>
        <v>5</v>
      </c>
      <c r="EF28" s="363">
        <f t="shared" si="21"/>
        <v>5</v>
      </c>
      <c r="EG28" s="363">
        <f t="shared" si="22"/>
        <v>5</v>
      </c>
      <c r="EH28" s="363">
        <f t="shared" si="23"/>
        <v>5</v>
      </c>
      <c r="EI28" s="363">
        <f t="shared" si="24"/>
        <v>5</v>
      </c>
      <c r="EJ28" s="363">
        <f t="shared" si="25"/>
        <v>5</v>
      </c>
      <c r="EK28" s="363">
        <f t="shared" si="26"/>
        <v>5</v>
      </c>
      <c r="EL28" s="363">
        <f t="shared" si="27"/>
        <v>3</v>
      </c>
      <c r="EM28" s="363">
        <f t="shared" si="28"/>
        <v>5</v>
      </c>
      <c r="EN28" s="363">
        <f t="shared" si="29"/>
        <v>3</v>
      </c>
      <c r="EO28" s="363">
        <f t="shared" si="30"/>
        <v>5</v>
      </c>
      <c r="EP28" s="363">
        <f t="shared" si="31"/>
        <v>5</v>
      </c>
      <c r="EQ28" s="363">
        <f t="shared" si="32"/>
        <v>6</v>
      </c>
      <c r="ER28" s="363">
        <f t="shared" si="33"/>
        <v>5</v>
      </c>
      <c r="ES28" s="363">
        <f t="shared" si="34"/>
        <v>7</v>
      </c>
      <c r="ET28" s="363">
        <f t="shared" si="35"/>
        <v>7</v>
      </c>
      <c r="EU28" s="363">
        <f t="shared" si="36"/>
        <v>7</v>
      </c>
      <c r="EV28" s="363">
        <f t="shared" si="37"/>
        <v>7</v>
      </c>
      <c r="EW28" s="320" t="s">
        <v>65</v>
      </c>
      <c r="EX28" s="363">
        <f t="shared" si="38"/>
        <v>1</v>
      </c>
      <c r="EY28" s="363">
        <f t="shared" si="39"/>
        <v>7</v>
      </c>
      <c r="EZ28" s="363">
        <f t="shared" si="40"/>
        <v>5</v>
      </c>
      <c r="FA28" s="363">
        <f t="shared" si="41"/>
        <v>7</v>
      </c>
      <c r="FB28" s="363">
        <f t="shared" si="42"/>
        <v>7</v>
      </c>
      <c r="FC28" s="363">
        <f t="shared" si="43"/>
        <v>7</v>
      </c>
      <c r="FD28" s="363">
        <f t="shared" si="44"/>
        <v>7</v>
      </c>
      <c r="FE28" s="363">
        <f t="shared" si="45"/>
        <v>7</v>
      </c>
      <c r="FF28" s="363">
        <f t="shared" si="46"/>
        <v>7</v>
      </c>
      <c r="FG28" s="363">
        <f t="shared" si="47"/>
        <v>7</v>
      </c>
      <c r="FH28" s="363">
        <f t="shared" si="48"/>
        <v>7</v>
      </c>
      <c r="FI28" s="363">
        <f t="shared" si="49"/>
        <v>7</v>
      </c>
      <c r="FJ28" s="363">
        <f t="shared" si="50"/>
        <v>7</v>
      </c>
      <c r="FK28" s="363">
        <f t="shared" si="51"/>
        <v>7</v>
      </c>
      <c r="FL28" s="363">
        <f t="shared" si="52"/>
        <v>1</v>
      </c>
      <c r="FM28" s="363">
        <f t="shared" si="53"/>
        <v>7</v>
      </c>
      <c r="FN28" s="363">
        <f t="shared" si="54"/>
        <v>7</v>
      </c>
      <c r="FO28" s="363">
        <f t="shared" si="55"/>
        <v>7</v>
      </c>
      <c r="FP28" s="363">
        <f t="shared" si="60"/>
        <v>0</v>
      </c>
      <c r="FQ28" s="363">
        <f t="shared" si="61"/>
        <v>0</v>
      </c>
      <c r="FR28" s="309">
        <f t="shared" si="62"/>
        <v>0</v>
      </c>
      <c r="GM28" s="357"/>
      <c r="GO28" s="55" t="s">
        <v>53</v>
      </c>
      <c r="GP28" s="305" t="s">
        <v>35</v>
      </c>
      <c r="GQ28" s="244" t="s">
        <v>1</v>
      </c>
      <c r="GR28" s="244" t="s">
        <v>2</v>
      </c>
      <c r="GS28" s="244" t="s">
        <v>3</v>
      </c>
      <c r="GT28" s="244" t="s">
        <v>4</v>
      </c>
      <c r="GU28" s="244" t="s">
        <v>5</v>
      </c>
      <c r="GV28" s="244" t="s">
        <v>6</v>
      </c>
      <c r="GW28" s="244" t="s">
        <v>22</v>
      </c>
      <c r="GX28" s="244" t="s">
        <v>2</v>
      </c>
      <c r="GY28" s="244" t="s">
        <v>10</v>
      </c>
      <c r="GZ28" s="223" t="s">
        <v>2</v>
      </c>
      <c r="HA28" s="366" t="s">
        <v>24</v>
      </c>
      <c r="HB28" s="380" t="s">
        <v>323</v>
      </c>
      <c r="HC28" s="244" t="s">
        <v>3</v>
      </c>
      <c r="HD28" s="366" t="s">
        <v>327</v>
      </c>
      <c r="HE28" s="366" t="s">
        <v>27</v>
      </c>
      <c r="HF28" s="318" t="s">
        <v>43</v>
      </c>
      <c r="HG28" s="244" t="s">
        <v>9</v>
      </c>
      <c r="HH28" s="244" t="s">
        <v>11</v>
      </c>
      <c r="HI28" s="244" t="s">
        <v>20</v>
      </c>
      <c r="HJ28" s="244" t="s">
        <v>7</v>
      </c>
      <c r="HK28" s="244" t="s">
        <v>3</v>
      </c>
      <c r="HL28" s="244" t="s">
        <v>43</v>
      </c>
      <c r="HM28" s="244" t="s">
        <v>43</v>
      </c>
      <c r="HN28" s="244" t="s">
        <v>15</v>
      </c>
      <c r="HO28" s="244" t="s">
        <v>20</v>
      </c>
      <c r="HP28" s="244" t="s">
        <v>6</v>
      </c>
      <c r="HQ28" s="366" t="s">
        <v>21</v>
      </c>
      <c r="HR28" s="386" t="s">
        <v>33</v>
      </c>
      <c r="HS28" s="244" t="s">
        <v>10</v>
      </c>
      <c r="HT28" s="318" t="s">
        <v>43</v>
      </c>
      <c r="HU28" s="244" t="s">
        <v>7</v>
      </c>
      <c r="HV28" s="244" t="s">
        <v>3</v>
      </c>
      <c r="HW28" s="244" t="s">
        <v>14</v>
      </c>
      <c r="HX28" s="244" t="s">
        <v>5</v>
      </c>
      <c r="HY28" s="244" t="s">
        <v>11</v>
      </c>
      <c r="HZ28" s="366" t="s">
        <v>319</v>
      </c>
      <c r="IA28" s="244" t="s">
        <v>5</v>
      </c>
      <c r="IB28" s="244" t="s">
        <v>15</v>
      </c>
      <c r="IC28" s="320" t="s">
        <v>65</v>
      </c>
      <c r="ID28" s="173" t="s">
        <v>8</v>
      </c>
      <c r="IE28" s="173" t="s">
        <v>15</v>
      </c>
      <c r="IF28" s="173" t="s">
        <v>14</v>
      </c>
      <c r="IG28" s="173" t="s">
        <v>43</v>
      </c>
      <c r="IH28" s="173" t="s">
        <v>20</v>
      </c>
      <c r="II28" s="173" t="s">
        <v>44</v>
      </c>
      <c r="IJ28" s="173" t="s">
        <v>43</v>
      </c>
      <c r="IK28" s="173" t="s">
        <v>43</v>
      </c>
      <c r="IL28" s="173" t="s">
        <v>8</v>
      </c>
      <c r="IM28" s="173" t="s">
        <v>43</v>
      </c>
      <c r="IN28" s="173" t="s">
        <v>8</v>
      </c>
      <c r="IO28" s="173" t="s">
        <v>43</v>
      </c>
      <c r="IP28" s="173" t="s">
        <v>45</v>
      </c>
      <c r="IQ28" s="173" t="s">
        <v>43</v>
      </c>
      <c r="IR28" s="173" t="s">
        <v>22</v>
      </c>
      <c r="IS28" s="173" t="s">
        <v>10</v>
      </c>
      <c r="IT28" s="173" t="s">
        <v>43</v>
      </c>
      <c r="IU28" s="173" t="s">
        <v>10</v>
      </c>
      <c r="JN28" s="357"/>
      <c r="JO28" s="369">
        <v>82</v>
      </c>
      <c r="JP28" s="305" t="s">
        <v>135</v>
      </c>
      <c r="JQ28" s="328" t="s">
        <v>156</v>
      </c>
      <c r="JR28" s="67" t="s">
        <v>157</v>
      </c>
      <c r="JS28" s="159" t="s">
        <v>7</v>
      </c>
      <c r="JT28" s="246" t="s">
        <v>43</v>
      </c>
      <c r="JU28" s="109" t="s">
        <v>6</v>
      </c>
      <c r="JV28" s="198" t="s">
        <v>14</v>
      </c>
      <c r="JW28" s="149" t="s">
        <v>43</v>
      </c>
      <c r="JX28" s="182" t="s">
        <v>2</v>
      </c>
      <c r="JY28" s="155" t="s">
        <v>10</v>
      </c>
      <c r="JZ28" s="254" t="s">
        <v>2</v>
      </c>
      <c r="KA28" s="126" t="s">
        <v>184</v>
      </c>
      <c r="KB28" s="129" t="s">
        <v>43</v>
      </c>
      <c r="KC28" s="172" t="s">
        <v>10</v>
      </c>
      <c r="KD28" s="163" t="s">
        <v>20</v>
      </c>
      <c r="KE28" s="159" t="s">
        <v>6</v>
      </c>
      <c r="KF28" s="198" t="s">
        <v>5</v>
      </c>
      <c r="KG28" s="125" t="s">
        <v>4</v>
      </c>
      <c r="KH28" s="118" t="s">
        <v>186</v>
      </c>
      <c r="KI28" s="246" t="s">
        <v>43</v>
      </c>
      <c r="KJ28" s="190" t="s">
        <v>187</v>
      </c>
      <c r="KK28" s="246" t="s">
        <v>43</v>
      </c>
      <c r="KL28" s="159" t="s">
        <v>12</v>
      </c>
      <c r="KM28" s="159" t="s">
        <v>14</v>
      </c>
      <c r="KN28" s="182" t="s">
        <v>6</v>
      </c>
      <c r="KO28" s="182" t="s">
        <v>5</v>
      </c>
      <c r="KP28" s="322">
        <f t="shared" si="63"/>
        <v>194.45730242315619</v>
      </c>
      <c r="KR28" s="329" t="s">
        <v>135</v>
      </c>
      <c r="KS28" s="159" t="s">
        <v>10</v>
      </c>
      <c r="KT28" s="170" t="s">
        <v>9</v>
      </c>
      <c r="KU28" s="221" t="s">
        <v>20</v>
      </c>
      <c r="KV28" s="166" t="s">
        <v>4</v>
      </c>
      <c r="KW28" s="204" t="s">
        <v>193</v>
      </c>
      <c r="KX28" s="240" t="s">
        <v>6</v>
      </c>
      <c r="KY28" s="240" t="s">
        <v>15</v>
      </c>
      <c r="KZ28" s="240" t="s">
        <v>6</v>
      </c>
      <c r="LA28" s="158" t="s">
        <v>15</v>
      </c>
      <c r="LB28" s="166" t="s">
        <v>9</v>
      </c>
      <c r="LC28" s="159" t="s">
        <v>185</v>
      </c>
      <c r="LD28" s="159" t="s">
        <v>6</v>
      </c>
      <c r="LE28" s="159" t="s">
        <v>8</v>
      </c>
      <c r="LF28" s="166" t="s">
        <v>15</v>
      </c>
      <c r="LG28" s="113" t="s">
        <v>228</v>
      </c>
      <c r="LH28" s="358">
        <v>15</v>
      </c>
      <c r="LW28" s="369">
        <v>82</v>
      </c>
      <c r="LX28" s="317" t="s">
        <v>135</v>
      </c>
      <c r="LY28" s="370" t="s">
        <v>156</v>
      </c>
      <c r="LZ28" s="306">
        <f t="shared" si="64"/>
        <v>20</v>
      </c>
      <c r="MA28" s="306">
        <f t="shared" si="65"/>
        <v>13</v>
      </c>
      <c r="MB28" s="306">
        <f t="shared" si="66"/>
        <v>14</v>
      </c>
      <c r="MC28" s="306">
        <f t="shared" si="67"/>
        <v>2</v>
      </c>
      <c r="MD28" s="306">
        <f t="shared" si="68"/>
        <v>13</v>
      </c>
      <c r="ME28" s="306">
        <f t="shared" si="69"/>
        <v>7</v>
      </c>
      <c r="MF28" s="306">
        <f t="shared" si="70"/>
        <v>11</v>
      </c>
      <c r="MG28" s="306">
        <f t="shared" si="71"/>
        <v>7</v>
      </c>
      <c r="MH28" s="306">
        <f t="shared" si="72"/>
        <v>12</v>
      </c>
      <c r="MI28" s="306">
        <f t="shared" si="73"/>
        <v>12</v>
      </c>
      <c r="MJ28" s="306">
        <f t="shared" si="74"/>
        <v>9</v>
      </c>
      <c r="MK28" s="306">
        <f t="shared" si="75"/>
        <v>21</v>
      </c>
      <c r="ML28" s="306">
        <f t="shared" si="76"/>
        <v>12</v>
      </c>
      <c r="MM28" s="306">
        <f t="shared" si="77"/>
        <v>2</v>
      </c>
      <c r="MN28" s="306">
        <f t="shared" si="78"/>
        <v>18</v>
      </c>
      <c r="MO28" s="306">
        <f t="shared" si="79"/>
        <v>19</v>
      </c>
      <c r="MP28" s="306">
        <f t="shared" si="80"/>
        <v>19</v>
      </c>
      <c r="MQ28" s="306">
        <f t="shared" si="81"/>
        <v>21</v>
      </c>
      <c r="MR28" s="306">
        <f t="shared" si="82"/>
        <v>22</v>
      </c>
      <c r="MS28" s="306">
        <f t="shared" si="83"/>
        <v>25</v>
      </c>
      <c r="MT28" s="306">
        <f t="shared" si="84"/>
        <v>26</v>
      </c>
      <c r="MU28" s="306">
        <f t="shared" si="85"/>
        <v>28</v>
      </c>
      <c r="MV28" s="306">
        <f t="shared" si="86"/>
        <v>23</v>
      </c>
      <c r="MY28" s="306">
        <f t="shared" si="87"/>
        <v>25</v>
      </c>
      <c r="MZ28" s="306">
        <f t="shared" si="88"/>
        <v>29</v>
      </c>
      <c r="NA28" s="306">
        <f t="shared" si="89"/>
        <v>28</v>
      </c>
      <c r="NB28" s="306">
        <f t="shared" si="90"/>
        <v>17</v>
      </c>
      <c r="NC28" s="306">
        <f t="shared" si="91"/>
        <v>16</v>
      </c>
      <c r="ND28" s="306">
        <f t="shared" si="92"/>
        <v>28</v>
      </c>
      <c r="NE28" s="306">
        <f t="shared" si="93"/>
        <v>29</v>
      </c>
      <c r="NF28" s="306">
        <f t="shared" si="94"/>
        <v>29</v>
      </c>
      <c r="NG28" s="306">
        <f t="shared" si="95"/>
        <v>13</v>
      </c>
      <c r="NH28" s="306">
        <f t="shared" si="96"/>
        <v>26</v>
      </c>
      <c r="NI28" s="306">
        <f t="shared" si="97"/>
        <v>14</v>
      </c>
      <c r="NJ28" s="306">
        <f t="shared" si="98"/>
        <v>13</v>
      </c>
      <c r="NK28" s="306">
        <f t="shared" si="99"/>
        <v>11</v>
      </c>
      <c r="NL28" s="306">
        <f t="shared" si="100"/>
        <v>26</v>
      </c>
      <c r="NM28" s="306">
        <f t="shared" si="57"/>
        <v>15</v>
      </c>
      <c r="NN28" s="306">
        <f t="shared" si="101"/>
        <v>0</v>
      </c>
      <c r="NO28" s="306">
        <f t="shared" si="102"/>
        <v>0</v>
      </c>
      <c r="NU28" s="370" t="s">
        <v>156</v>
      </c>
      <c r="NV28" s="357"/>
      <c r="NX28" s="246" t="s">
        <v>7</v>
      </c>
      <c r="NY28" s="246" t="s">
        <v>43</v>
      </c>
      <c r="NZ28" s="246" t="s">
        <v>6</v>
      </c>
      <c r="OA28" s="246" t="s">
        <v>14</v>
      </c>
      <c r="OB28" s="149" t="s">
        <v>43</v>
      </c>
      <c r="OC28" s="159" t="s">
        <v>2</v>
      </c>
      <c r="OD28" s="159" t="s">
        <v>10</v>
      </c>
      <c r="OE28" s="159" t="s">
        <v>2</v>
      </c>
      <c r="OF28" s="371" t="s">
        <v>184</v>
      </c>
      <c r="OG28" s="129" t="s">
        <v>43</v>
      </c>
      <c r="OH28" s="246" t="s">
        <v>10</v>
      </c>
      <c r="OI28" s="246" t="s">
        <v>20</v>
      </c>
      <c r="OJ28" s="166" t="s">
        <v>6</v>
      </c>
      <c r="OK28" s="166" t="s">
        <v>5</v>
      </c>
      <c r="OL28" s="246" t="s">
        <v>4</v>
      </c>
      <c r="OM28" s="372" t="s">
        <v>186</v>
      </c>
      <c r="ON28" s="246" t="s">
        <v>43</v>
      </c>
      <c r="OO28" s="225" t="s">
        <v>187</v>
      </c>
      <c r="OP28" s="246" t="s">
        <v>43</v>
      </c>
      <c r="OQ28" s="246" t="s">
        <v>12</v>
      </c>
      <c r="OR28" s="159" t="s">
        <v>14</v>
      </c>
      <c r="OS28" s="159" t="s">
        <v>6</v>
      </c>
      <c r="OT28" s="246" t="s">
        <v>5</v>
      </c>
      <c r="OV28" s="370" t="s">
        <v>135</v>
      </c>
      <c r="OW28" s="246" t="s">
        <v>10</v>
      </c>
      <c r="OX28" s="246" t="s">
        <v>9</v>
      </c>
      <c r="OY28" s="159" t="s">
        <v>20</v>
      </c>
      <c r="OZ28" s="159" t="s">
        <v>4</v>
      </c>
      <c r="PA28" s="225" t="s">
        <v>193</v>
      </c>
      <c r="PB28" s="246" t="s">
        <v>6</v>
      </c>
      <c r="PC28" s="246" t="s">
        <v>15</v>
      </c>
      <c r="PD28" s="246" t="s">
        <v>6</v>
      </c>
      <c r="PE28" s="246" t="s">
        <v>15</v>
      </c>
      <c r="PF28" s="246" t="s">
        <v>9</v>
      </c>
      <c r="PG28" s="246" t="s">
        <v>185</v>
      </c>
      <c r="PH28" s="246" t="s">
        <v>6</v>
      </c>
      <c r="PI28" s="246" t="s">
        <v>8</v>
      </c>
      <c r="PJ28" s="246" t="s">
        <v>15</v>
      </c>
      <c r="PK28" s="373" t="s">
        <v>228</v>
      </c>
      <c r="PM28"/>
      <c r="PN28"/>
      <c r="PO28"/>
      <c r="PP28"/>
      <c r="PQ28"/>
      <c r="PR28"/>
      <c r="PS28"/>
      <c r="PT28"/>
      <c r="QN28" s="357"/>
      <c r="QO28" s="66" t="s">
        <v>103</v>
      </c>
      <c r="QP28" s="204" t="s">
        <v>195</v>
      </c>
      <c r="QQ28" s="166" t="s">
        <v>20</v>
      </c>
      <c r="QR28" s="246" t="s">
        <v>20</v>
      </c>
      <c r="QS28" s="216" t="s">
        <v>197</v>
      </c>
      <c r="QT28" s="159" t="s">
        <v>7</v>
      </c>
      <c r="QU28" s="182" t="s">
        <v>185</v>
      </c>
      <c r="QV28" s="312" t="s">
        <v>43</v>
      </c>
      <c r="QW28" s="131" t="s">
        <v>22</v>
      </c>
      <c r="QX28" s="216" t="s">
        <v>198</v>
      </c>
      <c r="QY28" s="155" t="s">
        <v>6</v>
      </c>
      <c r="QZ28" s="230" t="s">
        <v>20</v>
      </c>
      <c r="RA28" s="246" t="s">
        <v>5</v>
      </c>
      <c r="RB28" s="246" t="s">
        <v>43</v>
      </c>
      <c r="RC28" s="246" t="s">
        <v>7</v>
      </c>
      <c r="RD28" s="166" t="s">
        <v>22</v>
      </c>
      <c r="RE28" s="131" t="s">
        <v>2</v>
      </c>
      <c r="RF28" s="254" t="s">
        <v>10</v>
      </c>
      <c r="RG28" s="254" t="s">
        <v>2</v>
      </c>
      <c r="RH28" s="225" t="s">
        <v>257</v>
      </c>
      <c r="RI28" s="246" t="s">
        <v>43</v>
      </c>
      <c r="RJ28" s="125" t="s">
        <v>11</v>
      </c>
      <c r="RK28" s="182" t="s">
        <v>2</v>
      </c>
      <c r="RL28" s="131" t="s">
        <v>6</v>
      </c>
      <c r="RM28" s="246" t="s">
        <v>43</v>
      </c>
      <c r="RN28" s="312" t="s">
        <v>43</v>
      </c>
      <c r="RO28" s="124" t="s">
        <v>201</v>
      </c>
      <c r="RP28" s="254" t="s">
        <v>5</v>
      </c>
      <c r="RQ28" s="230" t="s">
        <v>5</v>
      </c>
      <c r="RR28" s="246" t="s">
        <v>43</v>
      </c>
      <c r="RS28" s="159" t="s">
        <v>10</v>
      </c>
      <c r="RT28" s="235" t="s">
        <v>21</v>
      </c>
      <c r="RU28" s="246" t="s">
        <v>43</v>
      </c>
      <c r="RV28" s="182" t="s">
        <v>7</v>
      </c>
      <c r="RW28" s="240" t="s">
        <v>3</v>
      </c>
      <c r="RX28" s="312" t="s">
        <v>43</v>
      </c>
      <c r="RY28" s="254" t="s">
        <v>14</v>
      </c>
      <c r="RZ28" s="159" t="s">
        <v>185</v>
      </c>
      <c r="SA28" s="246" t="s">
        <v>43</v>
      </c>
      <c r="SB28" s="221" t="s">
        <v>1</v>
      </c>
      <c r="SC28" s="254" t="s">
        <v>205</v>
      </c>
      <c r="SD28" s="166" t="s">
        <v>15</v>
      </c>
      <c r="SE28" s="159" t="s">
        <v>14</v>
      </c>
      <c r="SF28" s="176" t="s">
        <v>7</v>
      </c>
      <c r="SG28" s="124" t="s">
        <v>214</v>
      </c>
      <c r="SH28" s="246" t="s">
        <v>43</v>
      </c>
      <c r="SI28" s="131" t="s">
        <v>5</v>
      </c>
      <c r="SJ28" s="230" t="s">
        <v>279</v>
      </c>
      <c r="SK28" s="322">
        <f t="shared" si="103"/>
        <v>5001.1436096457219</v>
      </c>
      <c r="SM28" s="362">
        <v>15</v>
      </c>
      <c r="SO28"/>
      <c r="SP28"/>
      <c r="TP28" s="357"/>
      <c r="TQ28" s="66" t="s">
        <v>103</v>
      </c>
      <c r="TR28" s="306">
        <f t="shared" si="104"/>
        <v>31</v>
      </c>
      <c r="TS28" s="306">
        <f t="shared" si="105"/>
        <v>23</v>
      </c>
      <c r="TT28" s="306">
        <f t="shared" si="106"/>
        <v>1</v>
      </c>
      <c r="TU28" s="306">
        <f t="shared" si="107"/>
        <v>6</v>
      </c>
      <c r="TV28" s="306">
        <f t="shared" si="108"/>
        <v>6</v>
      </c>
      <c r="TW28" s="306">
        <f t="shared" si="109"/>
        <v>24</v>
      </c>
      <c r="TX28" s="306">
        <f t="shared" si="110"/>
        <v>11</v>
      </c>
      <c r="TY28" s="306">
        <f t="shared" si="111"/>
        <v>33</v>
      </c>
      <c r="TZ28" s="306">
        <f t="shared" si="112"/>
        <v>33</v>
      </c>
      <c r="UA28" s="306">
        <f t="shared" si="113"/>
        <v>6</v>
      </c>
      <c r="UB28" s="306">
        <f t="shared" si="114"/>
        <v>11</v>
      </c>
      <c r="UC28" s="306">
        <f t="shared" si="115"/>
        <v>1</v>
      </c>
      <c r="UD28" s="306">
        <f t="shared" si="116"/>
        <v>27</v>
      </c>
      <c r="UE28" s="306">
        <f t="shared" si="117"/>
        <v>1</v>
      </c>
      <c r="UF28" s="306">
        <f t="shared" si="118"/>
        <v>12</v>
      </c>
      <c r="UG28" s="306">
        <f t="shared" si="119"/>
        <v>13</v>
      </c>
      <c r="UH28" s="306">
        <f t="shared" si="120"/>
        <v>4</v>
      </c>
      <c r="UI28" s="306">
        <f t="shared" si="121"/>
        <v>4</v>
      </c>
      <c r="UJ28" s="306">
        <f t="shared" si="122"/>
        <v>1</v>
      </c>
      <c r="UK28" s="306">
        <f t="shared" si="123"/>
        <v>31</v>
      </c>
      <c r="UL28" s="306">
        <f t="shared" si="124"/>
        <v>26</v>
      </c>
      <c r="UM28" s="306">
        <f t="shared" si="125"/>
        <v>28</v>
      </c>
      <c r="UN28" s="306">
        <f t="shared" si="126"/>
        <v>18</v>
      </c>
      <c r="UO28" s="306">
        <f t="shared" si="127"/>
        <v>23</v>
      </c>
      <c r="UP28" s="306">
        <f t="shared" si="128"/>
        <v>13</v>
      </c>
      <c r="UQ28" s="306">
        <f t="shared" si="129"/>
        <v>30</v>
      </c>
      <c r="UR28" s="306">
        <f t="shared" si="130"/>
        <v>7</v>
      </c>
      <c r="US28" s="306">
        <f t="shared" si="131"/>
        <v>22</v>
      </c>
      <c r="UT28" s="306">
        <f t="shared" si="132"/>
        <v>30</v>
      </c>
      <c r="UU28" s="306">
        <f t="shared" si="133"/>
        <v>22</v>
      </c>
      <c r="UV28" s="306">
        <f t="shared" si="134"/>
        <v>31</v>
      </c>
      <c r="UW28" s="306">
        <f t="shared" si="135"/>
        <v>33</v>
      </c>
      <c r="UX28" s="306">
        <f t="shared" si="136"/>
        <v>32</v>
      </c>
      <c r="UY28" s="306">
        <f t="shared" si="137"/>
        <v>19</v>
      </c>
      <c r="UZ28" s="306">
        <f t="shared" si="138"/>
        <v>11</v>
      </c>
      <c r="VA28" s="306">
        <f t="shared" si="139"/>
        <v>8</v>
      </c>
      <c r="VB28" s="306">
        <f t="shared" si="140"/>
        <v>25</v>
      </c>
      <c r="VC28" s="306">
        <f t="shared" si="141"/>
        <v>18</v>
      </c>
      <c r="VD28" s="306">
        <f t="shared" si="142"/>
        <v>23</v>
      </c>
      <c r="VE28" s="306">
        <f t="shared" si="143"/>
        <v>10</v>
      </c>
      <c r="VF28" s="306">
        <f t="shared" si="144"/>
        <v>19</v>
      </c>
      <c r="VG28" s="306">
        <f t="shared" si="145"/>
        <v>23</v>
      </c>
      <c r="VH28" s="306">
        <f t="shared" si="146"/>
        <v>29</v>
      </c>
      <c r="VI28" s="306">
        <f t="shared" si="147"/>
        <v>6</v>
      </c>
      <c r="VJ28" s="306">
        <f t="shared" si="148"/>
        <v>6</v>
      </c>
      <c r="VK28" s="306">
        <f t="shared" si="149"/>
        <v>32</v>
      </c>
      <c r="VL28" s="306">
        <f t="shared" si="150"/>
        <v>4</v>
      </c>
      <c r="VN28" s="306">
        <f t="shared" si="151"/>
        <v>0</v>
      </c>
      <c r="WR28" s="357"/>
      <c r="WS28" s="66" t="s">
        <v>103</v>
      </c>
      <c r="WT28" s="225" t="s">
        <v>195</v>
      </c>
      <c r="WU28" s="246" t="s">
        <v>20</v>
      </c>
      <c r="WV28" s="246" t="s">
        <v>20</v>
      </c>
      <c r="WW28" s="225" t="s">
        <v>197</v>
      </c>
      <c r="WX28" s="246" t="s">
        <v>7</v>
      </c>
      <c r="WY28" s="246" t="s">
        <v>185</v>
      </c>
      <c r="WZ28" s="312" t="s">
        <v>43</v>
      </c>
      <c r="XA28" s="246" t="s">
        <v>22</v>
      </c>
      <c r="XB28" s="225" t="s">
        <v>198</v>
      </c>
      <c r="XC28" s="246" t="s">
        <v>6</v>
      </c>
      <c r="XD28" s="246" t="s">
        <v>20</v>
      </c>
      <c r="XE28" s="246" t="s">
        <v>5</v>
      </c>
      <c r="XF28" s="246" t="s">
        <v>43</v>
      </c>
      <c r="XG28" s="246" t="s">
        <v>7</v>
      </c>
      <c r="XH28" s="246" t="s">
        <v>22</v>
      </c>
      <c r="XI28" s="246" t="s">
        <v>2</v>
      </c>
      <c r="XJ28" s="246" t="s">
        <v>10</v>
      </c>
      <c r="XK28" s="246" t="s">
        <v>2</v>
      </c>
      <c r="XL28" s="225" t="s">
        <v>257</v>
      </c>
      <c r="XM28" s="246" t="s">
        <v>43</v>
      </c>
      <c r="XN28" s="159" t="s">
        <v>11</v>
      </c>
      <c r="XO28" s="159" t="s">
        <v>2</v>
      </c>
      <c r="XP28" s="246" t="s">
        <v>6</v>
      </c>
      <c r="XQ28" s="246" t="s">
        <v>43</v>
      </c>
      <c r="XR28" s="312" t="s">
        <v>43</v>
      </c>
      <c r="XS28" s="225" t="s">
        <v>201</v>
      </c>
      <c r="XT28" s="166" t="s">
        <v>5</v>
      </c>
      <c r="XU28" s="166" t="s">
        <v>5</v>
      </c>
      <c r="XV28" s="246" t="s">
        <v>43</v>
      </c>
      <c r="XW28" s="159" t="s">
        <v>10</v>
      </c>
      <c r="XX28" s="225" t="s">
        <v>21</v>
      </c>
      <c r="XY28" s="246" t="s">
        <v>43</v>
      </c>
      <c r="XZ28" s="240" t="s">
        <v>7</v>
      </c>
      <c r="YA28" s="240" t="s">
        <v>3</v>
      </c>
      <c r="YB28" s="312" t="s">
        <v>43</v>
      </c>
      <c r="YC28" s="246" t="s">
        <v>14</v>
      </c>
      <c r="YD28" s="246" t="s">
        <v>185</v>
      </c>
      <c r="YE28" s="246" t="s">
        <v>43</v>
      </c>
      <c r="YF28" s="246" t="s">
        <v>1</v>
      </c>
      <c r="YG28" s="246" t="s">
        <v>205</v>
      </c>
      <c r="YH28" s="246" t="s">
        <v>15</v>
      </c>
      <c r="YI28" s="246" t="s">
        <v>14</v>
      </c>
      <c r="YJ28" s="246" t="s">
        <v>7</v>
      </c>
      <c r="YK28" s="225" t="s">
        <v>214</v>
      </c>
      <c r="YL28" s="246" t="s">
        <v>43</v>
      </c>
      <c r="YM28" s="246" t="s">
        <v>5</v>
      </c>
      <c r="YN28" s="246" t="s">
        <v>279</v>
      </c>
      <c r="AFZ28" s="307"/>
    </row>
    <row r="29" spans="1:858" s="306" customFormat="1" ht="20.65" x14ac:dyDescent="0.5">
      <c r="A29" s="70">
        <v>20</v>
      </c>
      <c r="B29" s="305"/>
      <c r="C29" s="45" t="s">
        <v>108</v>
      </c>
      <c r="D29" s="45" t="s">
        <v>109</v>
      </c>
      <c r="E29" s="305"/>
      <c r="F29" s="128">
        <v>3666.2134571462366</v>
      </c>
      <c r="X29" s="355"/>
      <c r="AA29" s="55" t="s">
        <v>53</v>
      </c>
      <c r="AB29" s="476" t="s">
        <v>36</v>
      </c>
      <c r="AC29" s="183" t="s">
        <v>1</v>
      </c>
      <c r="AD29" s="147" t="s">
        <v>2</v>
      </c>
      <c r="AE29" s="132" t="s">
        <v>3</v>
      </c>
      <c r="AF29" s="203" t="s">
        <v>4</v>
      </c>
      <c r="AG29" s="258" t="s">
        <v>5</v>
      </c>
      <c r="AH29" s="196" t="s">
        <v>6</v>
      </c>
      <c r="AI29" s="210" t="s">
        <v>22</v>
      </c>
      <c r="AJ29" s="253" t="s">
        <v>2</v>
      </c>
      <c r="AK29" s="147" t="s">
        <v>10</v>
      </c>
      <c r="AL29" s="157" t="s">
        <v>2</v>
      </c>
      <c r="AM29" s="217" t="s">
        <v>24</v>
      </c>
      <c r="AN29" s="336" t="s">
        <v>246</v>
      </c>
      <c r="AO29" s="183" t="s">
        <v>3</v>
      </c>
      <c r="AP29" s="247" t="s">
        <v>250</v>
      </c>
      <c r="AQ29" s="232" t="s">
        <v>27</v>
      </c>
      <c r="AR29" s="185" t="s">
        <v>30</v>
      </c>
      <c r="AS29" s="146" t="s">
        <v>9</v>
      </c>
      <c r="AT29" s="229" t="s">
        <v>43</v>
      </c>
      <c r="AU29" s="150" t="s">
        <v>20</v>
      </c>
      <c r="AV29" s="147" t="s">
        <v>7</v>
      </c>
      <c r="AW29" s="147" t="s">
        <v>5</v>
      </c>
      <c r="AX29" s="229" t="s">
        <v>43</v>
      </c>
      <c r="AY29" s="229" t="s">
        <v>43</v>
      </c>
      <c r="AZ29" s="146" t="s">
        <v>15</v>
      </c>
      <c r="BA29" s="146" t="s">
        <v>20</v>
      </c>
      <c r="BB29" s="146" t="s">
        <v>6</v>
      </c>
      <c r="BC29" s="168" t="s">
        <v>21</v>
      </c>
      <c r="BD29" s="318" t="s">
        <v>43</v>
      </c>
      <c r="BE29" s="229" t="s">
        <v>3</v>
      </c>
      <c r="BF29" s="210" t="s">
        <v>2</v>
      </c>
      <c r="BG29" s="253" t="s">
        <v>7</v>
      </c>
      <c r="BH29" s="215" t="s">
        <v>3</v>
      </c>
      <c r="BI29" s="183" t="s">
        <v>14</v>
      </c>
      <c r="BJ29" s="210" t="s">
        <v>14</v>
      </c>
      <c r="BK29" s="183" t="s">
        <v>11</v>
      </c>
      <c r="BL29" s="224" t="s">
        <v>245</v>
      </c>
      <c r="BM29" s="192" t="s">
        <v>5</v>
      </c>
      <c r="BN29" s="258" t="s">
        <v>15</v>
      </c>
      <c r="BO29" s="309"/>
      <c r="BP29" s="319">
        <f t="shared" si="59"/>
        <v>55.177176603401193</v>
      </c>
      <c r="BQ29" s="320" t="s">
        <v>64</v>
      </c>
      <c r="BR29" s="143" t="s">
        <v>2</v>
      </c>
      <c r="BS29" s="268" t="s">
        <v>15</v>
      </c>
      <c r="BT29" s="143" t="s">
        <v>14</v>
      </c>
      <c r="BU29" s="227" t="s">
        <v>43</v>
      </c>
      <c r="BV29" s="189" t="s">
        <v>20</v>
      </c>
      <c r="BW29" s="193" t="s">
        <v>44</v>
      </c>
      <c r="BX29" s="227" t="s">
        <v>43</v>
      </c>
      <c r="BY29" s="227" t="s">
        <v>43</v>
      </c>
      <c r="BZ29" s="177" t="s">
        <v>8</v>
      </c>
      <c r="CA29" s="227" t="s">
        <v>43</v>
      </c>
      <c r="CB29" s="177" t="s">
        <v>8</v>
      </c>
      <c r="CC29" s="227" t="s">
        <v>43</v>
      </c>
      <c r="CD29" s="143" t="s">
        <v>45</v>
      </c>
      <c r="CE29" s="227" t="s">
        <v>43</v>
      </c>
      <c r="CF29" s="161" t="s">
        <v>14</v>
      </c>
      <c r="CG29" s="193" t="s">
        <v>10</v>
      </c>
      <c r="CH29" s="227" t="s">
        <v>43</v>
      </c>
      <c r="CI29" s="193" t="s">
        <v>10</v>
      </c>
      <c r="CJ29" s="70">
        <v>54</v>
      </c>
      <c r="DG29" s="357"/>
      <c r="DI29" s="55" t="s">
        <v>53</v>
      </c>
      <c r="DJ29" s="305" t="s">
        <v>36</v>
      </c>
      <c r="DK29" s="363">
        <f t="shared" si="0"/>
        <v>7</v>
      </c>
      <c r="DL29" s="363">
        <f t="shared" si="1"/>
        <v>5</v>
      </c>
      <c r="DM29" s="363">
        <f t="shared" si="2"/>
        <v>7</v>
      </c>
      <c r="DN29" s="363">
        <f t="shared" si="3"/>
        <v>5</v>
      </c>
      <c r="DO29" s="363">
        <f t="shared" si="4"/>
        <v>7</v>
      </c>
      <c r="DP29" s="363">
        <f t="shared" si="5"/>
        <v>5</v>
      </c>
      <c r="DQ29" s="363">
        <f t="shared" si="6"/>
        <v>4</v>
      </c>
      <c r="DR29" s="363">
        <f t="shared" si="7"/>
        <v>7</v>
      </c>
      <c r="DS29" s="363">
        <f t="shared" si="8"/>
        <v>5</v>
      </c>
      <c r="DT29" s="363">
        <f t="shared" si="9"/>
        <v>5</v>
      </c>
      <c r="DU29" s="363">
        <f t="shared" si="10"/>
        <v>7</v>
      </c>
      <c r="DV29" s="363">
        <f t="shared" si="11"/>
        <v>7</v>
      </c>
      <c r="DW29" s="363">
        <f t="shared" si="12"/>
        <v>7</v>
      </c>
      <c r="DX29" s="363">
        <f t="shared" si="13"/>
        <v>7</v>
      </c>
      <c r="DY29" s="363">
        <f t="shared" si="14"/>
        <v>7</v>
      </c>
      <c r="DZ29" s="363">
        <f t="shared" si="15"/>
        <v>3</v>
      </c>
      <c r="EA29" s="363">
        <f t="shared" si="16"/>
        <v>7</v>
      </c>
      <c r="EB29" s="363">
        <f t="shared" si="17"/>
        <v>3</v>
      </c>
      <c r="EC29" s="363">
        <f t="shared" si="18"/>
        <v>7</v>
      </c>
      <c r="ED29" s="363">
        <f t="shared" si="19"/>
        <v>7</v>
      </c>
      <c r="EE29" s="363">
        <f t="shared" si="20"/>
        <v>2</v>
      </c>
      <c r="EF29" s="363">
        <f t="shared" si="21"/>
        <v>5</v>
      </c>
      <c r="EG29" s="363">
        <f t="shared" si="22"/>
        <v>5</v>
      </c>
      <c r="EH29" s="363">
        <f t="shared" si="23"/>
        <v>5</v>
      </c>
      <c r="EI29" s="363">
        <f t="shared" si="24"/>
        <v>5</v>
      </c>
      <c r="EJ29" s="363">
        <f t="shared" si="25"/>
        <v>5</v>
      </c>
      <c r="EK29" s="363">
        <f t="shared" si="26"/>
        <v>5</v>
      </c>
      <c r="EL29" s="363">
        <f t="shared" si="27"/>
        <v>4</v>
      </c>
      <c r="EM29" s="363">
        <f t="shared" si="28"/>
        <v>2</v>
      </c>
      <c r="EN29" s="363">
        <f t="shared" si="29"/>
        <v>4</v>
      </c>
      <c r="EO29" s="363">
        <f t="shared" si="30"/>
        <v>5</v>
      </c>
      <c r="EP29" s="363">
        <f t="shared" si="31"/>
        <v>5</v>
      </c>
      <c r="EQ29" s="363">
        <f t="shared" si="32"/>
        <v>6</v>
      </c>
      <c r="ER29" s="363">
        <f t="shared" si="33"/>
        <v>2</v>
      </c>
      <c r="ES29" s="363">
        <f t="shared" si="34"/>
        <v>7</v>
      </c>
      <c r="ET29" s="363">
        <f t="shared" si="35"/>
        <v>7</v>
      </c>
      <c r="EU29" s="363">
        <f t="shared" si="36"/>
        <v>7</v>
      </c>
      <c r="EV29" s="363">
        <f t="shared" si="37"/>
        <v>7</v>
      </c>
      <c r="EW29" s="383" t="s">
        <v>64</v>
      </c>
      <c r="EX29" s="363">
        <f t="shared" si="38"/>
        <v>6</v>
      </c>
      <c r="EY29" s="363">
        <f t="shared" si="39"/>
        <v>7</v>
      </c>
      <c r="EZ29" s="363">
        <f t="shared" si="40"/>
        <v>5</v>
      </c>
      <c r="FA29" s="363">
        <f t="shared" si="41"/>
        <v>7</v>
      </c>
      <c r="FB29" s="363">
        <f t="shared" si="42"/>
        <v>7</v>
      </c>
      <c r="FC29" s="363">
        <f t="shared" si="43"/>
        <v>7</v>
      </c>
      <c r="FD29" s="363">
        <f t="shared" si="44"/>
        <v>7</v>
      </c>
      <c r="FE29" s="363">
        <f t="shared" si="45"/>
        <v>7</v>
      </c>
      <c r="FF29" s="363">
        <f t="shared" si="46"/>
        <v>7</v>
      </c>
      <c r="FG29" s="363">
        <f t="shared" si="47"/>
        <v>7</v>
      </c>
      <c r="FH29" s="363">
        <f t="shared" si="48"/>
        <v>7</v>
      </c>
      <c r="FI29" s="363">
        <f t="shared" si="49"/>
        <v>7</v>
      </c>
      <c r="FJ29" s="363">
        <f t="shared" si="50"/>
        <v>7</v>
      </c>
      <c r="FK29" s="363">
        <f t="shared" si="51"/>
        <v>7</v>
      </c>
      <c r="FL29" s="363">
        <f t="shared" si="52"/>
        <v>6</v>
      </c>
      <c r="FM29" s="363">
        <f t="shared" si="53"/>
        <v>7</v>
      </c>
      <c r="FN29" s="363">
        <f t="shared" si="54"/>
        <v>7</v>
      </c>
      <c r="FO29" s="363">
        <f t="shared" si="55"/>
        <v>7</v>
      </c>
      <c r="FP29" s="363">
        <f t="shared" si="60"/>
        <v>0</v>
      </c>
      <c r="FQ29" s="363">
        <f t="shared" si="61"/>
        <v>0</v>
      </c>
      <c r="FR29" s="309">
        <f t="shared" si="62"/>
        <v>0</v>
      </c>
      <c r="GM29" s="357"/>
      <c r="GO29" s="55" t="s">
        <v>53</v>
      </c>
      <c r="GP29" s="305" t="s">
        <v>36</v>
      </c>
      <c r="GQ29" s="244" t="s">
        <v>1</v>
      </c>
      <c r="GR29" s="244" t="s">
        <v>2</v>
      </c>
      <c r="GS29" s="244" t="s">
        <v>3</v>
      </c>
      <c r="GT29" s="244" t="s">
        <v>4</v>
      </c>
      <c r="GU29" s="244" t="s">
        <v>5</v>
      </c>
      <c r="GV29" s="244" t="s">
        <v>6</v>
      </c>
      <c r="GW29" s="244" t="s">
        <v>22</v>
      </c>
      <c r="GX29" s="244" t="s">
        <v>2</v>
      </c>
      <c r="GY29" s="244" t="s">
        <v>10</v>
      </c>
      <c r="GZ29" s="223" t="s">
        <v>2</v>
      </c>
      <c r="HA29" s="366" t="s">
        <v>24</v>
      </c>
      <c r="HB29" s="380" t="s">
        <v>323</v>
      </c>
      <c r="HC29" s="244" t="s">
        <v>3</v>
      </c>
      <c r="HD29" s="366" t="s">
        <v>327</v>
      </c>
      <c r="HE29" s="366" t="s">
        <v>27</v>
      </c>
      <c r="HF29" s="366" t="s">
        <v>30</v>
      </c>
      <c r="HG29" s="244" t="s">
        <v>9</v>
      </c>
      <c r="HH29" s="244" t="s">
        <v>43</v>
      </c>
      <c r="HI29" s="244" t="s">
        <v>20</v>
      </c>
      <c r="HJ29" s="244" t="s">
        <v>7</v>
      </c>
      <c r="HK29" s="244" t="s">
        <v>5</v>
      </c>
      <c r="HL29" s="244" t="s">
        <v>43</v>
      </c>
      <c r="HM29" s="244" t="s">
        <v>43</v>
      </c>
      <c r="HN29" s="244" t="s">
        <v>15</v>
      </c>
      <c r="HO29" s="244" t="s">
        <v>20</v>
      </c>
      <c r="HP29" s="244" t="s">
        <v>6</v>
      </c>
      <c r="HQ29" s="366" t="s">
        <v>21</v>
      </c>
      <c r="HR29" s="318" t="s">
        <v>43</v>
      </c>
      <c r="HS29" s="244" t="s">
        <v>3</v>
      </c>
      <c r="HT29" s="244" t="s">
        <v>2</v>
      </c>
      <c r="HU29" s="244" t="s">
        <v>7</v>
      </c>
      <c r="HV29" s="244" t="s">
        <v>3</v>
      </c>
      <c r="HW29" s="244" t="s">
        <v>14</v>
      </c>
      <c r="HX29" s="244" t="s">
        <v>14</v>
      </c>
      <c r="HY29" s="244" t="s">
        <v>11</v>
      </c>
      <c r="HZ29" s="366" t="s">
        <v>319</v>
      </c>
      <c r="IA29" s="244" t="s">
        <v>5</v>
      </c>
      <c r="IB29" s="244" t="s">
        <v>15</v>
      </c>
      <c r="IC29" s="383" t="s">
        <v>64</v>
      </c>
      <c r="ID29" s="173" t="s">
        <v>2</v>
      </c>
      <c r="IE29" s="173" t="s">
        <v>15</v>
      </c>
      <c r="IF29" s="173" t="s">
        <v>14</v>
      </c>
      <c r="IG29" s="173" t="s">
        <v>43</v>
      </c>
      <c r="IH29" s="173" t="s">
        <v>20</v>
      </c>
      <c r="II29" s="173" t="s">
        <v>44</v>
      </c>
      <c r="IJ29" s="173" t="s">
        <v>43</v>
      </c>
      <c r="IK29" s="173" t="s">
        <v>43</v>
      </c>
      <c r="IL29" s="173" t="s">
        <v>8</v>
      </c>
      <c r="IM29" s="173" t="s">
        <v>43</v>
      </c>
      <c r="IN29" s="173" t="s">
        <v>8</v>
      </c>
      <c r="IO29" s="173" t="s">
        <v>43</v>
      </c>
      <c r="IP29" s="173" t="s">
        <v>45</v>
      </c>
      <c r="IQ29" s="173" t="s">
        <v>43</v>
      </c>
      <c r="IR29" s="173" t="s">
        <v>14</v>
      </c>
      <c r="IS29" s="173" t="s">
        <v>10</v>
      </c>
      <c r="IT29" s="173" t="s">
        <v>43</v>
      </c>
      <c r="IU29" s="173" t="s">
        <v>10</v>
      </c>
      <c r="JN29" s="357"/>
      <c r="JO29" s="369">
        <v>98</v>
      </c>
      <c r="JP29" s="305" t="s">
        <v>141</v>
      </c>
      <c r="JQ29" s="328" t="s">
        <v>156</v>
      </c>
      <c r="JR29" s="67" t="s">
        <v>157</v>
      </c>
      <c r="JS29" s="159" t="s">
        <v>7</v>
      </c>
      <c r="JT29" s="246" t="s">
        <v>43</v>
      </c>
      <c r="JU29" s="109" t="s">
        <v>6</v>
      </c>
      <c r="JV29" s="198" t="s">
        <v>14</v>
      </c>
      <c r="JW29" s="149" t="s">
        <v>43</v>
      </c>
      <c r="JX29" s="182" t="s">
        <v>2</v>
      </c>
      <c r="JY29" s="155" t="s">
        <v>10</v>
      </c>
      <c r="JZ29" s="254" t="s">
        <v>2</v>
      </c>
      <c r="KA29" s="126" t="s">
        <v>184</v>
      </c>
      <c r="KB29" s="129" t="s">
        <v>43</v>
      </c>
      <c r="KC29" s="172" t="s">
        <v>10</v>
      </c>
      <c r="KD29" s="163" t="s">
        <v>20</v>
      </c>
      <c r="KE29" s="159" t="s">
        <v>6</v>
      </c>
      <c r="KF29" s="198" t="s">
        <v>5</v>
      </c>
      <c r="KG29" s="125" t="s">
        <v>4</v>
      </c>
      <c r="KH29" s="118" t="s">
        <v>186</v>
      </c>
      <c r="KI29" s="246" t="s">
        <v>43</v>
      </c>
      <c r="KJ29" s="190" t="s">
        <v>187</v>
      </c>
      <c r="KK29" s="246" t="s">
        <v>43</v>
      </c>
      <c r="KL29" s="159" t="s">
        <v>12</v>
      </c>
      <c r="KM29" s="159" t="s">
        <v>14</v>
      </c>
      <c r="KN29" s="182" t="s">
        <v>6</v>
      </c>
      <c r="KO29" s="182" t="s">
        <v>5</v>
      </c>
      <c r="KP29" s="322" t="str">
        <f t="shared" si="63"/>
        <v>0</v>
      </c>
      <c r="KR29" s="329" t="s">
        <v>141</v>
      </c>
      <c r="KS29" s="254" t="s">
        <v>4</v>
      </c>
      <c r="KT29" s="170" t="s">
        <v>9</v>
      </c>
      <c r="KU29" s="221" t="s">
        <v>20</v>
      </c>
      <c r="KV29" s="117" t="s">
        <v>14</v>
      </c>
      <c r="KW29" s="124" t="s">
        <v>194</v>
      </c>
      <c r="KX29" s="240" t="s">
        <v>6</v>
      </c>
      <c r="KY29" s="240" t="s">
        <v>15</v>
      </c>
      <c r="KZ29" s="240" t="s">
        <v>6</v>
      </c>
      <c r="LA29" s="155" t="s">
        <v>10</v>
      </c>
      <c r="LB29" s="166" t="s">
        <v>9</v>
      </c>
      <c r="LC29" s="117" t="s">
        <v>5</v>
      </c>
      <c r="LD29" s="159" t="s">
        <v>9</v>
      </c>
      <c r="LE29" s="155" t="s">
        <v>7</v>
      </c>
      <c r="LF29" s="166" t="s">
        <v>15</v>
      </c>
      <c r="LG29" s="122" t="s">
        <v>230</v>
      </c>
      <c r="LH29" s="358">
        <v>16</v>
      </c>
      <c r="LW29" s="369">
        <v>98</v>
      </c>
      <c r="LX29" s="317" t="s">
        <v>141</v>
      </c>
      <c r="LY29" s="370" t="s">
        <v>156</v>
      </c>
      <c r="LZ29" s="306">
        <f t="shared" si="64"/>
        <v>20</v>
      </c>
      <c r="MA29" s="306">
        <f t="shared" si="65"/>
        <v>13</v>
      </c>
      <c r="MB29" s="306">
        <f t="shared" si="66"/>
        <v>14</v>
      </c>
      <c r="MC29" s="306">
        <f t="shared" si="67"/>
        <v>2</v>
      </c>
      <c r="MD29" s="306">
        <f t="shared" si="68"/>
        <v>13</v>
      </c>
      <c r="ME29" s="306">
        <f t="shared" si="69"/>
        <v>7</v>
      </c>
      <c r="MF29" s="306">
        <f t="shared" si="70"/>
        <v>11</v>
      </c>
      <c r="MG29" s="306">
        <f t="shared" si="71"/>
        <v>7</v>
      </c>
      <c r="MH29" s="306">
        <f t="shared" si="72"/>
        <v>12</v>
      </c>
      <c r="MI29" s="306">
        <f t="shared" si="73"/>
        <v>12</v>
      </c>
      <c r="MJ29" s="306">
        <f t="shared" si="74"/>
        <v>9</v>
      </c>
      <c r="MK29" s="306">
        <f t="shared" si="75"/>
        <v>21</v>
      </c>
      <c r="ML29" s="306">
        <f t="shared" si="76"/>
        <v>12</v>
      </c>
      <c r="MM29" s="306">
        <f t="shared" si="77"/>
        <v>2</v>
      </c>
      <c r="MN29" s="306">
        <f t="shared" si="78"/>
        <v>18</v>
      </c>
      <c r="MO29" s="306">
        <f t="shared" si="79"/>
        <v>19</v>
      </c>
      <c r="MP29" s="306">
        <f t="shared" si="80"/>
        <v>19</v>
      </c>
      <c r="MQ29" s="306">
        <f t="shared" si="81"/>
        <v>21</v>
      </c>
      <c r="MR29" s="306">
        <f t="shared" si="82"/>
        <v>22</v>
      </c>
      <c r="MS29" s="306">
        <f t="shared" si="83"/>
        <v>25</v>
      </c>
      <c r="MT29" s="306">
        <f t="shared" si="84"/>
        <v>26</v>
      </c>
      <c r="MU29" s="306">
        <f t="shared" si="85"/>
        <v>28</v>
      </c>
      <c r="MV29" s="306">
        <f t="shared" si="86"/>
        <v>23</v>
      </c>
      <c r="MY29" s="306">
        <f t="shared" si="87"/>
        <v>5</v>
      </c>
      <c r="MZ29" s="306">
        <f t="shared" si="88"/>
        <v>29</v>
      </c>
      <c r="NA29" s="306">
        <f t="shared" si="89"/>
        <v>28</v>
      </c>
      <c r="NB29" s="306">
        <f t="shared" si="90"/>
        <v>13</v>
      </c>
      <c r="NC29" s="306">
        <f t="shared" si="91"/>
        <v>14</v>
      </c>
      <c r="ND29" s="306">
        <f t="shared" si="92"/>
        <v>28</v>
      </c>
      <c r="NE29" s="306">
        <f t="shared" si="93"/>
        <v>29</v>
      </c>
      <c r="NF29" s="306">
        <f t="shared" si="94"/>
        <v>29</v>
      </c>
      <c r="NG29" s="306">
        <f t="shared" si="95"/>
        <v>17</v>
      </c>
      <c r="NH29" s="306">
        <f t="shared" si="96"/>
        <v>26</v>
      </c>
      <c r="NI29" s="306">
        <f t="shared" si="97"/>
        <v>13</v>
      </c>
      <c r="NJ29" s="306">
        <f t="shared" si="98"/>
        <v>14</v>
      </c>
      <c r="NK29" s="306">
        <f t="shared" si="99"/>
        <v>16</v>
      </c>
      <c r="NL29" s="306">
        <f t="shared" si="100"/>
        <v>26</v>
      </c>
      <c r="NM29" s="306">
        <f t="shared" si="57"/>
        <v>3</v>
      </c>
      <c r="NN29" s="306">
        <f t="shared" si="101"/>
        <v>0</v>
      </c>
      <c r="NO29" s="306">
        <f t="shared" si="102"/>
        <v>0</v>
      </c>
      <c r="NU29" s="370" t="s">
        <v>156</v>
      </c>
      <c r="NV29" s="357"/>
      <c r="NX29" s="246" t="s">
        <v>7</v>
      </c>
      <c r="NY29" s="246" t="s">
        <v>43</v>
      </c>
      <c r="NZ29" s="246" t="s">
        <v>6</v>
      </c>
      <c r="OA29" s="246" t="s">
        <v>14</v>
      </c>
      <c r="OB29" s="149" t="s">
        <v>43</v>
      </c>
      <c r="OC29" s="159" t="s">
        <v>2</v>
      </c>
      <c r="OD29" s="159" t="s">
        <v>10</v>
      </c>
      <c r="OE29" s="159" t="s">
        <v>2</v>
      </c>
      <c r="OF29" s="371" t="s">
        <v>184</v>
      </c>
      <c r="OG29" s="129" t="s">
        <v>43</v>
      </c>
      <c r="OH29" s="246" t="s">
        <v>10</v>
      </c>
      <c r="OI29" s="246" t="s">
        <v>20</v>
      </c>
      <c r="OJ29" s="166" t="s">
        <v>6</v>
      </c>
      <c r="OK29" s="166" t="s">
        <v>5</v>
      </c>
      <c r="OL29" s="246" t="s">
        <v>4</v>
      </c>
      <c r="OM29" s="372" t="s">
        <v>186</v>
      </c>
      <c r="ON29" s="246" t="s">
        <v>43</v>
      </c>
      <c r="OO29" s="225" t="s">
        <v>187</v>
      </c>
      <c r="OP29" s="246" t="s">
        <v>43</v>
      </c>
      <c r="OQ29" s="246" t="s">
        <v>12</v>
      </c>
      <c r="OR29" s="159" t="s">
        <v>14</v>
      </c>
      <c r="OS29" s="159" t="s">
        <v>6</v>
      </c>
      <c r="OT29" s="246" t="s">
        <v>5</v>
      </c>
      <c r="OV29" s="375" t="s">
        <v>141</v>
      </c>
      <c r="OW29" s="246" t="s">
        <v>4</v>
      </c>
      <c r="OX29" s="246" t="s">
        <v>9</v>
      </c>
      <c r="OY29" s="240" t="s">
        <v>20</v>
      </c>
      <c r="OZ29" s="240" t="s">
        <v>14</v>
      </c>
      <c r="PA29" s="225" t="s">
        <v>194</v>
      </c>
      <c r="PB29" s="246" t="s">
        <v>6</v>
      </c>
      <c r="PC29" s="246" t="s">
        <v>15</v>
      </c>
      <c r="PD29" s="246" t="s">
        <v>6</v>
      </c>
      <c r="PE29" s="246" t="s">
        <v>10</v>
      </c>
      <c r="PF29" s="246" t="s">
        <v>9</v>
      </c>
      <c r="PG29" s="246" t="s">
        <v>5</v>
      </c>
      <c r="PH29" s="246" t="s">
        <v>9</v>
      </c>
      <c r="PI29" s="246" t="s">
        <v>7</v>
      </c>
      <c r="PJ29" s="246" t="s">
        <v>15</v>
      </c>
      <c r="PK29" s="382" t="s">
        <v>230</v>
      </c>
      <c r="PM29"/>
      <c r="PN29"/>
      <c r="PO29"/>
      <c r="PP29"/>
      <c r="PQ29"/>
      <c r="PR29"/>
      <c r="PS29"/>
      <c r="PT29"/>
      <c r="QN29" s="357"/>
      <c r="QO29" s="66" t="s">
        <v>105</v>
      </c>
      <c r="QP29" s="204" t="s">
        <v>195</v>
      </c>
      <c r="QQ29" s="166" t="s">
        <v>20</v>
      </c>
      <c r="QR29" s="198" t="s">
        <v>2</v>
      </c>
      <c r="QS29" s="333" t="s">
        <v>204</v>
      </c>
      <c r="QT29" s="159" t="s">
        <v>1</v>
      </c>
      <c r="QU29" s="159" t="s">
        <v>15</v>
      </c>
      <c r="QV29" s="159" t="s">
        <v>1</v>
      </c>
      <c r="QW29" s="131" t="s">
        <v>22</v>
      </c>
      <c r="QX29" s="216" t="s">
        <v>198</v>
      </c>
      <c r="QY29" s="246" t="s">
        <v>8</v>
      </c>
      <c r="QZ29" s="166" t="s">
        <v>11</v>
      </c>
      <c r="RA29" s="221" t="s">
        <v>2</v>
      </c>
      <c r="RB29" s="239" t="s">
        <v>210</v>
      </c>
      <c r="RC29" s="182" t="s">
        <v>8</v>
      </c>
      <c r="RD29" s="199" t="s">
        <v>2</v>
      </c>
      <c r="RE29" s="131" t="s">
        <v>2</v>
      </c>
      <c r="RF29" s="159" t="s">
        <v>7</v>
      </c>
      <c r="RG29" s="159" t="s">
        <v>8</v>
      </c>
      <c r="RH29" s="140" t="s">
        <v>206</v>
      </c>
      <c r="RI29" s="340" t="s">
        <v>216</v>
      </c>
      <c r="RJ29" s="125" t="s">
        <v>11</v>
      </c>
      <c r="RK29" s="182" t="s">
        <v>2</v>
      </c>
      <c r="RL29" s="141" t="s">
        <v>8</v>
      </c>
      <c r="RM29" s="140" t="s">
        <v>203</v>
      </c>
      <c r="RN29" s="339" t="s">
        <v>212</v>
      </c>
      <c r="RO29" s="124" t="s">
        <v>201</v>
      </c>
      <c r="RP29" s="246" t="s">
        <v>43</v>
      </c>
      <c r="RQ29" s="230" t="s">
        <v>5</v>
      </c>
      <c r="RR29" s="246" t="s">
        <v>43</v>
      </c>
      <c r="RS29" s="159" t="s">
        <v>10</v>
      </c>
      <c r="RT29" s="235" t="s">
        <v>21</v>
      </c>
      <c r="RU29" s="246" t="s">
        <v>43</v>
      </c>
      <c r="RV29" s="182" t="s">
        <v>7</v>
      </c>
      <c r="RW29" s="240" t="s">
        <v>3</v>
      </c>
      <c r="RX29" s="334" t="s">
        <v>209</v>
      </c>
      <c r="RY29" s="158" t="s">
        <v>22</v>
      </c>
      <c r="RZ29" s="159" t="s">
        <v>185</v>
      </c>
      <c r="SA29" s="246" t="s">
        <v>43</v>
      </c>
      <c r="SB29" s="221" t="s">
        <v>1</v>
      </c>
      <c r="SC29" s="176" t="s">
        <v>1</v>
      </c>
      <c r="SD29" s="166" t="s">
        <v>15</v>
      </c>
      <c r="SE29" s="211" t="s">
        <v>22</v>
      </c>
      <c r="SF29" s="176" t="s">
        <v>7</v>
      </c>
      <c r="SG29" s="246" t="s">
        <v>43</v>
      </c>
      <c r="SH29" s="254" t="s">
        <v>15</v>
      </c>
      <c r="SI29" s="131" t="s">
        <v>5</v>
      </c>
      <c r="SJ29" s="221" t="s">
        <v>261</v>
      </c>
      <c r="SK29" s="322">
        <f t="shared" si="103"/>
        <v>1289.0895083854512</v>
      </c>
      <c r="SM29" s="362">
        <v>16</v>
      </c>
      <c r="SO29"/>
      <c r="SP29"/>
      <c r="TP29" s="357"/>
      <c r="TQ29" s="66" t="s">
        <v>105</v>
      </c>
      <c r="TR29" s="306">
        <f t="shared" si="104"/>
        <v>31</v>
      </c>
      <c r="TS29" s="306">
        <f t="shared" si="105"/>
        <v>23</v>
      </c>
      <c r="TT29" s="306">
        <f t="shared" si="106"/>
        <v>12</v>
      </c>
      <c r="TU29" s="306">
        <f t="shared" si="107"/>
        <v>9</v>
      </c>
      <c r="TV29" s="306">
        <f t="shared" si="108"/>
        <v>12</v>
      </c>
      <c r="TW29" s="306">
        <f t="shared" si="109"/>
        <v>12</v>
      </c>
      <c r="TX29" s="306">
        <f t="shared" si="110"/>
        <v>12</v>
      </c>
      <c r="TY29" s="306">
        <f t="shared" si="111"/>
        <v>33</v>
      </c>
      <c r="TZ29" s="306">
        <f t="shared" si="112"/>
        <v>33</v>
      </c>
      <c r="UA29" s="306">
        <f t="shared" si="113"/>
        <v>24</v>
      </c>
      <c r="UB29" s="306">
        <f t="shared" si="114"/>
        <v>19</v>
      </c>
      <c r="UC29" s="306">
        <f t="shared" si="115"/>
        <v>23</v>
      </c>
      <c r="UD29" s="306">
        <f t="shared" si="116"/>
        <v>9</v>
      </c>
      <c r="UE29" s="306">
        <f t="shared" si="117"/>
        <v>26</v>
      </c>
      <c r="UF29" s="306">
        <f t="shared" si="118"/>
        <v>24</v>
      </c>
      <c r="UG29" s="306">
        <f t="shared" si="119"/>
        <v>13</v>
      </c>
      <c r="UH29" s="306">
        <f t="shared" si="120"/>
        <v>28</v>
      </c>
      <c r="UI29" s="306">
        <f t="shared" si="121"/>
        <v>32</v>
      </c>
      <c r="UJ29" s="306">
        <f t="shared" si="122"/>
        <v>9</v>
      </c>
      <c r="UK29" s="306">
        <f t="shared" si="123"/>
        <v>2</v>
      </c>
      <c r="UL29" s="306">
        <f t="shared" si="124"/>
        <v>26</v>
      </c>
      <c r="UM29" s="306">
        <f t="shared" si="125"/>
        <v>28</v>
      </c>
      <c r="UN29" s="306">
        <f t="shared" si="126"/>
        <v>8</v>
      </c>
      <c r="UO29" s="306">
        <f t="shared" si="127"/>
        <v>13</v>
      </c>
      <c r="UP29" s="306">
        <f t="shared" si="128"/>
        <v>12</v>
      </c>
      <c r="UQ29" s="306">
        <f t="shared" si="129"/>
        <v>30</v>
      </c>
      <c r="UR29" s="306">
        <f t="shared" si="130"/>
        <v>13</v>
      </c>
      <c r="US29" s="306">
        <f t="shared" si="131"/>
        <v>22</v>
      </c>
      <c r="UT29" s="306">
        <f t="shared" si="132"/>
        <v>30</v>
      </c>
      <c r="UU29" s="306">
        <f t="shared" si="133"/>
        <v>22</v>
      </c>
      <c r="UV29" s="306">
        <f t="shared" si="134"/>
        <v>31</v>
      </c>
      <c r="UW29" s="306">
        <f t="shared" si="135"/>
        <v>33</v>
      </c>
      <c r="UX29" s="306">
        <f t="shared" si="136"/>
        <v>32</v>
      </c>
      <c r="UY29" s="306">
        <f t="shared" si="137"/>
        <v>19</v>
      </c>
      <c r="UZ29" s="306">
        <f t="shared" si="138"/>
        <v>12</v>
      </c>
      <c r="VA29" s="306">
        <f t="shared" si="139"/>
        <v>18</v>
      </c>
      <c r="VB29" s="306">
        <f t="shared" si="140"/>
        <v>25</v>
      </c>
      <c r="VC29" s="306">
        <f t="shared" si="141"/>
        <v>18</v>
      </c>
      <c r="VD29" s="306">
        <f t="shared" si="142"/>
        <v>23</v>
      </c>
      <c r="VE29" s="306">
        <f t="shared" si="143"/>
        <v>26</v>
      </c>
      <c r="VF29" s="306">
        <f t="shared" si="144"/>
        <v>19</v>
      </c>
      <c r="VG29" s="306">
        <f t="shared" si="145"/>
        <v>13</v>
      </c>
      <c r="VH29" s="306">
        <f t="shared" si="146"/>
        <v>29</v>
      </c>
      <c r="VI29" s="306">
        <f t="shared" si="147"/>
        <v>28</v>
      </c>
      <c r="VJ29" s="306">
        <f t="shared" si="148"/>
        <v>30</v>
      </c>
      <c r="VK29" s="306">
        <f t="shared" si="149"/>
        <v>32</v>
      </c>
      <c r="VL29" s="306">
        <f t="shared" si="150"/>
        <v>25</v>
      </c>
      <c r="VN29" s="306">
        <f t="shared" si="151"/>
        <v>0</v>
      </c>
      <c r="WR29" s="357"/>
      <c r="WS29" s="66" t="s">
        <v>105</v>
      </c>
      <c r="WT29" s="225" t="s">
        <v>195</v>
      </c>
      <c r="WU29" s="246" t="s">
        <v>20</v>
      </c>
      <c r="WV29" s="246" t="s">
        <v>2</v>
      </c>
      <c r="WW29" s="335" t="s">
        <v>204</v>
      </c>
      <c r="WX29" s="246" t="s">
        <v>1</v>
      </c>
      <c r="WY29" s="246" t="s">
        <v>15</v>
      </c>
      <c r="WZ29" s="246" t="s">
        <v>1</v>
      </c>
      <c r="XA29" s="246" t="s">
        <v>22</v>
      </c>
      <c r="XB29" s="225" t="s">
        <v>198</v>
      </c>
      <c r="XC29" s="240" t="s">
        <v>8</v>
      </c>
      <c r="XD29" s="240" t="s">
        <v>11</v>
      </c>
      <c r="XE29" s="240" t="s">
        <v>2</v>
      </c>
      <c r="XF29" s="225" t="s">
        <v>210</v>
      </c>
      <c r="XG29" s="163" t="s">
        <v>8</v>
      </c>
      <c r="XH29" s="163" t="s">
        <v>2</v>
      </c>
      <c r="XI29" s="166" t="s">
        <v>2</v>
      </c>
      <c r="XJ29" s="166" t="s">
        <v>7</v>
      </c>
      <c r="XK29" s="166" t="s">
        <v>8</v>
      </c>
      <c r="XL29" s="179" t="s">
        <v>206</v>
      </c>
      <c r="XM29" s="327" t="s">
        <v>216</v>
      </c>
      <c r="XN29" s="159" t="s">
        <v>11</v>
      </c>
      <c r="XO29" s="159" t="s">
        <v>2</v>
      </c>
      <c r="XP29" s="246" t="s">
        <v>8</v>
      </c>
      <c r="XQ29" s="242" t="s">
        <v>203</v>
      </c>
      <c r="XR29" s="339" t="s">
        <v>212</v>
      </c>
      <c r="XS29" s="225" t="s">
        <v>201</v>
      </c>
      <c r="XT29" s="246" t="s">
        <v>43</v>
      </c>
      <c r="XU29" s="246" t="s">
        <v>5</v>
      </c>
      <c r="XV29" s="246" t="s">
        <v>43</v>
      </c>
      <c r="XW29" s="159" t="s">
        <v>10</v>
      </c>
      <c r="XX29" s="225" t="s">
        <v>21</v>
      </c>
      <c r="XY29" s="246" t="s">
        <v>43</v>
      </c>
      <c r="XZ29" s="240" t="s">
        <v>7</v>
      </c>
      <c r="YA29" s="240" t="s">
        <v>3</v>
      </c>
      <c r="YB29" s="327" t="s">
        <v>209</v>
      </c>
      <c r="YC29" s="246" t="s">
        <v>22</v>
      </c>
      <c r="YD29" s="246" t="s">
        <v>185</v>
      </c>
      <c r="YE29" s="246" t="s">
        <v>43</v>
      </c>
      <c r="YF29" s="246" t="s">
        <v>1</v>
      </c>
      <c r="YG29" s="246" t="s">
        <v>1</v>
      </c>
      <c r="YH29" s="246" t="s">
        <v>15</v>
      </c>
      <c r="YI29" s="246" t="s">
        <v>22</v>
      </c>
      <c r="YJ29" s="159" t="s">
        <v>7</v>
      </c>
      <c r="YK29" s="159" t="s">
        <v>43</v>
      </c>
      <c r="YL29" s="159" t="s">
        <v>15</v>
      </c>
      <c r="YM29" s="246" t="s">
        <v>5</v>
      </c>
      <c r="YN29" s="246" t="s">
        <v>261</v>
      </c>
      <c r="AFZ29" s="307"/>
    </row>
    <row r="30" spans="1:858" s="306" customFormat="1" ht="20.65" x14ac:dyDescent="0.5">
      <c r="A30" s="70">
        <v>21</v>
      </c>
      <c r="B30" s="305"/>
      <c r="C30" s="45" t="s">
        <v>110</v>
      </c>
      <c r="D30" s="45" t="s">
        <v>109</v>
      </c>
      <c r="E30" s="305"/>
      <c r="F30" s="128">
        <v>6258.1872276380454</v>
      </c>
      <c r="X30" s="355"/>
      <c r="AA30" s="55" t="s">
        <v>53</v>
      </c>
      <c r="AB30" s="305" t="s">
        <v>37</v>
      </c>
      <c r="AC30" s="183" t="s">
        <v>1</v>
      </c>
      <c r="AD30" s="147" t="s">
        <v>2</v>
      </c>
      <c r="AE30" s="132" t="s">
        <v>3</v>
      </c>
      <c r="AF30" s="203" t="s">
        <v>4</v>
      </c>
      <c r="AG30" s="258" t="s">
        <v>5</v>
      </c>
      <c r="AH30" s="196" t="s">
        <v>6</v>
      </c>
      <c r="AI30" s="253" t="s">
        <v>2</v>
      </c>
      <c r="AJ30" s="253" t="s">
        <v>2</v>
      </c>
      <c r="AK30" s="147" t="s">
        <v>10</v>
      </c>
      <c r="AL30" s="157" t="s">
        <v>2</v>
      </c>
      <c r="AM30" s="217" t="s">
        <v>24</v>
      </c>
      <c r="AN30" s="336" t="s">
        <v>246</v>
      </c>
      <c r="AO30" s="195" t="s">
        <v>3</v>
      </c>
      <c r="AP30" s="247" t="s">
        <v>250</v>
      </c>
      <c r="AQ30" s="232" t="s">
        <v>27</v>
      </c>
      <c r="AR30" s="185" t="s">
        <v>30</v>
      </c>
      <c r="AS30" s="146" t="s">
        <v>9</v>
      </c>
      <c r="AT30" s="229" t="s">
        <v>43</v>
      </c>
      <c r="AU30" s="150" t="s">
        <v>20</v>
      </c>
      <c r="AV30" s="147" t="s">
        <v>7</v>
      </c>
      <c r="AW30" s="147" t="s">
        <v>5</v>
      </c>
      <c r="AX30" s="229" t="s">
        <v>43</v>
      </c>
      <c r="AY30" s="229" t="s">
        <v>43</v>
      </c>
      <c r="AZ30" s="146" t="s">
        <v>15</v>
      </c>
      <c r="BA30" s="146" t="s">
        <v>20</v>
      </c>
      <c r="BB30" s="146" t="s">
        <v>6</v>
      </c>
      <c r="BC30" s="168" t="s">
        <v>21</v>
      </c>
      <c r="BD30" s="318" t="s">
        <v>43</v>
      </c>
      <c r="BE30" s="229" t="s">
        <v>3</v>
      </c>
      <c r="BF30" s="210" t="s">
        <v>2</v>
      </c>
      <c r="BG30" s="253" t="s">
        <v>7</v>
      </c>
      <c r="BH30" s="215" t="s">
        <v>3</v>
      </c>
      <c r="BI30" s="183" t="s">
        <v>14</v>
      </c>
      <c r="BJ30" s="210" t="s">
        <v>14</v>
      </c>
      <c r="BK30" s="183" t="s">
        <v>11</v>
      </c>
      <c r="BL30" s="224" t="s">
        <v>245</v>
      </c>
      <c r="BM30" s="192" t="s">
        <v>5</v>
      </c>
      <c r="BN30" s="258" t="s">
        <v>15</v>
      </c>
      <c r="BO30" s="309"/>
      <c r="BP30" s="319">
        <f t="shared" si="59"/>
        <v>736.47354456284836</v>
      </c>
      <c r="BQ30" s="320" t="s">
        <v>64</v>
      </c>
      <c r="BR30" s="143" t="s">
        <v>2</v>
      </c>
      <c r="BS30" s="268" t="s">
        <v>15</v>
      </c>
      <c r="BT30" s="143" t="s">
        <v>14</v>
      </c>
      <c r="BU30" s="227" t="s">
        <v>43</v>
      </c>
      <c r="BV30" s="189" t="s">
        <v>20</v>
      </c>
      <c r="BW30" s="193" t="s">
        <v>44</v>
      </c>
      <c r="BX30" s="227" t="s">
        <v>43</v>
      </c>
      <c r="BY30" s="227" t="s">
        <v>43</v>
      </c>
      <c r="BZ30" s="177" t="s">
        <v>8</v>
      </c>
      <c r="CA30" s="227" t="s">
        <v>43</v>
      </c>
      <c r="CB30" s="177" t="s">
        <v>8</v>
      </c>
      <c r="CC30" s="227" t="s">
        <v>43</v>
      </c>
      <c r="CD30" s="143" t="s">
        <v>45</v>
      </c>
      <c r="CE30" s="227" t="s">
        <v>43</v>
      </c>
      <c r="CF30" s="161" t="s">
        <v>14</v>
      </c>
      <c r="CG30" s="193" t="s">
        <v>10</v>
      </c>
      <c r="CH30" s="227" t="s">
        <v>43</v>
      </c>
      <c r="CI30" s="193" t="s">
        <v>10</v>
      </c>
      <c r="CJ30" s="70">
        <v>55</v>
      </c>
      <c r="DG30" s="357"/>
      <c r="DI30" s="55" t="s">
        <v>53</v>
      </c>
      <c r="DJ30" s="305" t="s">
        <v>37</v>
      </c>
      <c r="DK30" s="363">
        <f t="shared" si="0"/>
        <v>7</v>
      </c>
      <c r="DL30" s="363">
        <f t="shared" si="1"/>
        <v>5</v>
      </c>
      <c r="DM30" s="363">
        <f t="shared" si="2"/>
        <v>7</v>
      </c>
      <c r="DN30" s="363">
        <f t="shared" si="3"/>
        <v>5</v>
      </c>
      <c r="DO30" s="363">
        <f t="shared" si="4"/>
        <v>7</v>
      </c>
      <c r="DP30" s="363">
        <f t="shared" si="5"/>
        <v>5</v>
      </c>
      <c r="DQ30" s="363">
        <f t="shared" si="6"/>
        <v>3</v>
      </c>
      <c r="DR30" s="363">
        <f t="shared" si="7"/>
        <v>7</v>
      </c>
      <c r="DS30" s="363">
        <f t="shared" si="8"/>
        <v>5</v>
      </c>
      <c r="DT30" s="363">
        <f t="shared" si="9"/>
        <v>5</v>
      </c>
      <c r="DU30" s="363">
        <f t="shared" si="10"/>
        <v>7</v>
      </c>
      <c r="DV30" s="363">
        <f t="shared" si="11"/>
        <v>7</v>
      </c>
      <c r="DW30" s="363">
        <f t="shared" si="12"/>
        <v>7</v>
      </c>
      <c r="DX30" s="363">
        <f t="shared" si="13"/>
        <v>7</v>
      </c>
      <c r="DY30" s="363">
        <f t="shared" si="14"/>
        <v>7</v>
      </c>
      <c r="DZ30" s="363">
        <f t="shared" si="15"/>
        <v>3</v>
      </c>
      <c r="EA30" s="363">
        <f t="shared" si="16"/>
        <v>7</v>
      </c>
      <c r="EB30" s="363">
        <f t="shared" si="17"/>
        <v>3</v>
      </c>
      <c r="EC30" s="363">
        <f t="shared" si="18"/>
        <v>7</v>
      </c>
      <c r="ED30" s="363">
        <f t="shared" si="19"/>
        <v>7</v>
      </c>
      <c r="EE30" s="363">
        <f t="shared" si="20"/>
        <v>2</v>
      </c>
      <c r="EF30" s="363">
        <f t="shared" si="21"/>
        <v>5</v>
      </c>
      <c r="EG30" s="363">
        <f t="shared" si="22"/>
        <v>5</v>
      </c>
      <c r="EH30" s="363">
        <f t="shared" si="23"/>
        <v>5</v>
      </c>
      <c r="EI30" s="363">
        <f t="shared" si="24"/>
        <v>5</v>
      </c>
      <c r="EJ30" s="363">
        <f t="shared" si="25"/>
        <v>5</v>
      </c>
      <c r="EK30" s="363">
        <f t="shared" si="26"/>
        <v>5</v>
      </c>
      <c r="EL30" s="363">
        <f t="shared" si="27"/>
        <v>4</v>
      </c>
      <c r="EM30" s="363">
        <f t="shared" si="28"/>
        <v>2</v>
      </c>
      <c r="EN30" s="363">
        <f t="shared" si="29"/>
        <v>4</v>
      </c>
      <c r="EO30" s="363">
        <f t="shared" si="30"/>
        <v>5</v>
      </c>
      <c r="EP30" s="363">
        <f t="shared" si="31"/>
        <v>5</v>
      </c>
      <c r="EQ30" s="363">
        <f t="shared" si="32"/>
        <v>6</v>
      </c>
      <c r="ER30" s="363">
        <f t="shared" si="33"/>
        <v>2</v>
      </c>
      <c r="ES30" s="363">
        <f t="shared" si="34"/>
        <v>7</v>
      </c>
      <c r="ET30" s="363">
        <f t="shared" si="35"/>
        <v>7</v>
      </c>
      <c r="EU30" s="363">
        <f t="shared" si="36"/>
        <v>7</v>
      </c>
      <c r="EV30" s="363">
        <f t="shared" si="37"/>
        <v>7</v>
      </c>
      <c r="EW30" s="383" t="s">
        <v>64</v>
      </c>
      <c r="EX30" s="363">
        <f t="shared" si="38"/>
        <v>6</v>
      </c>
      <c r="EY30" s="363">
        <f t="shared" si="39"/>
        <v>7</v>
      </c>
      <c r="EZ30" s="363">
        <f t="shared" si="40"/>
        <v>5</v>
      </c>
      <c r="FA30" s="363">
        <f t="shared" si="41"/>
        <v>7</v>
      </c>
      <c r="FB30" s="363">
        <f t="shared" si="42"/>
        <v>7</v>
      </c>
      <c r="FC30" s="363">
        <f t="shared" si="43"/>
        <v>7</v>
      </c>
      <c r="FD30" s="363">
        <f t="shared" si="44"/>
        <v>7</v>
      </c>
      <c r="FE30" s="363">
        <f t="shared" si="45"/>
        <v>7</v>
      </c>
      <c r="FF30" s="363">
        <f t="shared" si="46"/>
        <v>7</v>
      </c>
      <c r="FG30" s="363">
        <f t="shared" si="47"/>
        <v>7</v>
      </c>
      <c r="FH30" s="363">
        <f t="shared" si="48"/>
        <v>7</v>
      </c>
      <c r="FI30" s="363">
        <f t="shared" si="49"/>
        <v>7</v>
      </c>
      <c r="FJ30" s="363">
        <f t="shared" si="50"/>
        <v>7</v>
      </c>
      <c r="FK30" s="363">
        <f t="shared" si="51"/>
        <v>7</v>
      </c>
      <c r="FL30" s="363">
        <f t="shared" si="52"/>
        <v>6</v>
      </c>
      <c r="FM30" s="363">
        <f t="shared" si="53"/>
        <v>7</v>
      </c>
      <c r="FN30" s="363">
        <f t="shared" si="54"/>
        <v>7</v>
      </c>
      <c r="FO30" s="363">
        <f t="shared" si="55"/>
        <v>7</v>
      </c>
      <c r="FP30" s="363">
        <f t="shared" si="60"/>
        <v>0</v>
      </c>
      <c r="FQ30" s="363">
        <f t="shared" si="61"/>
        <v>0</v>
      </c>
      <c r="FR30" s="309">
        <f t="shared" si="62"/>
        <v>0</v>
      </c>
      <c r="GM30" s="357"/>
      <c r="GO30" s="55" t="s">
        <v>53</v>
      </c>
      <c r="GP30" s="305" t="s">
        <v>37</v>
      </c>
      <c r="GQ30" s="244" t="s">
        <v>1</v>
      </c>
      <c r="GR30" s="244" t="s">
        <v>2</v>
      </c>
      <c r="GS30" s="244" t="s">
        <v>3</v>
      </c>
      <c r="GT30" s="244" t="s">
        <v>4</v>
      </c>
      <c r="GU30" s="244" t="s">
        <v>5</v>
      </c>
      <c r="GV30" s="244" t="s">
        <v>6</v>
      </c>
      <c r="GW30" s="244" t="s">
        <v>2</v>
      </c>
      <c r="GX30" s="244" t="s">
        <v>2</v>
      </c>
      <c r="GY30" s="244" t="s">
        <v>10</v>
      </c>
      <c r="GZ30" s="223" t="s">
        <v>2</v>
      </c>
      <c r="HA30" s="366" t="s">
        <v>24</v>
      </c>
      <c r="HB30" s="380" t="s">
        <v>323</v>
      </c>
      <c r="HC30" s="366" t="s">
        <v>3</v>
      </c>
      <c r="HD30" s="366" t="s">
        <v>327</v>
      </c>
      <c r="HE30" s="366" t="s">
        <v>27</v>
      </c>
      <c r="HF30" s="366" t="s">
        <v>30</v>
      </c>
      <c r="HG30" s="244" t="s">
        <v>9</v>
      </c>
      <c r="HH30" s="244" t="s">
        <v>43</v>
      </c>
      <c r="HI30" s="244" t="s">
        <v>20</v>
      </c>
      <c r="HJ30" s="244" t="s">
        <v>7</v>
      </c>
      <c r="HK30" s="244" t="s">
        <v>5</v>
      </c>
      <c r="HL30" s="244" t="s">
        <v>43</v>
      </c>
      <c r="HM30" s="244" t="s">
        <v>43</v>
      </c>
      <c r="HN30" s="244" t="s">
        <v>15</v>
      </c>
      <c r="HO30" s="244" t="s">
        <v>20</v>
      </c>
      <c r="HP30" s="244" t="s">
        <v>6</v>
      </c>
      <c r="HQ30" s="366" t="s">
        <v>21</v>
      </c>
      <c r="HR30" s="318" t="s">
        <v>43</v>
      </c>
      <c r="HS30" s="244" t="s">
        <v>3</v>
      </c>
      <c r="HT30" s="244" t="s">
        <v>2</v>
      </c>
      <c r="HU30" s="244" t="s">
        <v>7</v>
      </c>
      <c r="HV30" s="244" t="s">
        <v>3</v>
      </c>
      <c r="HW30" s="244" t="s">
        <v>14</v>
      </c>
      <c r="HX30" s="244" t="s">
        <v>14</v>
      </c>
      <c r="HY30" s="244" t="s">
        <v>11</v>
      </c>
      <c r="HZ30" s="366" t="s">
        <v>319</v>
      </c>
      <c r="IA30" s="244" t="s">
        <v>5</v>
      </c>
      <c r="IB30" s="244" t="s">
        <v>15</v>
      </c>
      <c r="IC30" s="383" t="s">
        <v>64</v>
      </c>
      <c r="ID30" s="173" t="s">
        <v>2</v>
      </c>
      <c r="IE30" s="173" t="s">
        <v>15</v>
      </c>
      <c r="IF30" s="173" t="s">
        <v>14</v>
      </c>
      <c r="IG30" s="173" t="s">
        <v>43</v>
      </c>
      <c r="IH30" s="173" t="s">
        <v>20</v>
      </c>
      <c r="II30" s="173" t="s">
        <v>44</v>
      </c>
      <c r="IJ30" s="173" t="s">
        <v>43</v>
      </c>
      <c r="IK30" s="173" t="s">
        <v>43</v>
      </c>
      <c r="IL30" s="173" t="s">
        <v>8</v>
      </c>
      <c r="IM30" s="173" t="s">
        <v>43</v>
      </c>
      <c r="IN30" s="173" t="s">
        <v>8</v>
      </c>
      <c r="IO30" s="173" t="s">
        <v>43</v>
      </c>
      <c r="IP30" s="173" t="s">
        <v>45</v>
      </c>
      <c r="IQ30" s="173" t="s">
        <v>43</v>
      </c>
      <c r="IR30" s="173" t="s">
        <v>14</v>
      </c>
      <c r="IS30" s="173" t="s">
        <v>10</v>
      </c>
      <c r="IT30" s="173" t="s">
        <v>43</v>
      </c>
      <c r="IU30" s="173" t="s">
        <v>10</v>
      </c>
      <c r="JN30" s="357"/>
      <c r="JO30" s="369">
        <v>84</v>
      </c>
      <c r="JP30" s="305" t="s">
        <v>138</v>
      </c>
      <c r="JQ30" s="328" t="s">
        <v>160</v>
      </c>
      <c r="JR30" s="67" t="s">
        <v>161</v>
      </c>
      <c r="JS30" s="159" t="s">
        <v>7</v>
      </c>
      <c r="JT30" s="246" t="s">
        <v>43</v>
      </c>
      <c r="JU30" s="109" t="s">
        <v>6</v>
      </c>
      <c r="JV30" s="155" t="s">
        <v>20</v>
      </c>
      <c r="JW30" s="149" t="s">
        <v>43</v>
      </c>
      <c r="JX30" s="182" t="s">
        <v>2</v>
      </c>
      <c r="JY30" s="155" t="s">
        <v>10</v>
      </c>
      <c r="JZ30" s="254" t="s">
        <v>2</v>
      </c>
      <c r="KA30" s="126" t="s">
        <v>184</v>
      </c>
      <c r="KB30" s="129" t="s">
        <v>43</v>
      </c>
      <c r="KC30" s="172" t="s">
        <v>10</v>
      </c>
      <c r="KD30" s="163" t="s">
        <v>20</v>
      </c>
      <c r="KE30" s="182" t="s">
        <v>12</v>
      </c>
      <c r="KF30" s="254" t="s">
        <v>20</v>
      </c>
      <c r="KG30" s="176" t="s">
        <v>12</v>
      </c>
      <c r="KH30" s="118" t="s">
        <v>186</v>
      </c>
      <c r="KI30" s="246" t="s">
        <v>43</v>
      </c>
      <c r="KJ30" s="190" t="s">
        <v>187</v>
      </c>
      <c r="KK30" s="246" t="s">
        <v>43</v>
      </c>
      <c r="KL30" s="159" t="s">
        <v>12</v>
      </c>
      <c r="KM30" s="159" t="s">
        <v>14</v>
      </c>
      <c r="KN30" s="182" t="s">
        <v>6</v>
      </c>
      <c r="KO30" s="182" t="s">
        <v>5</v>
      </c>
      <c r="KP30" s="322">
        <f t="shared" si="63"/>
        <v>113.93114076829221</v>
      </c>
      <c r="KR30" s="329" t="s">
        <v>138</v>
      </c>
      <c r="KS30" s="159" t="s">
        <v>10</v>
      </c>
      <c r="KT30" s="170" t="s">
        <v>9</v>
      </c>
      <c r="KU30" s="221" t="s">
        <v>20</v>
      </c>
      <c r="KV30" s="117" t="s">
        <v>14</v>
      </c>
      <c r="KW30" s="124" t="s">
        <v>194</v>
      </c>
      <c r="KX30" s="240" t="s">
        <v>6</v>
      </c>
      <c r="KY30" s="240" t="s">
        <v>15</v>
      </c>
      <c r="KZ30" s="240" t="s">
        <v>6</v>
      </c>
      <c r="LA30" s="155" t="s">
        <v>10</v>
      </c>
      <c r="LB30" s="166" t="s">
        <v>9</v>
      </c>
      <c r="LC30" s="117" t="s">
        <v>5</v>
      </c>
      <c r="LD30" s="159" t="s">
        <v>9</v>
      </c>
      <c r="LE30" s="155" t="s">
        <v>7</v>
      </c>
      <c r="LF30" s="166" t="s">
        <v>15</v>
      </c>
      <c r="LG30" s="123" t="s">
        <v>229</v>
      </c>
      <c r="LH30" s="358">
        <v>17</v>
      </c>
      <c r="LW30" s="369">
        <v>84</v>
      </c>
      <c r="LX30" s="317" t="s">
        <v>138</v>
      </c>
      <c r="LY30" s="370" t="s">
        <v>160</v>
      </c>
      <c r="LZ30" s="306">
        <f t="shared" si="64"/>
        <v>20</v>
      </c>
      <c r="MA30" s="306">
        <f t="shared" si="65"/>
        <v>13</v>
      </c>
      <c r="MB30" s="306">
        <f t="shared" si="66"/>
        <v>14</v>
      </c>
      <c r="MC30" s="306">
        <f t="shared" si="67"/>
        <v>28</v>
      </c>
      <c r="MD30" s="306">
        <f t="shared" si="68"/>
        <v>13</v>
      </c>
      <c r="ME30" s="306">
        <f t="shared" si="69"/>
        <v>7</v>
      </c>
      <c r="MF30" s="306">
        <f t="shared" si="70"/>
        <v>11</v>
      </c>
      <c r="MG30" s="306">
        <f t="shared" si="71"/>
        <v>7</v>
      </c>
      <c r="MH30" s="306">
        <f t="shared" si="72"/>
        <v>12</v>
      </c>
      <c r="MI30" s="306">
        <f t="shared" si="73"/>
        <v>12</v>
      </c>
      <c r="MJ30" s="306">
        <f t="shared" si="74"/>
        <v>9</v>
      </c>
      <c r="MK30" s="306">
        <f t="shared" si="75"/>
        <v>21</v>
      </c>
      <c r="ML30" s="306">
        <f t="shared" si="76"/>
        <v>17</v>
      </c>
      <c r="MM30" s="306">
        <f t="shared" si="77"/>
        <v>10</v>
      </c>
      <c r="MN30" s="306">
        <f t="shared" si="78"/>
        <v>4</v>
      </c>
      <c r="MO30" s="306">
        <f t="shared" si="79"/>
        <v>19</v>
      </c>
      <c r="MP30" s="306">
        <f t="shared" si="80"/>
        <v>19</v>
      </c>
      <c r="MQ30" s="306">
        <f t="shared" si="81"/>
        <v>21</v>
      </c>
      <c r="MR30" s="306">
        <f t="shared" si="82"/>
        <v>22</v>
      </c>
      <c r="MS30" s="306">
        <f t="shared" si="83"/>
        <v>25</v>
      </c>
      <c r="MT30" s="306">
        <f t="shared" si="84"/>
        <v>26</v>
      </c>
      <c r="MU30" s="306">
        <f t="shared" si="85"/>
        <v>28</v>
      </c>
      <c r="MV30" s="306">
        <f t="shared" si="86"/>
        <v>23</v>
      </c>
      <c r="MY30" s="306">
        <f t="shared" si="87"/>
        <v>25</v>
      </c>
      <c r="MZ30" s="306">
        <f t="shared" si="88"/>
        <v>29</v>
      </c>
      <c r="NA30" s="306">
        <f t="shared" si="89"/>
        <v>28</v>
      </c>
      <c r="NB30" s="306">
        <f t="shared" si="90"/>
        <v>13</v>
      </c>
      <c r="NC30" s="306">
        <f t="shared" si="91"/>
        <v>14</v>
      </c>
      <c r="ND30" s="306">
        <f t="shared" si="92"/>
        <v>28</v>
      </c>
      <c r="NE30" s="306">
        <f t="shared" si="93"/>
        <v>29</v>
      </c>
      <c r="NF30" s="306">
        <f t="shared" si="94"/>
        <v>29</v>
      </c>
      <c r="NG30" s="306">
        <f t="shared" si="95"/>
        <v>17</v>
      </c>
      <c r="NH30" s="306">
        <f t="shared" si="96"/>
        <v>26</v>
      </c>
      <c r="NI30" s="306">
        <f t="shared" si="97"/>
        <v>13</v>
      </c>
      <c r="NJ30" s="306">
        <f t="shared" si="98"/>
        <v>14</v>
      </c>
      <c r="NK30" s="306">
        <f t="shared" si="99"/>
        <v>16</v>
      </c>
      <c r="NL30" s="306">
        <f t="shared" si="100"/>
        <v>26</v>
      </c>
      <c r="NM30" s="306">
        <f t="shared" si="100"/>
        <v>10</v>
      </c>
      <c r="NN30" s="306">
        <f t="shared" si="101"/>
        <v>0</v>
      </c>
      <c r="NO30" s="306">
        <f t="shared" si="102"/>
        <v>0</v>
      </c>
      <c r="NU30" s="370" t="s">
        <v>160</v>
      </c>
      <c r="NV30" s="357"/>
      <c r="NX30" s="246" t="s">
        <v>7</v>
      </c>
      <c r="NY30" s="246" t="s">
        <v>43</v>
      </c>
      <c r="NZ30" s="246" t="s">
        <v>6</v>
      </c>
      <c r="OA30" s="246" t="s">
        <v>20</v>
      </c>
      <c r="OB30" s="149" t="s">
        <v>43</v>
      </c>
      <c r="OC30" s="159" t="s">
        <v>2</v>
      </c>
      <c r="OD30" s="159" t="s">
        <v>10</v>
      </c>
      <c r="OE30" s="159" t="s">
        <v>2</v>
      </c>
      <c r="OF30" s="371" t="s">
        <v>184</v>
      </c>
      <c r="OG30" s="129" t="s">
        <v>43</v>
      </c>
      <c r="OH30" s="246" t="s">
        <v>10</v>
      </c>
      <c r="OI30" s="246" t="s">
        <v>20</v>
      </c>
      <c r="OJ30" s="230" t="s">
        <v>12</v>
      </c>
      <c r="OK30" s="230" t="s">
        <v>20</v>
      </c>
      <c r="OL30" s="246" t="s">
        <v>12</v>
      </c>
      <c r="OM30" s="372" t="s">
        <v>186</v>
      </c>
      <c r="ON30" s="246" t="s">
        <v>43</v>
      </c>
      <c r="OO30" s="225" t="s">
        <v>187</v>
      </c>
      <c r="OP30" s="246" t="s">
        <v>43</v>
      </c>
      <c r="OQ30" s="246" t="s">
        <v>12</v>
      </c>
      <c r="OR30" s="159" t="s">
        <v>14</v>
      </c>
      <c r="OS30" s="159" t="s">
        <v>6</v>
      </c>
      <c r="OT30" s="246" t="s">
        <v>5</v>
      </c>
      <c r="OV30" s="375" t="s">
        <v>138</v>
      </c>
      <c r="OW30" s="246" t="s">
        <v>10</v>
      </c>
      <c r="OX30" s="246" t="s">
        <v>9</v>
      </c>
      <c r="OY30" s="240" t="s">
        <v>20</v>
      </c>
      <c r="OZ30" s="240" t="s">
        <v>14</v>
      </c>
      <c r="PA30" s="225" t="s">
        <v>194</v>
      </c>
      <c r="PB30" s="246" t="s">
        <v>6</v>
      </c>
      <c r="PC30" s="246" t="s">
        <v>15</v>
      </c>
      <c r="PD30" s="246" t="s">
        <v>6</v>
      </c>
      <c r="PE30" s="246" t="s">
        <v>10</v>
      </c>
      <c r="PF30" s="246" t="s">
        <v>9</v>
      </c>
      <c r="PG30" s="246" t="s">
        <v>5</v>
      </c>
      <c r="PH30" s="246" t="s">
        <v>9</v>
      </c>
      <c r="PI30" s="246" t="s">
        <v>7</v>
      </c>
      <c r="PJ30" s="246" t="s">
        <v>15</v>
      </c>
      <c r="PK30" s="376" t="s">
        <v>229</v>
      </c>
      <c r="PM30"/>
      <c r="PN30"/>
      <c r="PO30"/>
      <c r="PP30"/>
      <c r="PQ30"/>
      <c r="PR30"/>
      <c r="PS30"/>
      <c r="PT30"/>
      <c r="QN30" s="357"/>
      <c r="QO30" s="66" t="s">
        <v>107</v>
      </c>
      <c r="QP30" s="204" t="s">
        <v>195</v>
      </c>
      <c r="QQ30" s="166" t="s">
        <v>20</v>
      </c>
      <c r="QR30" s="198" t="s">
        <v>2</v>
      </c>
      <c r="QS30" s="341" t="s">
        <v>204</v>
      </c>
      <c r="QT30" s="159" t="s">
        <v>1</v>
      </c>
      <c r="QU30" s="159" t="s">
        <v>15</v>
      </c>
      <c r="QV30" s="159" t="s">
        <v>1</v>
      </c>
      <c r="QW30" s="131" t="s">
        <v>22</v>
      </c>
      <c r="QX30" s="216" t="s">
        <v>198</v>
      </c>
      <c r="QY30" s="246" t="s">
        <v>8</v>
      </c>
      <c r="QZ30" s="166" t="s">
        <v>11</v>
      </c>
      <c r="RA30" s="221" t="s">
        <v>2</v>
      </c>
      <c r="RB30" s="239" t="s">
        <v>210</v>
      </c>
      <c r="RC30" s="182" t="s">
        <v>8</v>
      </c>
      <c r="RD30" s="199" t="s">
        <v>2</v>
      </c>
      <c r="RE30" s="131" t="s">
        <v>2</v>
      </c>
      <c r="RF30" s="159" t="s">
        <v>7</v>
      </c>
      <c r="RG30" s="159" t="s">
        <v>8</v>
      </c>
      <c r="RH30" s="140" t="s">
        <v>206</v>
      </c>
      <c r="RI30" s="340" t="s">
        <v>216</v>
      </c>
      <c r="RJ30" s="125" t="s">
        <v>11</v>
      </c>
      <c r="RK30" s="182" t="s">
        <v>2</v>
      </c>
      <c r="RL30" s="141" t="s">
        <v>8</v>
      </c>
      <c r="RM30" s="140" t="s">
        <v>203</v>
      </c>
      <c r="RN30" s="339" t="s">
        <v>212</v>
      </c>
      <c r="RO30" s="124" t="s">
        <v>201</v>
      </c>
      <c r="RP30" s="246" t="s">
        <v>43</v>
      </c>
      <c r="RQ30" s="230" t="s">
        <v>5</v>
      </c>
      <c r="RR30" s="246" t="s">
        <v>43</v>
      </c>
      <c r="RS30" s="159" t="s">
        <v>10</v>
      </c>
      <c r="RT30" s="235" t="s">
        <v>21</v>
      </c>
      <c r="RU30" s="246" t="s">
        <v>43</v>
      </c>
      <c r="RV30" s="182" t="s">
        <v>7</v>
      </c>
      <c r="RW30" s="182" t="s">
        <v>7</v>
      </c>
      <c r="RX30" s="334" t="s">
        <v>209</v>
      </c>
      <c r="RY30" s="158" t="s">
        <v>22</v>
      </c>
      <c r="RZ30" s="159" t="s">
        <v>185</v>
      </c>
      <c r="SA30" s="246" t="s">
        <v>43</v>
      </c>
      <c r="SB30" s="221" t="s">
        <v>1</v>
      </c>
      <c r="SC30" s="176" t="s">
        <v>1</v>
      </c>
      <c r="SD30" s="166" t="s">
        <v>15</v>
      </c>
      <c r="SE30" s="211" t="s">
        <v>22</v>
      </c>
      <c r="SF30" s="176" t="s">
        <v>7</v>
      </c>
      <c r="SG30" s="246" t="s">
        <v>43</v>
      </c>
      <c r="SH30" s="254" t="s">
        <v>15</v>
      </c>
      <c r="SI30" s="131" t="s">
        <v>5</v>
      </c>
      <c r="SJ30" s="221" t="s">
        <v>261</v>
      </c>
      <c r="SK30" s="322">
        <f t="shared" si="103"/>
        <v>1371.4710070037861</v>
      </c>
      <c r="SM30" s="362">
        <v>17</v>
      </c>
      <c r="SO30"/>
      <c r="SP30"/>
      <c r="TP30" s="357"/>
      <c r="TQ30" s="66" t="s">
        <v>107</v>
      </c>
      <c r="TR30" s="306">
        <f t="shared" si="104"/>
        <v>31</v>
      </c>
      <c r="TS30" s="306">
        <f t="shared" si="105"/>
        <v>23</v>
      </c>
      <c r="TT30" s="306">
        <f t="shared" si="106"/>
        <v>12</v>
      </c>
      <c r="TU30" s="306">
        <f t="shared" si="107"/>
        <v>9</v>
      </c>
      <c r="TV30" s="306">
        <f t="shared" si="108"/>
        <v>12</v>
      </c>
      <c r="TW30" s="306">
        <f t="shared" si="109"/>
        <v>12</v>
      </c>
      <c r="TX30" s="306">
        <f t="shared" si="110"/>
        <v>12</v>
      </c>
      <c r="TY30" s="306">
        <f t="shared" si="111"/>
        <v>33</v>
      </c>
      <c r="TZ30" s="306">
        <f t="shared" si="112"/>
        <v>33</v>
      </c>
      <c r="UA30" s="306">
        <f t="shared" si="113"/>
        <v>24</v>
      </c>
      <c r="UB30" s="306">
        <f t="shared" si="114"/>
        <v>19</v>
      </c>
      <c r="UC30" s="306">
        <f t="shared" si="115"/>
        <v>23</v>
      </c>
      <c r="UD30" s="306">
        <f t="shared" si="116"/>
        <v>9</v>
      </c>
      <c r="UE30" s="306">
        <f t="shared" si="117"/>
        <v>26</v>
      </c>
      <c r="UF30" s="306">
        <f t="shared" si="118"/>
        <v>24</v>
      </c>
      <c r="UG30" s="306">
        <f t="shared" si="119"/>
        <v>13</v>
      </c>
      <c r="UH30" s="306">
        <f t="shared" si="120"/>
        <v>28</v>
      </c>
      <c r="UI30" s="306">
        <f t="shared" si="121"/>
        <v>32</v>
      </c>
      <c r="UJ30" s="306">
        <f t="shared" si="122"/>
        <v>9</v>
      </c>
      <c r="UK30" s="306">
        <f t="shared" si="123"/>
        <v>2</v>
      </c>
      <c r="UL30" s="306">
        <f t="shared" si="124"/>
        <v>26</v>
      </c>
      <c r="UM30" s="306">
        <f t="shared" si="125"/>
        <v>28</v>
      </c>
      <c r="UN30" s="306">
        <f t="shared" si="126"/>
        <v>8</v>
      </c>
      <c r="UO30" s="306">
        <f t="shared" si="127"/>
        <v>13</v>
      </c>
      <c r="UP30" s="306">
        <f t="shared" si="128"/>
        <v>12</v>
      </c>
      <c r="UQ30" s="306">
        <f t="shared" si="129"/>
        <v>30</v>
      </c>
      <c r="UR30" s="306">
        <f t="shared" si="130"/>
        <v>13</v>
      </c>
      <c r="US30" s="306">
        <f t="shared" si="131"/>
        <v>22</v>
      </c>
      <c r="UT30" s="306">
        <f t="shared" si="132"/>
        <v>30</v>
      </c>
      <c r="UU30" s="306">
        <f t="shared" si="133"/>
        <v>22</v>
      </c>
      <c r="UV30" s="306">
        <f t="shared" si="134"/>
        <v>31</v>
      </c>
      <c r="UW30" s="306">
        <f t="shared" si="135"/>
        <v>33</v>
      </c>
      <c r="UX30" s="306">
        <f t="shared" si="136"/>
        <v>32</v>
      </c>
      <c r="UY30" s="306">
        <f t="shared" si="137"/>
        <v>17</v>
      </c>
      <c r="UZ30" s="306">
        <f t="shared" si="138"/>
        <v>12</v>
      </c>
      <c r="VA30" s="306">
        <f t="shared" si="139"/>
        <v>18</v>
      </c>
      <c r="VB30" s="306">
        <f t="shared" si="140"/>
        <v>25</v>
      </c>
      <c r="VC30" s="306">
        <f t="shared" si="141"/>
        <v>18</v>
      </c>
      <c r="VD30" s="306">
        <f t="shared" si="142"/>
        <v>23</v>
      </c>
      <c r="VE30" s="306">
        <f t="shared" si="143"/>
        <v>26</v>
      </c>
      <c r="VF30" s="306">
        <f t="shared" si="144"/>
        <v>19</v>
      </c>
      <c r="VG30" s="306">
        <f t="shared" si="145"/>
        <v>13</v>
      </c>
      <c r="VH30" s="306">
        <f t="shared" si="146"/>
        <v>29</v>
      </c>
      <c r="VI30" s="306">
        <f t="shared" si="147"/>
        <v>28</v>
      </c>
      <c r="VJ30" s="306">
        <f t="shared" si="148"/>
        <v>30</v>
      </c>
      <c r="VK30" s="306">
        <f t="shared" si="149"/>
        <v>32</v>
      </c>
      <c r="VL30" s="306">
        <f t="shared" si="150"/>
        <v>25</v>
      </c>
      <c r="VN30" s="306">
        <f t="shared" si="151"/>
        <v>0</v>
      </c>
      <c r="WR30" s="357"/>
      <c r="WS30" s="66" t="s">
        <v>107</v>
      </c>
      <c r="WT30" s="225" t="s">
        <v>195</v>
      </c>
      <c r="WU30" s="246" t="s">
        <v>20</v>
      </c>
      <c r="WV30" s="246" t="s">
        <v>2</v>
      </c>
      <c r="WW30" s="342" t="s">
        <v>204</v>
      </c>
      <c r="WX30" s="246" t="s">
        <v>1</v>
      </c>
      <c r="WY30" s="246" t="s">
        <v>15</v>
      </c>
      <c r="WZ30" s="246" t="s">
        <v>1</v>
      </c>
      <c r="XA30" s="246" t="s">
        <v>22</v>
      </c>
      <c r="XB30" s="225" t="s">
        <v>198</v>
      </c>
      <c r="XC30" s="240" t="s">
        <v>8</v>
      </c>
      <c r="XD30" s="240" t="s">
        <v>11</v>
      </c>
      <c r="XE30" s="240" t="s">
        <v>2</v>
      </c>
      <c r="XF30" s="225" t="s">
        <v>210</v>
      </c>
      <c r="XG30" s="163" t="s">
        <v>8</v>
      </c>
      <c r="XH30" s="163" t="s">
        <v>2</v>
      </c>
      <c r="XI30" s="166" t="s">
        <v>2</v>
      </c>
      <c r="XJ30" s="166" t="s">
        <v>7</v>
      </c>
      <c r="XK30" s="166" t="s">
        <v>8</v>
      </c>
      <c r="XL30" s="179" t="s">
        <v>206</v>
      </c>
      <c r="XM30" s="327" t="s">
        <v>216</v>
      </c>
      <c r="XN30" s="159" t="s">
        <v>11</v>
      </c>
      <c r="XO30" s="159" t="s">
        <v>2</v>
      </c>
      <c r="XP30" s="246" t="s">
        <v>8</v>
      </c>
      <c r="XQ30" s="242" t="s">
        <v>203</v>
      </c>
      <c r="XR30" s="339" t="s">
        <v>212</v>
      </c>
      <c r="XS30" s="225" t="s">
        <v>201</v>
      </c>
      <c r="XT30" s="246" t="s">
        <v>43</v>
      </c>
      <c r="XU30" s="246" t="s">
        <v>5</v>
      </c>
      <c r="XV30" s="246" t="s">
        <v>43</v>
      </c>
      <c r="XW30" s="159" t="s">
        <v>10</v>
      </c>
      <c r="XX30" s="225" t="s">
        <v>21</v>
      </c>
      <c r="XY30" s="246" t="s">
        <v>43</v>
      </c>
      <c r="XZ30" s="166" t="s">
        <v>7</v>
      </c>
      <c r="YA30" s="166" t="s">
        <v>7</v>
      </c>
      <c r="YB30" s="327" t="s">
        <v>209</v>
      </c>
      <c r="YC30" s="246" t="s">
        <v>22</v>
      </c>
      <c r="YD30" s="246" t="s">
        <v>185</v>
      </c>
      <c r="YE30" s="246" t="s">
        <v>43</v>
      </c>
      <c r="YF30" s="246" t="s">
        <v>1</v>
      </c>
      <c r="YG30" s="246" t="s">
        <v>1</v>
      </c>
      <c r="YH30" s="246" t="s">
        <v>15</v>
      </c>
      <c r="YI30" s="246" t="s">
        <v>22</v>
      </c>
      <c r="YJ30" s="159" t="s">
        <v>7</v>
      </c>
      <c r="YK30" s="159" t="s">
        <v>43</v>
      </c>
      <c r="YL30" s="159" t="s">
        <v>15</v>
      </c>
      <c r="YM30" s="246" t="s">
        <v>5</v>
      </c>
      <c r="YN30" s="246" t="s">
        <v>261</v>
      </c>
      <c r="AFZ30" s="307"/>
    </row>
    <row r="31" spans="1:858" s="306" customFormat="1" ht="20.65" x14ac:dyDescent="0.7">
      <c r="A31" s="70">
        <v>22</v>
      </c>
      <c r="B31" s="305"/>
      <c r="C31" s="45" t="s">
        <v>111</v>
      </c>
      <c r="D31" s="45" t="s">
        <v>112</v>
      </c>
      <c r="E31" s="305"/>
      <c r="F31" s="128">
        <v>1660.0569876897741</v>
      </c>
      <c r="X31" s="355"/>
      <c r="AA31" s="56" t="s">
        <v>54</v>
      </c>
      <c r="AB31" s="305" t="s">
        <v>17</v>
      </c>
      <c r="AC31" s="183" t="s">
        <v>1</v>
      </c>
      <c r="AD31" s="147" t="s">
        <v>2</v>
      </c>
      <c r="AE31" s="210" t="s">
        <v>10</v>
      </c>
      <c r="AF31" s="203" t="s">
        <v>4</v>
      </c>
      <c r="AG31" s="258" t="s">
        <v>5</v>
      </c>
      <c r="AH31" s="210" t="s">
        <v>2</v>
      </c>
      <c r="AI31" s="253" t="s">
        <v>2</v>
      </c>
      <c r="AJ31" s="253" t="s">
        <v>2</v>
      </c>
      <c r="AK31" s="147" t="s">
        <v>10</v>
      </c>
      <c r="AL31" s="157" t="s">
        <v>2</v>
      </c>
      <c r="AM31" s="185" t="s">
        <v>18</v>
      </c>
      <c r="AN31" s="343" t="s">
        <v>246</v>
      </c>
      <c r="AO31" s="229" t="s">
        <v>43</v>
      </c>
      <c r="AP31" s="164" t="s">
        <v>247</v>
      </c>
      <c r="AQ31" s="213" t="s">
        <v>19</v>
      </c>
      <c r="AR31" s="318" t="s">
        <v>43</v>
      </c>
      <c r="AS31" s="146" t="s">
        <v>9</v>
      </c>
      <c r="AT31" s="196" t="s">
        <v>11</v>
      </c>
      <c r="AU31" s="150" t="s">
        <v>20</v>
      </c>
      <c r="AV31" s="147" t="s">
        <v>7</v>
      </c>
      <c r="AW31" s="147" t="s">
        <v>5</v>
      </c>
      <c r="AX31" s="229" t="s">
        <v>43</v>
      </c>
      <c r="AY31" s="229" t="s">
        <v>43</v>
      </c>
      <c r="AZ31" s="146" t="s">
        <v>15</v>
      </c>
      <c r="BA31" s="146" t="s">
        <v>20</v>
      </c>
      <c r="BB31" s="146" t="s">
        <v>6</v>
      </c>
      <c r="BC31" s="168" t="s">
        <v>21</v>
      </c>
      <c r="BD31" s="224" t="s">
        <v>244</v>
      </c>
      <c r="BE31" s="318" t="s">
        <v>43</v>
      </c>
      <c r="BF31" s="318" t="s">
        <v>43</v>
      </c>
      <c r="BG31" s="253" t="s">
        <v>7</v>
      </c>
      <c r="BH31" s="318" t="s">
        <v>43</v>
      </c>
      <c r="BI31" s="183" t="s">
        <v>14</v>
      </c>
      <c r="BJ31" s="183" t="s">
        <v>5</v>
      </c>
      <c r="BK31" s="183" t="s">
        <v>11</v>
      </c>
      <c r="BL31" s="318" t="s">
        <v>43</v>
      </c>
      <c r="BM31" s="150" t="s">
        <v>22</v>
      </c>
      <c r="BN31" s="258" t="s">
        <v>15</v>
      </c>
      <c r="BO31" s="309"/>
      <c r="BP31" s="319">
        <f t="shared" si="59"/>
        <v>19740.533311472616</v>
      </c>
      <c r="BQ31" s="320" t="s">
        <v>59</v>
      </c>
      <c r="BR31" s="143" t="s">
        <v>2</v>
      </c>
      <c r="BS31" s="227" t="s">
        <v>43</v>
      </c>
      <c r="BT31" s="269" t="s">
        <v>20</v>
      </c>
      <c r="BU31" s="227" t="s">
        <v>43</v>
      </c>
      <c r="BV31" s="196" t="s">
        <v>20</v>
      </c>
      <c r="BW31" s="161" t="s">
        <v>46</v>
      </c>
      <c r="BX31" s="235" t="s">
        <v>252</v>
      </c>
      <c r="BY31" s="241" t="s">
        <v>48</v>
      </c>
      <c r="BZ31" s="177" t="s">
        <v>8</v>
      </c>
      <c r="CA31" s="161" t="s">
        <v>5</v>
      </c>
      <c r="CB31" s="177" t="s">
        <v>8</v>
      </c>
      <c r="CC31" s="193" t="s">
        <v>6</v>
      </c>
      <c r="CD31" s="143" t="s">
        <v>45</v>
      </c>
      <c r="CE31" s="227" t="s">
        <v>43</v>
      </c>
      <c r="CF31" s="208" t="s">
        <v>22</v>
      </c>
      <c r="CG31" s="193" t="s">
        <v>10</v>
      </c>
      <c r="CH31" s="193" t="s">
        <v>20</v>
      </c>
      <c r="CI31" s="318" t="s">
        <v>43</v>
      </c>
      <c r="CJ31" s="70">
        <v>56</v>
      </c>
      <c r="DG31" s="357"/>
      <c r="DI31" s="56" t="s">
        <v>54</v>
      </c>
      <c r="DJ31" s="305" t="s">
        <v>17</v>
      </c>
      <c r="DK31" s="363">
        <f t="shared" si="0"/>
        <v>7</v>
      </c>
      <c r="DL31" s="363">
        <f t="shared" si="1"/>
        <v>5</v>
      </c>
      <c r="DM31" s="363">
        <f t="shared" si="2"/>
        <v>0</v>
      </c>
      <c r="DN31" s="363">
        <f t="shared" si="3"/>
        <v>5</v>
      </c>
      <c r="DO31" s="363">
        <f t="shared" si="4"/>
        <v>7</v>
      </c>
      <c r="DP31" s="363">
        <f t="shared" si="5"/>
        <v>0</v>
      </c>
      <c r="DQ31" s="363">
        <f t="shared" si="6"/>
        <v>3</v>
      </c>
      <c r="DR31" s="363">
        <f t="shared" si="7"/>
        <v>7</v>
      </c>
      <c r="DS31" s="363">
        <f t="shared" si="8"/>
        <v>5</v>
      </c>
      <c r="DT31" s="363">
        <f t="shared" si="9"/>
        <v>5</v>
      </c>
      <c r="DU31" s="363">
        <f t="shared" si="10"/>
        <v>0</v>
      </c>
      <c r="DV31" s="363">
        <f t="shared" si="11"/>
        <v>7</v>
      </c>
      <c r="DW31" s="363">
        <f t="shared" si="12"/>
        <v>0</v>
      </c>
      <c r="DX31" s="363">
        <f t="shared" si="13"/>
        <v>0</v>
      </c>
      <c r="DY31" s="363">
        <f t="shared" si="14"/>
        <v>0</v>
      </c>
      <c r="DZ31" s="363">
        <f t="shared" si="15"/>
        <v>4</v>
      </c>
      <c r="EA31" s="363">
        <f t="shared" si="16"/>
        <v>7</v>
      </c>
      <c r="EB31" s="363">
        <f t="shared" si="17"/>
        <v>3</v>
      </c>
      <c r="EC31" s="363">
        <f t="shared" si="18"/>
        <v>7</v>
      </c>
      <c r="ED31" s="363">
        <f t="shared" si="19"/>
        <v>7</v>
      </c>
      <c r="EE31" s="363">
        <f t="shared" si="20"/>
        <v>2</v>
      </c>
      <c r="EF31" s="363">
        <f t="shared" si="21"/>
        <v>5</v>
      </c>
      <c r="EG31" s="363">
        <f t="shared" si="22"/>
        <v>5</v>
      </c>
      <c r="EH31" s="363">
        <f t="shared" si="23"/>
        <v>5</v>
      </c>
      <c r="EI31" s="363">
        <f t="shared" si="24"/>
        <v>5</v>
      </c>
      <c r="EJ31" s="363">
        <f t="shared" si="25"/>
        <v>5</v>
      </c>
      <c r="EK31" s="363">
        <f t="shared" si="26"/>
        <v>5</v>
      </c>
      <c r="EL31" s="363">
        <f t="shared" si="27"/>
        <v>0</v>
      </c>
      <c r="EM31" s="363">
        <f t="shared" si="28"/>
        <v>0</v>
      </c>
      <c r="EN31" s="363">
        <f t="shared" si="29"/>
        <v>3</v>
      </c>
      <c r="EO31" s="363">
        <f t="shared" si="30"/>
        <v>5</v>
      </c>
      <c r="EP31" s="363">
        <f t="shared" si="31"/>
        <v>2</v>
      </c>
      <c r="EQ31" s="363">
        <f t="shared" si="32"/>
        <v>6</v>
      </c>
      <c r="ER31" s="363">
        <f t="shared" si="33"/>
        <v>5</v>
      </c>
      <c r="ES31" s="363">
        <f t="shared" si="34"/>
        <v>7</v>
      </c>
      <c r="ET31" s="363">
        <f t="shared" si="35"/>
        <v>0</v>
      </c>
      <c r="EU31" s="363">
        <f t="shared" si="36"/>
        <v>0</v>
      </c>
      <c r="EV31" s="363">
        <f t="shared" si="37"/>
        <v>7</v>
      </c>
      <c r="EW31" s="374" t="s">
        <v>59</v>
      </c>
      <c r="EX31" s="363">
        <f t="shared" si="38"/>
        <v>6</v>
      </c>
      <c r="EY31" s="363">
        <f t="shared" si="39"/>
        <v>0</v>
      </c>
      <c r="EZ31" s="363">
        <f t="shared" si="40"/>
        <v>2</v>
      </c>
      <c r="FA31" s="363">
        <f t="shared" si="41"/>
        <v>7</v>
      </c>
      <c r="FB31" s="363">
        <f t="shared" si="42"/>
        <v>7</v>
      </c>
      <c r="FC31" s="363">
        <f t="shared" si="43"/>
        <v>0</v>
      </c>
      <c r="FD31" s="363">
        <f t="shared" si="44"/>
        <v>0</v>
      </c>
      <c r="FE31" s="363">
        <f t="shared" si="45"/>
        <v>0</v>
      </c>
      <c r="FF31" s="363">
        <f t="shared" si="46"/>
        <v>7</v>
      </c>
      <c r="FG31" s="363">
        <f t="shared" si="47"/>
        <v>0</v>
      </c>
      <c r="FH31" s="363">
        <f t="shared" si="48"/>
        <v>7</v>
      </c>
      <c r="FI31" s="363">
        <f t="shared" si="49"/>
        <v>0</v>
      </c>
      <c r="FJ31" s="363">
        <f t="shared" si="50"/>
        <v>7</v>
      </c>
      <c r="FK31" s="363">
        <f t="shared" si="51"/>
        <v>7</v>
      </c>
      <c r="FL31" s="363">
        <f t="shared" si="52"/>
        <v>1</v>
      </c>
      <c r="FM31" s="363">
        <f t="shared" si="53"/>
        <v>7</v>
      </c>
      <c r="FN31" s="363">
        <f t="shared" si="54"/>
        <v>0</v>
      </c>
      <c r="FO31" s="363">
        <f t="shared" si="55"/>
        <v>0</v>
      </c>
      <c r="FP31" s="363">
        <f t="shared" si="60"/>
        <v>10</v>
      </c>
      <c r="FQ31" s="363">
        <f t="shared" si="61"/>
        <v>8</v>
      </c>
      <c r="FR31" s="309">
        <f t="shared" si="62"/>
        <v>18</v>
      </c>
      <c r="GM31" s="357"/>
      <c r="GO31" s="56" t="s">
        <v>54</v>
      </c>
      <c r="GP31" s="305" t="s">
        <v>17</v>
      </c>
      <c r="GQ31" s="244" t="s">
        <v>1</v>
      </c>
      <c r="GR31" s="244" t="s">
        <v>2</v>
      </c>
      <c r="GS31" s="244" t="s">
        <v>10</v>
      </c>
      <c r="GT31" s="244" t="s">
        <v>4</v>
      </c>
      <c r="GU31" s="244" t="s">
        <v>5</v>
      </c>
      <c r="GV31" s="244" t="s">
        <v>2</v>
      </c>
      <c r="GW31" s="244" t="s">
        <v>2</v>
      </c>
      <c r="GX31" s="244" t="s">
        <v>2</v>
      </c>
      <c r="GY31" s="244" t="s">
        <v>10</v>
      </c>
      <c r="GZ31" s="223" t="s">
        <v>2</v>
      </c>
      <c r="HA31" s="366" t="s">
        <v>18</v>
      </c>
      <c r="HB31" s="387" t="s">
        <v>323</v>
      </c>
      <c r="HC31" s="244" t="s">
        <v>43</v>
      </c>
      <c r="HD31" s="384" t="s">
        <v>324</v>
      </c>
      <c r="HE31" s="384" t="s">
        <v>19</v>
      </c>
      <c r="HF31" s="318" t="s">
        <v>43</v>
      </c>
      <c r="HG31" s="244" t="s">
        <v>9</v>
      </c>
      <c r="HH31" s="244" t="s">
        <v>11</v>
      </c>
      <c r="HI31" s="244" t="s">
        <v>20</v>
      </c>
      <c r="HJ31" s="244" t="s">
        <v>7</v>
      </c>
      <c r="HK31" s="244" t="s">
        <v>5</v>
      </c>
      <c r="HL31" s="244" t="s">
        <v>43</v>
      </c>
      <c r="HM31" s="244" t="s">
        <v>43</v>
      </c>
      <c r="HN31" s="244" t="s">
        <v>15</v>
      </c>
      <c r="HO31" s="244" t="s">
        <v>20</v>
      </c>
      <c r="HP31" s="244" t="s">
        <v>6</v>
      </c>
      <c r="HQ31" s="366" t="s">
        <v>21</v>
      </c>
      <c r="HR31" s="366" t="s">
        <v>318</v>
      </c>
      <c r="HS31" s="318" t="s">
        <v>43</v>
      </c>
      <c r="HT31" s="318" t="s">
        <v>43</v>
      </c>
      <c r="HU31" s="244" t="s">
        <v>7</v>
      </c>
      <c r="HV31" s="318" t="s">
        <v>43</v>
      </c>
      <c r="HW31" s="244" t="s">
        <v>14</v>
      </c>
      <c r="HX31" s="244" t="s">
        <v>5</v>
      </c>
      <c r="HY31" s="244" t="s">
        <v>11</v>
      </c>
      <c r="HZ31" s="318" t="s">
        <v>43</v>
      </c>
      <c r="IA31" s="244" t="s">
        <v>22</v>
      </c>
      <c r="IB31" s="244" t="s">
        <v>15</v>
      </c>
      <c r="IC31" s="374" t="s">
        <v>59</v>
      </c>
      <c r="ID31" s="173" t="s">
        <v>2</v>
      </c>
      <c r="IE31" s="173" t="s">
        <v>43</v>
      </c>
      <c r="IF31" s="173" t="s">
        <v>20</v>
      </c>
      <c r="IG31" s="173" t="s">
        <v>43</v>
      </c>
      <c r="IH31" s="244" t="s">
        <v>20</v>
      </c>
      <c r="II31" s="173" t="s">
        <v>46</v>
      </c>
      <c r="IJ31" s="367" t="s">
        <v>320</v>
      </c>
      <c r="IK31" s="368" t="s">
        <v>48</v>
      </c>
      <c r="IL31" s="173" t="s">
        <v>8</v>
      </c>
      <c r="IM31" s="173" t="s">
        <v>5</v>
      </c>
      <c r="IN31" s="173" t="s">
        <v>8</v>
      </c>
      <c r="IO31" s="173" t="s">
        <v>6</v>
      </c>
      <c r="IP31" s="173" t="s">
        <v>45</v>
      </c>
      <c r="IQ31" s="173" t="s">
        <v>43</v>
      </c>
      <c r="IR31" s="173" t="s">
        <v>22</v>
      </c>
      <c r="IS31" s="173" t="s">
        <v>10</v>
      </c>
      <c r="IT31" s="173" t="s">
        <v>20</v>
      </c>
      <c r="IU31" s="318" t="s">
        <v>43</v>
      </c>
      <c r="JN31" s="357"/>
      <c r="JO31" s="369">
        <v>85</v>
      </c>
      <c r="JP31" s="305" t="s">
        <v>141</v>
      </c>
      <c r="JQ31" s="328" t="s">
        <v>160</v>
      </c>
      <c r="JR31" s="67" t="s">
        <v>161</v>
      </c>
      <c r="JS31" s="159" t="s">
        <v>7</v>
      </c>
      <c r="JT31" s="246" t="s">
        <v>43</v>
      </c>
      <c r="JU31" s="109" t="s">
        <v>6</v>
      </c>
      <c r="JV31" s="155" t="s">
        <v>20</v>
      </c>
      <c r="JW31" s="149" t="s">
        <v>43</v>
      </c>
      <c r="JX31" s="182" t="s">
        <v>2</v>
      </c>
      <c r="JY31" s="155" t="s">
        <v>10</v>
      </c>
      <c r="JZ31" s="254" t="s">
        <v>2</v>
      </c>
      <c r="KA31" s="126" t="s">
        <v>184</v>
      </c>
      <c r="KB31" s="129" t="s">
        <v>43</v>
      </c>
      <c r="KC31" s="172" t="s">
        <v>10</v>
      </c>
      <c r="KD31" s="163" t="s">
        <v>20</v>
      </c>
      <c r="KE31" s="182" t="s">
        <v>12</v>
      </c>
      <c r="KF31" s="254" t="s">
        <v>20</v>
      </c>
      <c r="KG31" s="176" t="s">
        <v>12</v>
      </c>
      <c r="KH31" s="118" t="s">
        <v>186</v>
      </c>
      <c r="KI31" s="246" t="s">
        <v>43</v>
      </c>
      <c r="KJ31" s="190" t="s">
        <v>187</v>
      </c>
      <c r="KK31" s="246" t="s">
        <v>43</v>
      </c>
      <c r="KL31" s="159" t="s">
        <v>12</v>
      </c>
      <c r="KM31" s="159" t="s">
        <v>14</v>
      </c>
      <c r="KN31" s="182" t="s">
        <v>6</v>
      </c>
      <c r="KO31" s="182" t="s">
        <v>5</v>
      </c>
      <c r="KP31" s="322">
        <f t="shared" si="63"/>
        <v>146.67788411533621</v>
      </c>
      <c r="KR31" s="329" t="s">
        <v>141</v>
      </c>
      <c r="KS31" s="254" t="s">
        <v>4</v>
      </c>
      <c r="KT31" s="170" t="s">
        <v>9</v>
      </c>
      <c r="KU31" s="221" t="s">
        <v>20</v>
      </c>
      <c r="KV31" s="117" t="s">
        <v>14</v>
      </c>
      <c r="KW31" s="124" t="s">
        <v>194</v>
      </c>
      <c r="KX31" s="240" t="s">
        <v>6</v>
      </c>
      <c r="KY31" s="240" t="s">
        <v>15</v>
      </c>
      <c r="KZ31" s="240" t="s">
        <v>6</v>
      </c>
      <c r="LA31" s="155" t="s">
        <v>10</v>
      </c>
      <c r="LB31" s="166" t="s">
        <v>9</v>
      </c>
      <c r="LC31" s="117" t="s">
        <v>5</v>
      </c>
      <c r="LD31" s="159" t="s">
        <v>9</v>
      </c>
      <c r="LE31" s="155" t="s">
        <v>7</v>
      </c>
      <c r="LF31" s="166" t="s">
        <v>15</v>
      </c>
      <c r="LG31" s="122" t="s">
        <v>230</v>
      </c>
      <c r="LH31" s="358">
        <v>18</v>
      </c>
      <c r="LW31" s="369">
        <v>85</v>
      </c>
      <c r="LX31" s="317" t="s">
        <v>141</v>
      </c>
      <c r="LY31" s="370" t="s">
        <v>160</v>
      </c>
      <c r="LZ31" s="306">
        <f t="shared" si="64"/>
        <v>20</v>
      </c>
      <c r="MA31" s="306">
        <f t="shared" si="65"/>
        <v>13</v>
      </c>
      <c r="MB31" s="306">
        <f t="shared" si="66"/>
        <v>14</v>
      </c>
      <c r="MC31" s="306">
        <f t="shared" si="67"/>
        <v>28</v>
      </c>
      <c r="MD31" s="306">
        <f t="shared" si="68"/>
        <v>13</v>
      </c>
      <c r="ME31" s="306">
        <f t="shared" si="69"/>
        <v>7</v>
      </c>
      <c r="MF31" s="306">
        <f t="shared" si="70"/>
        <v>11</v>
      </c>
      <c r="MG31" s="306">
        <f t="shared" si="71"/>
        <v>7</v>
      </c>
      <c r="MH31" s="306">
        <f t="shared" si="72"/>
        <v>12</v>
      </c>
      <c r="MI31" s="306">
        <f t="shared" si="73"/>
        <v>12</v>
      </c>
      <c r="MJ31" s="306">
        <f t="shared" si="74"/>
        <v>9</v>
      </c>
      <c r="MK31" s="306">
        <f t="shared" si="75"/>
        <v>21</v>
      </c>
      <c r="ML31" s="306">
        <f t="shared" si="76"/>
        <v>17</v>
      </c>
      <c r="MM31" s="306">
        <f t="shared" si="77"/>
        <v>10</v>
      </c>
      <c r="MN31" s="306">
        <f t="shared" si="78"/>
        <v>4</v>
      </c>
      <c r="MO31" s="306">
        <f t="shared" si="79"/>
        <v>19</v>
      </c>
      <c r="MP31" s="306">
        <f t="shared" si="80"/>
        <v>19</v>
      </c>
      <c r="MQ31" s="306">
        <f t="shared" si="81"/>
        <v>21</v>
      </c>
      <c r="MR31" s="306">
        <f t="shared" si="82"/>
        <v>22</v>
      </c>
      <c r="MS31" s="306">
        <f t="shared" si="83"/>
        <v>25</v>
      </c>
      <c r="MT31" s="306">
        <f t="shared" si="84"/>
        <v>26</v>
      </c>
      <c r="MU31" s="306">
        <f t="shared" si="85"/>
        <v>28</v>
      </c>
      <c r="MV31" s="306">
        <f t="shared" si="86"/>
        <v>23</v>
      </c>
      <c r="MY31" s="306">
        <f t="shared" si="87"/>
        <v>5</v>
      </c>
      <c r="MZ31" s="306">
        <f t="shared" si="88"/>
        <v>29</v>
      </c>
      <c r="NA31" s="306">
        <f t="shared" si="89"/>
        <v>28</v>
      </c>
      <c r="NB31" s="306">
        <f t="shared" si="90"/>
        <v>13</v>
      </c>
      <c r="NC31" s="306">
        <f t="shared" si="91"/>
        <v>14</v>
      </c>
      <c r="ND31" s="306">
        <f t="shared" si="92"/>
        <v>28</v>
      </c>
      <c r="NE31" s="306">
        <f t="shared" si="93"/>
        <v>29</v>
      </c>
      <c r="NF31" s="306">
        <f t="shared" si="94"/>
        <v>29</v>
      </c>
      <c r="NG31" s="306">
        <f t="shared" si="95"/>
        <v>17</v>
      </c>
      <c r="NH31" s="306">
        <f t="shared" si="96"/>
        <v>26</v>
      </c>
      <c r="NI31" s="306">
        <f t="shared" si="97"/>
        <v>13</v>
      </c>
      <c r="NJ31" s="306">
        <f t="shared" si="98"/>
        <v>14</v>
      </c>
      <c r="NK31" s="306">
        <f t="shared" si="99"/>
        <v>16</v>
      </c>
      <c r="NL31" s="306">
        <f t="shared" si="100"/>
        <v>26</v>
      </c>
      <c r="NM31" s="306">
        <f t="shared" si="100"/>
        <v>3</v>
      </c>
      <c r="NN31" s="306">
        <f t="shared" si="101"/>
        <v>0</v>
      </c>
      <c r="NO31" s="306">
        <f t="shared" si="102"/>
        <v>0</v>
      </c>
      <c r="NU31" s="370" t="s">
        <v>160</v>
      </c>
      <c r="NV31" s="357"/>
      <c r="NX31" s="246" t="s">
        <v>7</v>
      </c>
      <c r="NY31" s="246" t="s">
        <v>43</v>
      </c>
      <c r="NZ31" s="246" t="s">
        <v>6</v>
      </c>
      <c r="OA31" s="246" t="s">
        <v>20</v>
      </c>
      <c r="OB31" s="149" t="s">
        <v>43</v>
      </c>
      <c r="OC31" s="159" t="s">
        <v>2</v>
      </c>
      <c r="OD31" s="159" t="s">
        <v>10</v>
      </c>
      <c r="OE31" s="159" t="s">
        <v>2</v>
      </c>
      <c r="OF31" s="371" t="s">
        <v>184</v>
      </c>
      <c r="OG31" s="129" t="s">
        <v>43</v>
      </c>
      <c r="OH31" s="246" t="s">
        <v>10</v>
      </c>
      <c r="OI31" s="246" t="s">
        <v>20</v>
      </c>
      <c r="OJ31" s="230" t="s">
        <v>12</v>
      </c>
      <c r="OK31" s="230" t="s">
        <v>20</v>
      </c>
      <c r="OL31" s="246" t="s">
        <v>12</v>
      </c>
      <c r="OM31" s="372" t="s">
        <v>186</v>
      </c>
      <c r="ON31" s="246" t="s">
        <v>43</v>
      </c>
      <c r="OO31" s="225" t="s">
        <v>187</v>
      </c>
      <c r="OP31" s="246" t="s">
        <v>43</v>
      </c>
      <c r="OQ31" s="246" t="s">
        <v>12</v>
      </c>
      <c r="OR31" s="159" t="s">
        <v>14</v>
      </c>
      <c r="OS31" s="159" t="s">
        <v>6</v>
      </c>
      <c r="OT31" s="246" t="s">
        <v>5</v>
      </c>
      <c r="OV31" s="375" t="s">
        <v>141</v>
      </c>
      <c r="OW31" s="246" t="s">
        <v>4</v>
      </c>
      <c r="OX31" s="246" t="s">
        <v>9</v>
      </c>
      <c r="OY31" s="240" t="s">
        <v>20</v>
      </c>
      <c r="OZ31" s="240" t="s">
        <v>14</v>
      </c>
      <c r="PA31" s="225" t="s">
        <v>194</v>
      </c>
      <c r="PB31" s="246" t="s">
        <v>6</v>
      </c>
      <c r="PC31" s="246" t="s">
        <v>15</v>
      </c>
      <c r="PD31" s="246" t="s">
        <v>6</v>
      </c>
      <c r="PE31" s="246" t="s">
        <v>10</v>
      </c>
      <c r="PF31" s="246" t="s">
        <v>9</v>
      </c>
      <c r="PG31" s="246" t="s">
        <v>5</v>
      </c>
      <c r="PH31" s="246" t="s">
        <v>9</v>
      </c>
      <c r="PI31" s="246" t="s">
        <v>7</v>
      </c>
      <c r="PJ31" s="246" t="s">
        <v>15</v>
      </c>
      <c r="PK31" s="382" t="s">
        <v>230</v>
      </c>
      <c r="PM31"/>
      <c r="PN31"/>
      <c r="PO31"/>
      <c r="PP31"/>
      <c r="PQ31"/>
      <c r="PR31"/>
      <c r="PS31"/>
      <c r="PT31"/>
      <c r="QN31" s="357"/>
      <c r="QO31" s="66" t="s">
        <v>108</v>
      </c>
      <c r="QP31" s="204" t="s">
        <v>195</v>
      </c>
      <c r="QQ31" s="166" t="s">
        <v>20</v>
      </c>
      <c r="QR31" s="198" t="s">
        <v>2</v>
      </c>
      <c r="QS31" s="262" t="s">
        <v>215</v>
      </c>
      <c r="QT31" s="254" t="s">
        <v>1</v>
      </c>
      <c r="QU31" s="254" t="s">
        <v>15</v>
      </c>
      <c r="QV31" s="254" t="s">
        <v>3</v>
      </c>
      <c r="QW31" s="246" t="s">
        <v>43</v>
      </c>
      <c r="QX31" s="216" t="s">
        <v>198</v>
      </c>
      <c r="QY31" s="155" t="s">
        <v>6</v>
      </c>
      <c r="QZ31" s="230" t="s">
        <v>20</v>
      </c>
      <c r="RA31" s="254" t="s">
        <v>22</v>
      </c>
      <c r="RB31" s="246" t="s">
        <v>43</v>
      </c>
      <c r="RC31" s="182" t="s">
        <v>8</v>
      </c>
      <c r="RD31" s="166" t="s">
        <v>22</v>
      </c>
      <c r="RE31" s="159" t="s">
        <v>6</v>
      </c>
      <c r="RF31" s="159" t="s">
        <v>6</v>
      </c>
      <c r="RG31" s="159" t="s">
        <v>8</v>
      </c>
      <c r="RH31" s="124" t="s">
        <v>206</v>
      </c>
      <c r="RI31" s="246" t="s">
        <v>43</v>
      </c>
      <c r="RJ31" s="233" t="s">
        <v>7</v>
      </c>
      <c r="RK31" s="233" t="s">
        <v>1</v>
      </c>
      <c r="RL31" s="141" t="s">
        <v>12</v>
      </c>
      <c r="RM31" s="140" t="s">
        <v>203</v>
      </c>
      <c r="RN31" s="339" t="s">
        <v>212</v>
      </c>
      <c r="RO31" s="124" t="s">
        <v>201</v>
      </c>
      <c r="RP31" s="246" t="s">
        <v>43</v>
      </c>
      <c r="RQ31" s="230" t="s">
        <v>5</v>
      </c>
      <c r="RR31" s="246" t="s">
        <v>43</v>
      </c>
      <c r="RS31" s="159" t="s">
        <v>10</v>
      </c>
      <c r="RT31" s="235" t="s">
        <v>21</v>
      </c>
      <c r="RU31" s="246" t="s">
        <v>43</v>
      </c>
      <c r="RV31" s="240" t="s">
        <v>10</v>
      </c>
      <c r="RW31" s="182" t="s">
        <v>7</v>
      </c>
      <c r="RX31" s="334" t="s">
        <v>209</v>
      </c>
      <c r="RY31" s="158" t="s">
        <v>22</v>
      </c>
      <c r="RZ31" s="159" t="s">
        <v>185</v>
      </c>
      <c r="SA31" s="246" t="s">
        <v>43</v>
      </c>
      <c r="SB31" s="221" t="s">
        <v>1</v>
      </c>
      <c r="SC31" s="176" t="s">
        <v>1</v>
      </c>
      <c r="SD31" s="166" t="s">
        <v>15</v>
      </c>
      <c r="SE31" s="211" t="s">
        <v>22</v>
      </c>
      <c r="SF31" s="176" t="s">
        <v>7</v>
      </c>
      <c r="SG31" s="246" t="s">
        <v>43</v>
      </c>
      <c r="SH31" s="254" t="s">
        <v>15</v>
      </c>
      <c r="SI31" s="131" t="s">
        <v>5</v>
      </c>
      <c r="SJ31" s="221" t="s">
        <v>261</v>
      </c>
      <c r="SK31" s="322">
        <f t="shared" si="103"/>
        <v>3666.2134571462366</v>
      </c>
      <c r="SM31" s="362">
        <v>18</v>
      </c>
      <c r="SO31"/>
      <c r="SP31"/>
      <c r="TP31" s="357"/>
      <c r="TQ31" s="66" t="s">
        <v>108</v>
      </c>
      <c r="TR31" s="306">
        <f t="shared" si="104"/>
        <v>31</v>
      </c>
      <c r="TS31" s="306">
        <f t="shared" si="105"/>
        <v>23</v>
      </c>
      <c r="TT31" s="306">
        <f t="shared" si="106"/>
        <v>12</v>
      </c>
      <c r="TU31" s="306">
        <f t="shared" si="107"/>
        <v>3</v>
      </c>
      <c r="TV31" s="306">
        <f t="shared" si="108"/>
        <v>12</v>
      </c>
      <c r="TW31" s="306">
        <f t="shared" si="109"/>
        <v>12</v>
      </c>
      <c r="TX31" s="306">
        <f t="shared" si="110"/>
        <v>3</v>
      </c>
      <c r="TY31" s="306">
        <f t="shared" si="111"/>
        <v>3</v>
      </c>
      <c r="TZ31" s="306">
        <f t="shared" si="112"/>
        <v>33</v>
      </c>
      <c r="UA31" s="306">
        <f t="shared" si="113"/>
        <v>6</v>
      </c>
      <c r="UB31" s="306">
        <f t="shared" si="114"/>
        <v>11</v>
      </c>
      <c r="UC31" s="306">
        <f t="shared" si="115"/>
        <v>4</v>
      </c>
      <c r="UD31" s="306">
        <f t="shared" si="116"/>
        <v>27</v>
      </c>
      <c r="UE31" s="306">
        <f t="shared" si="117"/>
        <v>26</v>
      </c>
      <c r="UF31" s="306">
        <f t="shared" si="118"/>
        <v>12</v>
      </c>
      <c r="UG31" s="306">
        <f t="shared" si="119"/>
        <v>2</v>
      </c>
      <c r="UH31" s="306">
        <f t="shared" si="120"/>
        <v>4</v>
      </c>
      <c r="UI31" s="306">
        <f t="shared" si="121"/>
        <v>32</v>
      </c>
      <c r="UJ31" s="306">
        <f t="shared" si="122"/>
        <v>9</v>
      </c>
      <c r="UK31" s="306">
        <f t="shared" si="123"/>
        <v>31</v>
      </c>
      <c r="UL31" s="306">
        <f t="shared" si="124"/>
        <v>6</v>
      </c>
      <c r="UM31" s="306">
        <f t="shared" si="125"/>
        <v>6</v>
      </c>
      <c r="UN31" s="306">
        <f t="shared" si="126"/>
        <v>10</v>
      </c>
      <c r="UO31" s="306">
        <f t="shared" si="127"/>
        <v>13</v>
      </c>
      <c r="UP31" s="306">
        <f t="shared" si="128"/>
        <v>12</v>
      </c>
      <c r="UQ31" s="306">
        <f t="shared" si="129"/>
        <v>30</v>
      </c>
      <c r="UR31" s="306">
        <f t="shared" si="130"/>
        <v>13</v>
      </c>
      <c r="US31" s="306">
        <f t="shared" si="131"/>
        <v>22</v>
      </c>
      <c r="UT31" s="306">
        <f t="shared" si="132"/>
        <v>30</v>
      </c>
      <c r="UU31" s="306">
        <f t="shared" si="133"/>
        <v>22</v>
      </c>
      <c r="UV31" s="306">
        <f t="shared" si="134"/>
        <v>31</v>
      </c>
      <c r="UW31" s="306">
        <f t="shared" si="135"/>
        <v>33</v>
      </c>
      <c r="UX31" s="306">
        <f t="shared" si="136"/>
        <v>4</v>
      </c>
      <c r="UY31" s="306">
        <f t="shared" si="137"/>
        <v>17</v>
      </c>
      <c r="UZ31" s="306">
        <f t="shared" si="138"/>
        <v>12</v>
      </c>
      <c r="VA31" s="306">
        <f t="shared" si="139"/>
        <v>18</v>
      </c>
      <c r="VB31" s="306">
        <f t="shared" si="140"/>
        <v>25</v>
      </c>
      <c r="VC31" s="306">
        <f t="shared" si="141"/>
        <v>18</v>
      </c>
      <c r="VD31" s="306">
        <f t="shared" si="142"/>
        <v>23</v>
      </c>
      <c r="VE31" s="306">
        <f t="shared" si="143"/>
        <v>26</v>
      </c>
      <c r="VF31" s="306">
        <f t="shared" si="144"/>
        <v>19</v>
      </c>
      <c r="VG31" s="306">
        <f t="shared" si="145"/>
        <v>13</v>
      </c>
      <c r="VH31" s="306">
        <f t="shared" si="146"/>
        <v>29</v>
      </c>
      <c r="VI31" s="306">
        <f t="shared" si="147"/>
        <v>28</v>
      </c>
      <c r="VJ31" s="306">
        <f t="shared" si="148"/>
        <v>30</v>
      </c>
      <c r="VK31" s="306">
        <f t="shared" si="149"/>
        <v>32</v>
      </c>
      <c r="VL31" s="306">
        <f t="shared" si="150"/>
        <v>25</v>
      </c>
      <c r="VN31" s="306">
        <f t="shared" si="151"/>
        <v>0</v>
      </c>
      <c r="WR31" s="357"/>
      <c r="WS31" s="66" t="s">
        <v>108</v>
      </c>
      <c r="WT31" s="225" t="s">
        <v>195</v>
      </c>
      <c r="WU31" s="246" t="s">
        <v>20</v>
      </c>
      <c r="WV31" s="246" t="s">
        <v>2</v>
      </c>
      <c r="WW31" s="225" t="s">
        <v>215</v>
      </c>
      <c r="WX31" s="246" t="s">
        <v>1</v>
      </c>
      <c r="WY31" s="246" t="s">
        <v>15</v>
      </c>
      <c r="WZ31" s="246" t="s">
        <v>3</v>
      </c>
      <c r="XA31" s="246" t="s">
        <v>43</v>
      </c>
      <c r="XB31" s="225" t="s">
        <v>198</v>
      </c>
      <c r="XC31" s="246" t="s">
        <v>6</v>
      </c>
      <c r="XD31" s="246" t="s">
        <v>20</v>
      </c>
      <c r="XE31" s="246" t="s">
        <v>22</v>
      </c>
      <c r="XF31" s="246" t="s">
        <v>43</v>
      </c>
      <c r="XG31" s="240" t="s">
        <v>8</v>
      </c>
      <c r="XH31" s="240" t="s">
        <v>22</v>
      </c>
      <c r="XI31" s="246" t="s">
        <v>6</v>
      </c>
      <c r="XJ31" s="254" t="s">
        <v>6</v>
      </c>
      <c r="XK31" s="254" t="s">
        <v>8</v>
      </c>
      <c r="XL31" s="204" t="s">
        <v>206</v>
      </c>
      <c r="XM31" s="246" t="s">
        <v>43</v>
      </c>
      <c r="XN31" s="166" t="s">
        <v>7</v>
      </c>
      <c r="XO31" s="166" t="s">
        <v>1</v>
      </c>
      <c r="XP31" s="246" t="s">
        <v>12</v>
      </c>
      <c r="XQ31" s="242" t="s">
        <v>203</v>
      </c>
      <c r="XR31" s="339" t="s">
        <v>212</v>
      </c>
      <c r="XS31" s="225" t="s">
        <v>201</v>
      </c>
      <c r="XT31" s="246" t="s">
        <v>43</v>
      </c>
      <c r="XU31" s="246" t="s">
        <v>5</v>
      </c>
      <c r="XV31" s="246" t="s">
        <v>43</v>
      </c>
      <c r="XW31" s="159" t="s">
        <v>10</v>
      </c>
      <c r="XX31" s="225" t="s">
        <v>21</v>
      </c>
      <c r="XY31" s="246" t="s">
        <v>43</v>
      </c>
      <c r="XZ31" s="159" t="s">
        <v>10</v>
      </c>
      <c r="YA31" s="159" t="s">
        <v>7</v>
      </c>
      <c r="YB31" s="327" t="s">
        <v>209</v>
      </c>
      <c r="YC31" s="246" t="s">
        <v>22</v>
      </c>
      <c r="YD31" s="246" t="s">
        <v>185</v>
      </c>
      <c r="YE31" s="246" t="s">
        <v>43</v>
      </c>
      <c r="YF31" s="246" t="s">
        <v>1</v>
      </c>
      <c r="YG31" s="246" t="s">
        <v>1</v>
      </c>
      <c r="YH31" s="246" t="s">
        <v>15</v>
      </c>
      <c r="YI31" s="246" t="s">
        <v>22</v>
      </c>
      <c r="YJ31" s="159" t="s">
        <v>7</v>
      </c>
      <c r="YK31" s="159" t="s">
        <v>43</v>
      </c>
      <c r="YL31" s="159" t="s">
        <v>15</v>
      </c>
      <c r="YM31" s="246" t="s">
        <v>5</v>
      </c>
      <c r="YN31" s="246" t="s">
        <v>261</v>
      </c>
      <c r="AFZ31" s="307"/>
    </row>
    <row r="32" spans="1:858" s="306" customFormat="1" ht="20.65" x14ac:dyDescent="0.5">
      <c r="A32" s="70">
        <v>23</v>
      </c>
      <c r="B32" s="305"/>
      <c r="C32" s="45" t="s">
        <v>113</v>
      </c>
      <c r="D32" s="45" t="s">
        <v>112</v>
      </c>
      <c r="E32" s="305"/>
      <c r="F32" s="128">
        <v>1522.410755621182</v>
      </c>
      <c r="X32" s="355"/>
      <c r="AA32" s="56" t="s">
        <v>54</v>
      </c>
      <c r="AB32" s="305" t="s">
        <v>17</v>
      </c>
      <c r="AC32" s="183" t="s">
        <v>1</v>
      </c>
      <c r="AD32" s="147" t="s">
        <v>2</v>
      </c>
      <c r="AE32" s="210" t="s">
        <v>10</v>
      </c>
      <c r="AF32" s="203" t="s">
        <v>4</v>
      </c>
      <c r="AG32" s="258" t="s">
        <v>5</v>
      </c>
      <c r="AH32" s="210" t="s">
        <v>2</v>
      </c>
      <c r="AI32" s="253" t="s">
        <v>2</v>
      </c>
      <c r="AJ32" s="253" t="s">
        <v>2</v>
      </c>
      <c r="AK32" s="147" t="s">
        <v>10</v>
      </c>
      <c r="AL32" s="157" t="s">
        <v>2</v>
      </c>
      <c r="AM32" s="185" t="s">
        <v>18</v>
      </c>
      <c r="AN32" s="343" t="s">
        <v>246</v>
      </c>
      <c r="AO32" s="229" t="s">
        <v>43</v>
      </c>
      <c r="AP32" s="164" t="s">
        <v>247</v>
      </c>
      <c r="AQ32" s="213" t="s">
        <v>19</v>
      </c>
      <c r="AR32" s="318" t="s">
        <v>43</v>
      </c>
      <c r="AS32" s="146" t="s">
        <v>9</v>
      </c>
      <c r="AT32" s="196" t="s">
        <v>11</v>
      </c>
      <c r="AU32" s="150" t="s">
        <v>20</v>
      </c>
      <c r="AV32" s="147" t="s">
        <v>7</v>
      </c>
      <c r="AW32" s="147" t="s">
        <v>5</v>
      </c>
      <c r="AX32" s="229" t="s">
        <v>43</v>
      </c>
      <c r="AY32" s="229" t="s">
        <v>43</v>
      </c>
      <c r="AZ32" s="146" t="s">
        <v>15</v>
      </c>
      <c r="BA32" s="146" t="s">
        <v>20</v>
      </c>
      <c r="BB32" s="146" t="s">
        <v>6</v>
      </c>
      <c r="BC32" s="168" t="s">
        <v>21</v>
      </c>
      <c r="BD32" s="224" t="s">
        <v>244</v>
      </c>
      <c r="BE32" s="318" t="s">
        <v>43</v>
      </c>
      <c r="BF32" s="318" t="s">
        <v>43</v>
      </c>
      <c r="BG32" s="253" t="s">
        <v>7</v>
      </c>
      <c r="BH32" s="318" t="s">
        <v>43</v>
      </c>
      <c r="BI32" s="183" t="s">
        <v>14</v>
      </c>
      <c r="BJ32" s="183" t="s">
        <v>5</v>
      </c>
      <c r="BK32" s="183" t="s">
        <v>11</v>
      </c>
      <c r="BL32" s="318" t="s">
        <v>43</v>
      </c>
      <c r="BM32" s="150" t="s">
        <v>22</v>
      </c>
      <c r="BN32" s="258" t="s">
        <v>15</v>
      </c>
      <c r="BO32" s="309"/>
      <c r="BP32" s="319">
        <f t="shared" si="59"/>
        <v>22180.805223292555</v>
      </c>
      <c r="BQ32" s="320" t="s">
        <v>58</v>
      </c>
      <c r="BR32" s="193" t="s">
        <v>8</v>
      </c>
      <c r="BS32" s="268" t="s">
        <v>15</v>
      </c>
      <c r="BT32" s="269" t="s">
        <v>20</v>
      </c>
      <c r="BU32" s="227" t="s">
        <v>43</v>
      </c>
      <c r="BV32" s="196" t="s">
        <v>20</v>
      </c>
      <c r="BW32" s="161" t="s">
        <v>46</v>
      </c>
      <c r="BX32" s="212" t="s">
        <v>47</v>
      </c>
      <c r="BY32" s="241" t="s">
        <v>48</v>
      </c>
      <c r="BZ32" s="177" t="s">
        <v>8</v>
      </c>
      <c r="CA32" s="227" t="s">
        <v>43</v>
      </c>
      <c r="CB32" s="227" t="s">
        <v>43</v>
      </c>
      <c r="CC32" s="193" t="s">
        <v>6</v>
      </c>
      <c r="CD32" s="143" t="s">
        <v>45</v>
      </c>
      <c r="CE32" s="193" t="s">
        <v>6</v>
      </c>
      <c r="CF32" s="208" t="s">
        <v>22</v>
      </c>
      <c r="CG32" s="193" t="s">
        <v>10</v>
      </c>
      <c r="CH32" s="193" t="s">
        <v>20</v>
      </c>
      <c r="CI32" s="193" t="s">
        <v>10</v>
      </c>
      <c r="CJ32" s="70">
        <v>57</v>
      </c>
      <c r="DG32" s="357"/>
      <c r="DI32" s="56" t="s">
        <v>54</v>
      </c>
      <c r="DJ32" s="305" t="s">
        <v>17</v>
      </c>
      <c r="DK32" s="363">
        <f t="shared" si="0"/>
        <v>7</v>
      </c>
      <c r="DL32" s="363">
        <f t="shared" si="1"/>
        <v>5</v>
      </c>
      <c r="DM32" s="363">
        <f t="shared" si="2"/>
        <v>0</v>
      </c>
      <c r="DN32" s="363">
        <f t="shared" si="3"/>
        <v>5</v>
      </c>
      <c r="DO32" s="363">
        <f t="shared" si="4"/>
        <v>7</v>
      </c>
      <c r="DP32" s="363">
        <f t="shared" si="5"/>
        <v>0</v>
      </c>
      <c r="DQ32" s="363">
        <f t="shared" si="6"/>
        <v>3</v>
      </c>
      <c r="DR32" s="363">
        <f t="shared" si="7"/>
        <v>7</v>
      </c>
      <c r="DS32" s="363">
        <f t="shared" si="8"/>
        <v>5</v>
      </c>
      <c r="DT32" s="363">
        <f t="shared" si="9"/>
        <v>5</v>
      </c>
      <c r="DU32" s="363">
        <f t="shared" si="10"/>
        <v>0</v>
      </c>
      <c r="DV32" s="363">
        <f t="shared" si="11"/>
        <v>7</v>
      </c>
      <c r="DW32" s="363">
        <f t="shared" si="12"/>
        <v>0</v>
      </c>
      <c r="DX32" s="363">
        <f t="shared" si="13"/>
        <v>0</v>
      </c>
      <c r="DY32" s="363">
        <f t="shared" si="14"/>
        <v>0</v>
      </c>
      <c r="DZ32" s="363">
        <f t="shared" si="15"/>
        <v>4</v>
      </c>
      <c r="EA32" s="363">
        <f t="shared" si="16"/>
        <v>7</v>
      </c>
      <c r="EB32" s="363">
        <f t="shared" si="17"/>
        <v>3</v>
      </c>
      <c r="EC32" s="363">
        <f t="shared" si="18"/>
        <v>7</v>
      </c>
      <c r="ED32" s="363">
        <f t="shared" si="19"/>
        <v>7</v>
      </c>
      <c r="EE32" s="363">
        <f t="shared" si="20"/>
        <v>2</v>
      </c>
      <c r="EF32" s="363">
        <f t="shared" si="21"/>
        <v>5</v>
      </c>
      <c r="EG32" s="363">
        <f t="shared" si="22"/>
        <v>5</v>
      </c>
      <c r="EH32" s="363">
        <f t="shared" si="23"/>
        <v>5</v>
      </c>
      <c r="EI32" s="363">
        <f t="shared" si="24"/>
        <v>5</v>
      </c>
      <c r="EJ32" s="363">
        <f t="shared" si="25"/>
        <v>5</v>
      </c>
      <c r="EK32" s="363">
        <f t="shared" si="26"/>
        <v>5</v>
      </c>
      <c r="EL32" s="363">
        <f t="shared" si="27"/>
        <v>0</v>
      </c>
      <c r="EM32" s="363">
        <f t="shared" si="28"/>
        <v>0</v>
      </c>
      <c r="EN32" s="363">
        <f t="shared" si="29"/>
        <v>3</v>
      </c>
      <c r="EO32" s="363">
        <f t="shared" si="30"/>
        <v>5</v>
      </c>
      <c r="EP32" s="363">
        <f t="shared" si="31"/>
        <v>2</v>
      </c>
      <c r="EQ32" s="363">
        <f t="shared" si="32"/>
        <v>6</v>
      </c>
      <c r="ER32" s="363">
        <f t="shared" si="33"/>
        <v>5</v>
      </c>
      <c r="ES32" s="363">
        <f t="shared" si="34"/>
        <v>7</v>
      </c>
      <c r="ET32" s="363">
        <f t="shared" si="35"/>
        <v>0</v>
      </c>
      <c r="EU32" s="363">
        <f t="shared" si="36"/>
        <v>0</v>
      </c>
      <c r="EV32" s="363">
        <f t="shared" si="37"/>
        <v>7</v>
      </c>
      <c r="EW32" s="364" t="s">
        <v>58</v>
      </c>
      <c r="EX32" s="363">
        <f t="shared" si="38"/>
        <v>1</v>
      </c>
      <c r="EY32" s="363">
        <f t="shared" si="39"/>
        <v>7</v>
      </c>
      <c r="EZ32" s="363">
        <f t="shared" si="40"/>
        <v>2</v>
      </c>
      <c r="FA32" s="363">
        <f t="shared" si="41"/>
        <v>7</v>
      </c>
      <c r="FB32" s="363">
        <f t="shared" si="42"/>
        <v>7</v>
      </c>
      <c r="FC32" s="363">
        <f t="shared" si="43"/>
        <v>0</v>
      </c>
      <c r="FD32" s="363">
        <f t="shared" si="44"/>
        <v>0</v>
      </c>
      <c r="FE32" s="363">
        <f t="shared" si="45"/>
        <v>0</v>
      </c>
      <c r="FF32" s="363">
        <f t="shared" si="46"/>
        <v>7</v>
      </c>
      <c r="FG32" s="363">
        <f t="shared" si="47"/>
        <v>7</v>
      </c>
      <c r="FH32" s="363">
        <f t="shared" si="48"/>
        <v>0</v>
      </c>
      <c r="FI32" s="363">
        <f t="shared" si="49"/>
        <v>0</v>
      </c>
      <c r="FJ32" s="363">
        <f t="shared" si="50"/>
        <v>7</v>
      </c>
      <c r="FK32" s="363">
        <f t="shared" si="51"/>
        <v>0</v>
      </c>
      <c r="FL32" s="363">
        <f t="shared" si="52"/>
        <v>1</v>
      </c>
      <c r="FM32" s="363">
        <f t="shared" si="53"/>
        <v>7</v>
      </c>
      <c r="FN32" s="363">
        <f t="shared" si="54"/>
        <v>0</v>
      </c>
      <c r="FO32" s="363">
        <f t="shared" si="55"/>
        <v>7</v>
      </c>
      <c r="FP32" s="363">
        <f t="shared" si="60"/>
        <v>10</v>
      </c>
      <c r="FQ32" s="363">
        <f t="shared" si="61"/>
        <v>7</v>
      </c>
      <c r="FR32" s="309">
        <f t="shared" si="62"/>
        <v>17</v>
      </c>
      <c r="GM32" s="357"/>
      <c r="GO32" s="56" t="s">
        <v>54</v>
      </c>
      <c r="GP32" s="305" t="s">
        <v>17</v>
      </c>
      <c r="GQ32" s="244" t="s">
        <v>1</v>
      </c>
      <c r="GR32" s="244" t="s">
        <v>2</v>
      </c>
      <c r="GS32" s="244" t="s">
        <v>10</v>
      </c>
      <c r="GT32" s="244" t="s">
        <v>4</v>
      </c>
      <c r="GU32" s="244" t="s">
        <v>5</v>
      </c>
      <c r="GV32" s="244" t="s">
        <v>2</v>
      </c>
      <c r="GW32" s="244" t="s">
        <v>2</v>
      </c>
      <c r="GX32" s="244" t="s">
        <v>2</v>
      </c>
      <c r="GY32" s="244" t="s">
        <v>10</v>
      </c>
      <c r="GZ32" s="223" t="s">
        <v>2</v>
      </c>
      <c r="HA32" s="366" t="s">
        <v>18</v>
      </c>
      <c r="HB32" s="387" t="s">
        <v>323</v>
      </c>
      <c r="HC32" s="244" t="s">
        <v>43</v>
      </c>
      <c r="HD32" s="384" t="s">
        <v>324</v>
      </c>
      <c r="HE32" s="384" t="s">
        <v>19</v>
      </c>
      <c r="HF32" s="318" t="s">
        <v>43</v>
      </c>
      <c r="HG32" s="244" t="s">
        <v>9</v>
      </c>
      <c r="HH32" s="244" t="s">
        <v>11</v>
      </c>
      <c r="HI32" s="244" t="s">
        <v>20</v>
      </c>
      <c r="HJ32" s="244" t="s">
        <v>7</v>
      </c>
      <c r="HK32" s="244" t="s">
        <v>5</v>
      </c>
      <c r="HL32" s="244" t="s">
        <v>43</v>
      </c>
      <c r="HM32" s="244" t="s">
        <v>43</v>
      </c>
      <c r="HN32" s="244" t="s">
        <v>15</v>
      </c>
      <c r="HO32" s="244" t="s">
        <v>20</v>
      </c>
      <c r="HP32" s="244" t="s">
        <v>6</v>
      </c>
      <c r="HQ32" s="366" t="s">
        <v>21</v>
      </c>
      <c r="HR32" s="366" t="s">
        <v>318</v>
      </c>
      <c r="HS32" s="318" t="s">
        <v>43</v>
      </c>
      <c r="HT32" s="318" t="s">
        <v>43</v>
      </c>
      <c r="HU32" s="244" t="s">
        <v>7</v>
      </c>
      <c r="HV32" s="318" t="s">
        <v>43</v>
      </c>
      <c r="HW32" s="244" t="s">
        <v>14</v>
      </c>
      <c r="HX32" s="244" t="s">
        <v>5</v>
      </c>
      <c r="HY32" s="244" t="s">
        <v>11</v>
      </c>
      <c r="HZ32" s="318" t="s">
        <v>43</v>
      </c>
      <c r="IA32" s="244" t="s">
        <v>22</v>
      </c>
      <c r="IB32" s="244" t="s">
        <v>15</v>
      </c>
      <c r="IC32" s="364" t="s">
        <v>58</v>
      </c>
      <c r="ID32" s="173" t="s">
        <v>8</v>
      </c>
      <c r="IE32" s="173" t="s">
        <v>15</v>
      </c>
      <c r="IF32" s="173" t="s">
        <v>20</v>
      </c>
      <c r="IG32" s="173" t="s">
        <v>43</v>
      </c>
      <c r="IH32" s="244" t="s">
        <v>20</v>
      </c>
      <c r="II32" s="173" t="s">
        <v>46</v>
      </c>
      <c r="IJ32" s="367" t="s">
        <v>47</v>
      </c>
      <c r="IK32" s="368" t="s">
        <v>48</v>
      </c>
      <c r="IL32" s="173" t="s">
        <v>8</v>
      </c>
      <c r="IM32" s="173" t="s">
        <v>43</v>
      </c>
      <c r="IN32" s="173" t="s">
        <v>43</v>
      </c>
      <c r="IO32" s="173" t="s">
        <v>6</v>
      </c>
      <c r="IP32" s="173" t="s">
        <v>45</v>
      </c>
      <c r="IQ32" s="173" t="s">
        <v>6</v>
      </c>
      <c r="IR32" s="173" t="s">
        <v>22</v>
      </c>
      <c r="IS32" s="173" t="s">
        <v>10</v>
      </c>
      <c r="IT32" s="173" t="s">
        <v>20</v>
      </c>
      <c r="IU32" s="173" t="s">
        <v>10</v>
      </c>
      <c r="JN32" s="357"/>
      <c r="JO32" s="369">
        <v>86</v>
      </c>
      <c r="JP32" s="305" t="s">
        <v>162</v>
      </c>
      <c r="JQ32" s="328" t="s">
        <v>160</v>
      </c>
      <c r="JR32" s="67" t="s">
        <v>161</v>
      </c>
      <c r="JS32" s="159" t="s">
        <v>7</v>
      </c>
      <c r="JT32" s="246" t="s">
        <v>43</v>
      </c>
      <c r="JU32" s="109" t="s">
        <v>6</v>
      </c>
      <c r="JV32" s="155" t="s">
        <v>20</v>
      </c>
      <c r="JW32" s="149" t="s">
        <v>43</v>
      </c>
      <c r="JX32" s="182" t="s">
        <v>2</v>
      </c>
      <c r="JY32" s="155" t="s">
        <v>10</v>
      </c>
      <c r="JZ32" s="254" t="s">
        <v>2</v>
      </c>
      <c r="KA32" s="126" t="s">
        <v>184</v>
      </c>
      <c r="KB32" s="129" t="s">
        <v>43</v>
      </c>
      <c r="KC32" s="172" t="s">
        <v>10</v>
      </c>
      <c r="KD32" s="163" t="s">
        <v>20</v>
      </c>
      <c r="KE32" s="182" t="s">
        <v>12</v>
      </c>
      <c r="KF32" s="254" t="s">
        <v>20</v>
      </c>
      <c r="KG32" s="176" t="s">
        <v>12</v>
      </c>
      <c r="KH32" s="118" t="s">
        <v>186</v>
      </c>
      <c r="KI32" s="246" t="s">
        <v>43</v>
      </c>
      <c r="KJ32" s="190" t="s">
        <v>187</v>
      </c>
      <c r="KK32" s="246" t="s">
        <v>43</v>
      </c>
      <c r="KL32" s="159" t="s">
        <v>12</v>
      </c>
      <c r="KM32" s="159" t="s">
        <v>14</v>
      </c>
      <c r="KN32" s="182" t="s">
        <v>6</v>
      </c>
      <c r="KO32" s="182" t="s">
        <v>5</v>
      </c>
      <c r="KP32" s="322">
        <f t="shared" si="63"/>
        <v>192.77436383570523</v>
      </c>
      <c r="KR32" s="329" t="s">
        <v>162</v>
      </c>
      <c r="KS32" s="254" t="s">
        <v>4</v>
      </c>
      <c r="KT32" s="170" t="s">
        <v>9</v>
      </c>
      <c r="KU32" s="221" t="s">
        <v>20</v>
      </c>
      <c r="KV32" s="166" t="s">
        <v>4</v>
      </c>
      <c r="KW32" s="204" t="s">
        <v>193</v>
      </c>
      <c r="KX32" s="254" t="s">
        <v>1</v>
      </c>
      <c r="KY32" s="254" t="s">
        <v>15</v>
      </c>
      <c r="KZ32" s="254" t="s">
        <v>6</v>
      </c>
      <c r="LA32" s="158" t="s">
        <v>15</v>
      </c>
      <c r="LB32" s="166" t="s">
        <v>9</v>
      </c>
      <c r="LC32" s="211" t="s">
        <v>185</v>
      </c>
      <c r="LD32" s="211" t="s">
        <v>6</v>
      </c>
      <c r="LE32" s="155" t="s">
        <v>7</v>
      </c>
      <c r="LF32" s="166" t="s">
        <v>15</v>
      </c>
      <c r="LG32" s="107" t="s">
        <v>231</v>
      </c>
      <c r="LH32" s="358">
        <v>19</v>
      </c>
      <c r="LW32" s="369">
        <v>86</v>
      </c>
      <c r="LX32" s="317" t="s">
        <v>162</v>
      </c>
      <c r="LY32" s="370" t="s">
        <v>160</v>
      </c>
      <c r="LZ32" s="306">
        <f t="shared" si="64"/>
        <v>20</v>
      </c>
      <c r="MA32" s="306">
        <f t="shared" si="65"/>
        <v>13</v>
      </c>
      <c r="MB32" s="306">
        <f t="shared" si="66"/>
        <v>14</v>
      </c>
      <c r="MC32" s="306">
        <f t="shared" si="67"/>
        <v>28</v>
      </c>
      <c r="MD32" s="306">
        <f t="shared" si="68"/>
        <v>13</v>
      </c>
      <c r="ME32" s="306">
        <f t="shared" si="69"/>
        <v>7</v>
      </c>
      <c r="MF32" s="306">
        <f t="shared" si="70"/>
        <v>11</v>
      </c>
      <c r="MG32" s="306">
        <f t="shared" si="71"/>
        <v>7</v>
      </c>
      <c r="MH32" s="306">
        <f t="shared" si="72"/>
        <v>12</v>
      </c>
      <c r="MI32" s="306">
        <f t="shared" si="73"/>
        <v>12</v>
      </c>
      <c r="MJ32" s="306">
        <f t="shared" si="74"/>
        <v>9</v>
      </c>
      <c r="MK32" s="306">
        <f t="shared" si="75"/>
        <v>21</v>
      </c>
      <c r="ML32" s="306">
        <f t="shared" si="76"/>
        <v>17</v>
      </c>
      <c r="MM32" s="306">
        <f t="shared" si="77"/>
        <v>10</v>
      </c>
      <c r="MN32" s="306">
        <f t="shared" si="78"/>
        <v>4</v>
      </c>
      <c r="MO32" s="306">
        <f t="shared" si="79"/>
        <v>19</v>
      </c>
      <c r="MP32" s="306">
        <f t="shared" si="80"/>
        <v>19</v>
      </c>
      <c r="MQ32" s="306">
        <f t="shared" si="81"/>
        <v>21</v>
      </c>
      <c r="MR32" s="306">
        <f t="shared" si="82"/>
        <v>22</v>
      </c>
      <c r="MS32" s="306">
        <f t="shared" si="83"/>
        <v>25</v>
      </c>
      <c r="MT32" s="306">
        <f t="shared" si="84"/>
        <v>26</v>
      </c>
      <c r="MU32" s="306">
        <f t="shared" si="85"/>
        <v>28</v>
      </c>
      <c r="MV32" s="306">
        <f t="shared" si="86"/>
        <v>23</v>
      </c>
      <c r="MY32" s="306">
        <f t="shared" si="87"/>
        <v>5</v>
      </c>
      <c r="MZ32" s="306">
        <f t="shared" si="88"/>
        <v>29</v>
      </c>
      <c r="NA32" s="306">
        <f t="shared" si="89"/>
        <v>28</v>
      </c>
      <c r="NB32" s="306">
        <f t="shared" si="90"/>
        <v>17</v>
      </c>
      <c r="NC32" s="306">
        <f t="shared" si="91"/>
        <v>16</v>
      </c>
      <c r="ND32" s="306">
        <f t="shared" si="92"/>
        <v>2</v>
      </c>
      <c r="NE32" s="306">
        <f t="shared" si="93"/>
        <v>29</v>
      </c>
      <c r="NF32" s="306">
        <f t="shared" si="94"/>
        <v>29</v>
      </c>
      <c r="NG32" s="306">
        <f t="shared" si="95"/>
        <v>13</v>
      </c>
      <c r="NH32" s="306">
        <f t="shared" si="96"/>
        <v>26</v>
      </c>
      <c r="NI32" s="306">
        <f t="shared" si="97"/>
        <v>14</v>
      </c>
      <c r="NJ32" s="306">
        <f t="shared" si="98"/>
        <v>13</v>
      </c>
      <c r="NK32" s="306">
        <f t="shared" si="99"/>
        <v>16</v>
      </c>
      <c r="NL32" s="306">
        <f t="shared" si="100"/>
        <v>26</v>
      </c>
      <c r="NM32" s="306">
        <f t="shared" si="100"/>
        <v>2</v>
      </c>
      <c r="NN32" s="306">
        <f t="shared" si="101"/>
        <v>0</v>
      </c>
      <c r="NO32" s="306">
        <f t="shared" si="102"/>
        <v>0</v>
      </c>
      <c r="NU32" s="370" t="s">
        <v>160</v>
      </c>
      <c r="NV32" s="357"/>
      <c r="NX32" s="246" t="s">
        <v>7</v>
      </c>
      <c r="NY32" s="246" t="s">
        <v>43</v>
      </c>
      <c r="NZ32" s="246" t="s">
        <v>6</v>
      </c>
      <c r="OA32" s="246" t="s">
        <v>20</v>
      </c>
      <c r="OB32" s="149" t="s">
        <v>43</v>
      </c>
      <c r="OC32" s="159" t="s">
        <v>2</v>
      </c>
      <c r="OD32" s="159" t="s">
        <v>10</v>
      </c>
      <c r="OE32" s="159" t="s">
        <v>2</v>
      </c>
      <c r="OF32" s="371" t="s">
        <v>184</v>
      </c>
      <c r="OG32" s="129" t="s">
        <v>43</v>
      </c>
      <c r="OH32" s="246" t="s">
        <v>10</v>
      </c>
      <c r="OI32" s="246" t="s">
        <v>20</v>
      </c>
      <c r="OJ32" s="230" t="s">
        <v>12</v>
      </c>
      <c r="OK32" s="230" t="s">
        <v>20</v>
      </c>
      <c r="OL32" s="246" t="s">
        <v>12</v>
      </c>
      <c r="OM32" s="372" t="s">
        <v>186</v>
      </c>
      <c r="ON32" s="246" t="s">
        <v>43</v>
      </c>
      <c r="OO32" s="225" t="s">
        <v>187</v>
      </c>
      <c r="OP32" s="246" t="s">
        <v>43</v>
      </c>
      <c r="OQ32" s="246" t="s">
        <v>12</v>
      </c>
      <c r="OR32" s="159" t="s">
        <v>14</v>
      </c>
      <c r="OS32" s="159" t="s">
        <v>6</v>
      </c>
      <c r="OT32" s="246" t="s">
        <v>5</v>
      </c>
      <c r="OV32" s="370" t="s">
        <v>162</v>
      </c>
      <c r="OW32" s="246" t="s">
        <v>4</v>
      </c>
      <c r="OX32" s="246" t="s">
        <v>9</v>
      </c>
      <c r="OY32" s="159" t="s">
        <v>20</v>
      </c>
      <c r="OZ32" s="159" t="s">
        <v>4</v>
      </c>
      <c r="PA32" s="225" t="s">
        <v>193</v>
      </c>
      <c r="PB32" s="246" t="s">
        <v>1</v>
      </c>
      <c r="PC32" s="246" t="s">
        <v>15</v>
      </c>
      <c r="PD32" s="246" t="s">
        <v>6</v>
      </c>
      <c r="PE32" s="246" t="s">
        <v>15</v>
      </c>
      <c r="PF32" s="246" t="s">
        <v>9</v>
      </c>
      <c r="PG32" s="246" t="s">
        <v>185</v>
      </c>
      <c r="PH32" s="246" t="s">
        <v>6</v>
      </c>
      <c r="PI32" s="246" t="s">
        <v>7</v>
      </c>
      <c r="PJ32" s="246" t="s">
        <v>15</v>
      </c>
      <c r="PK32" s="388" t="s">
        <v>231</v>
      </c>
      <c r="PM32"/>
      <c r="PN32"/>
      <c r="PO32"/>
      <c r="PP32"/>
      <c r="PQ32"/>
      <c r="PR32"/>
      <c r="PS32"/>
      <c r="PT32"/>
      <c r="QN32" s="357"/>
      <c r="QO32" s="66" t="s">
        <v>110</v>
      </c>
      <c r="QP32" s="204" t="s">
        <v>195</v>
      </c>
      <c r="QQ32" s="166" t="s">
        <v>20</v>
      </c>
      <c r="QR32" s="198" t="s">
        <v>2</v>
      </c>
      <c r="QS32" s="262" t="s">
        <v>215</v>
      </c>
      <c r="QT32" s="254" t="s">
        <v>1</v>
      </c>
      <c r="QU32" s="254" t="s">
        <v>15</v>
      </c>
      <c r="QV32" s="254" t="s">
        <v>3</v>
      </c>
      <c r="QW32" s="246" t="s">
        <v>43</v>
      </c>
      <c r="QX32" s="216" t="s">
        <v>198</v>
      </c>
      <c r="QY32" s="155" t="s">
        <v>6</v>
      </c>
      <c r="QZ32" s="230" t="s">
        <v>20</v>
      </c>
      <c r="RA32" s="254" t="s">
        <v>22</v>
      </c>
      <c r="RB32" s="246" t="s">
        <v>43</v>
      </c>
      <c r="RC32" s="182" t="s">
        <v>8</v>
      </c>
      <c r="RD32" s="166" t="s">
        <v>22</v>
      </c>
      <c r="RE32" s="159" t="s">
        <v>6</v>
      </c>
      <c r="RF32" s="159" t="s">
        <v>6</v>
      </c>
      <c r="RG32" s="159" t="s">
        <v>8</v>
      </c>
      <c r="RH32" s="124" t="s">
        <v>206</v>
      </c>
      <c r="RI32" s="246" t="s">
        <v>43</v>
      </c>
      <c r="RJ32" s="233" t="s">
        <v>7</v>
      </c>
      <c r="RK32" s="233" t="s">
        <v>1</v>
      </c>
      <c r="RL32" s="141" t="s">
        <v>8</v>
      </c>
      <c r="RM32" s="140" t="s">
        <v>203</v>
      </c>
      <c r="RN32" s="339" t="s">
        <v>212</v>
      </c>
      <c r="RO32" s="124" t="s">
        <v>201</v>
      </c>
      <c r="RP32" s="246" t="s">
        <v>43</v>
      </c>
      <c r="RQ32" s="230" t="s">
        <v>5</v>
      </c>
      <c r="RR32" s="246" t="s">
        <v>43</v>
      </c>
      <c r="RS32" s="159" t="s">
        <v>10</v>
      </c>
      <c r="RT32" s="235" t="s">
        <v>21</v>
      </c>
      <c r="RU32" s="246" t="s">
        <v>43</v>
      </c>
      <c r="RV32" s="240" t="s">
        <v>10</v>
      </c>
      <c r="RW32" s="182" t="s">
        <v>7</v>
      </c>
      <c r="RX32" s="334" t="s">
        <v>209</v>
      </c>
      <c r="RY32" s="158" t="s">
        <v>22</v>
      </c>
      <c r="RZ32" s="159" t="s">
        <v>185</v>
      </c>
      <c r="SA32" s="246" t="s">
        <v>43</v>
      </c>
      <c r="SB32" s="221" t="s">
        <v>1</v>
      </c>
      <c r="SC32" s="176" t="s">
        <v>1</v>
      </c>
      <c r="SD32" s="166" t="s">
        <v>15</v>
      </c>
      <c r="SE32" s="211" t="s">
        <v>22</v>
      </c>
      <c r="SF32" s="176" t="s">
        <v>7</v>
      </c>
      <c r="SG32" s="246" t="s">
        <v>43</v>
      </c>
      <c r="SH32" s="254" t="s">
        <v>15</v>
      </c>
      <c r="SI32" s="131" t="s">
        <v>5</v>
      </c>
      <c r="SJ32" s="221" t="s">
        <v>261</v>
      </c>
      <c r="SK32" s="322">
        <f t="shared" si="103"/>
        <v>6258.1872276380454</v>
      </c>
      <c r="SM32" s="362">
        <v>19</v>
      </c>
      <c r="SO32"/>
      <c r="SP32"/>
      <c r="TP32" s="357"/>
      <c r="TQ32" s="66" t="s">
        <v>110</v>
      </c>
      <c r="TR32" s="306">
        <f t="shared" si="104"/>
        <v>31</v>
      </c>
      <c r="TS32" s="306">
        <f t="shared" si="105"/>
        <v>23</v>
      </c>
      <c r="TT32" s="306">
        <f t="shared" si="106"/>
        <v>12</v>
      </c>
      <c r="TU32" s="306">
        <f t="shared" si="107"/>
        <v>3</v>
      </c>
      <c r="TV32" s="306">
        <f t="shared" si="108"/>
        <v>12</v>
      </c>
      <c r="TW32" s="306">
        <f t="shared" si="109"/>
        <v>12</v>
      </c>
      <c r="TX32" s="306">
        <f t="shared" si="110"/>
        <v>3</v>
      </c>
      <c r="TY32" s="306">
        <f t="shared" si="111"/>
        <v>3</v>
      </c>
      <c r="TZ32" s="306">
        <f t="shared" si="112"/>
        <v>33</v>
      </c>
      <c r="UA32" s="306">
        <f t="shared" si="113"/>
        <v>6</v>
      </c>
      <c r="UB32" s="306">
        <f t="shared" si="114"/>
        <v>11</v>
      </c>
      <c r="UC32" s="306">
        <f t="shared" si="115"/>
        <v>4</v>
      </c>
      <c r="UD32" s="306">
        <f t="shared" si="116"/>
        <v>27</v>
      </c>
      <c r="UE32" s="306">
        <f t="shared" si="117"/>
        <v>26</v>
      </c>
      <c r="UF32" s="306">
        <f t="shared" si="118"/>
        <v>12</v>
      </c>
      <c r="UG32" s="306">
        <f t="shared" si="119"/>
        <v>2</v>
      </c>
      <c r="UH32" s="306">
        <f t="shared" si="120"/>
        <v>4</v>
      </c>
      <c r="UI32" s="306">
        <f t="shared" si="121"/>
        <v>32</v>
      </c>
      <c r="UJ32" s="306">
        <f t="shared" si="122"/>
        <v>9</v>
      </c>
      <c r="UK32" s="306">
        <f t="shared" si="123"/>
        <v>31</v>
      </c>
      <c r="UL32" s="306">
        <f t="shared" si="124"/>
        <v>6</v>
      </c>
      <c r="UM32" s="306">
        <f t="shared" si="125"/>
        <v>6</v>
      </c>
      <c r="UN32" s="306">
        <f t="shared" si="126"/>
        <v>8</v>
      </c>
      <c r="UO32" s="306">
        <f t="shared" si="127"/>
        <v>13</v>
      </c>
      <c r="UP32" s="306">
        <f t="shared" si="128"/>
        <v>12</v>
      </c>
      <c r="UQ32" s="306">
        <f t="shared" si="129"/>
        <v>30</v>
      </c>
      <c r="UR32" s="306">
        <f t="shared" si="130"/>
        <v>13</v>
      </c>
      <c r="US32" s="306">
        <f t="shared" si="131"/>
        <v>22</v>
      </c>
      <c r="UT32" s="306">
        <f t="shared" si="132"/>
        <v>30</v>
      </c>
      <c r="UU32" s="306">
        <f t="shared" si="133"/>
        <v>22</v>
      </c>
      <c r="UV32" s="306">
        <f t="shared" si="134"/>
        <v>31</v>
      </c>
      <c r="UW32" s="306">
        <f t="shared" si="135"/>
        <v>33</v>
      </c>
      <c r="UX32" s="306">
        <f t="shared" si="136"/>
        <v>4</v>
      </c>
      <c r="UY32" s="306">
        <f t="shared" si="137"/>
        <v>17</v>
      </c>
      <c r="UZ32" s="306">
        <f t="shared" si="138"/>
        <v>12</v>
      </c>
      <c r="VA32" s="306">
        <f t="shared" si="139"/>
        <v>18</v>
      </c>
      <c r="VB32" s="306">
        <f t="shared" si="140"/>
        <v>25</v>
      </c>
      <c r="VC32" s="306">
        <f t="shared" si="141"/>
        <v>18</v>
      </c>
      <c r="VD32" s="306">
        <f t="shared" si="142"/>
        <v>23</v>
      </c>
      <c r="VE32" s="306">
        <f t="shared" si="143"/>
        <v>26</v>
      </c>
      <c r="VF32" s="306">
        <f t="shared" si="144"/>
        <v>19</v>
      </c>
      <c r="VG32" s="306">
        <f t="shared" si="145"/>
        <v>13</v>
      </c>
      <c r="VH32" s="306">
        <f t="shared" si="146"/>
        <v>29</v>
      </c>
      <c r="VI32" s="306">
        <f t="shared" si="147"/>
        <v>28</v>
      </c>
      <c r="VJ32" s="306">
        <f t="shared" si="148"/>
        <v>30</v>
      </c>
      <c r="VK32" s="306">
        <f t="shared" si="149"/>
        <v>32</v>
      </c>
      <c r="VL32" s="306">
        <f t="shared" si="150"/>
        <v>25</v>
      </c>
      <c r="VN32" s="306">
        <f t="shared" si="151"/>
        <v>0</v>
      </c>
      <c r="WR32" s="357"/>
      <c r="WS32" s="66" t="s">
        <v>110</v>
      </c>
      <c r="WT32" s="225" t="s">
        <v>195</v>
      </c>
      <c r="WU32" s="246" t="s">
        <v>20</v>
      </c>
      <c r="WV32" s="246" t="s">
        <v>2</v>
      </c>
      <c r="WW32" s="225" t="s">
        <v>215</v>
      </c>
      <c r="WX32" s="246" t="s">
        <v>1</v>
      </c>
      <c r="WY32" s="246" t="s">
        <v>15</v>
      </c>
      <c r="WZ32" s="246" t="s">
        <v>3</v>
      </c>
      <c r="XA32" s="246" t="s">
        <v>43</v>
      </c>
      <c r="XB32" s="225" t="s">
        <v>198</v>
      </c>
      <c r="XC32" s="246" t="s">
        <v>6</v>
      </c>
      <c r="XD32" s="246" t="s">
        <v>20</v>
      </c>
      <c r="XE32" s="246" t="s">
        <v>22</v>
      </c>
      <c r="XF32" s="246" t="s">
        <v>43</v>
      </c>
      <c r="XG32" s="240" t="s">
        <v>8</v>
      </c>
      <c r="XH32" s="240" t="s">
        <v>22</v>
      </c>
      <c r="XI32" s="246" t="s">
        <v>6</v>
      </c>
      <c r="XJ32" s="254" t="s">
        <v>6</v>
      </c>
      <c r="XK32" s="254" t="s">
        <v>8</v>
      </c>
      <c r="XL32" s="204" t="s">
        <v>206</v>
      </c>
      <c r="XM32" s="246" t="s">
        <v>43</v>
      </c>
      <c r="XN32" s="166" t="s">
        <v>7</v>
      </c>
      <c r="XO32" s="166" t="s">
        <v>1</v>
      </c>
      <c r="XP32" s="246" t="s">
        <v>8</v>
      </c>
      <c r="XQ32" s="242" t="s">
        <v>203</v>
      </c>
      <c r="XR32" s="339" t="s">
        <v>212</v>
      </c>
      <c r="XS32" s="225" t="s">
        <v>201</v>
      </c>
      <c r="XT32" s="246" t="s">
        <v>43</v>
      </c>
      <c r="XU32" s="246" t="s">
        <v>5</v>
      </c>
      <c r="XV32" s="246" t="s">
        <v>43</v>
      </c>
      <c r="XW32" s="159" t="s">
        <v>10</v>
      </c>
      <c r="XX32" s="225" t="s">
        <v>21</v>
      </c>
      <c r="XY32" s="246" t="s">
        <v>43</v>
      </c>
      <c r="XZ32" s="159" t="s">
        <v>10</v>
      </c>
      <c r="YA32" s="159" t="s">
        <v>7</v>
      </c>
      <c r="YB32" s="327" t="s">
        <v>209</v>
      </c>
      <c r="YC32" s="246" t="s">
        <v>22</v>
      </c>
      <c r="YD32" s="246" t="s">
        <v>185</v>
      </c>
      <c r="YE32" s="246" t="s">
        <v>43</v>
      </c>
      <c r="YF32" s="246" t="s">
        <v>1</v>
      </c>
      <c r="YG32" s="246" t="s">
        <v>1</v>
      </c>
      <c r="YH32" s="246" t="s">
        <v>15</v>
      </c>
      <c r="YI32" s="246" t="s">
        <v>22</v>
      </c>
      <c r="YJ32" s="159" t="s">
        <v>7</v>
      </c>
      <c r="YK32" s="159" t="s">
        <v>43</v>
      </c>
      <c r="YL32" s="159" t="s">
        <v>15</v>
      </c>
      <c r="YM32" s="246" t="s">
        <v>5</v>
      </c>
      <c r="YN32" s="246" t="s">
        <v>261</v>
      </c>
      <c r="AFZ32" s="307"/>
    </row>
    <row r="33" spans="1:858" s="306" customFormat="1" ht="20.65" x14ac:dyDescent="0.7">
      <c r="A33" s="70">
        <v>24</v>
      </c>
      <c r="B33" s="305"/>
      <c r="C33" s="45" t="s">
        <v>114</v>
      </c>
      <c r="D33" s="45" t="s">
        <v>115</v>
      </c>
      <c r="E33" s="305"/>
      <c r="F33" s="128">
        <v>1810.6456101783879</v>
      </c>
      <c r="X33" s="355"/>
      <c r="AA33" s="56" t="s">
        <v>54</v>
      </c>
      <c r="AB33" s="305" t="s">
        <v>17</v>
      </c>
      <c r="AC33" s="183" t="s">
        <v>1</v>
      </c>
      <c r="AD33" s="147" t="s">
        <v>2</v>
      </c>
      <c r="AE33" s="210" t="s">
        <v>10</v>
      </c>
      <c r="AF33" s="203" t="s">
        <v>4</v>
      </c>
      <c r="AG33" s="258" t="s">
        <v>5</v>
      </c>
      <c r="AH33" s="210" t="s">
        <v>2</v>
      </c>
      <c r="AI33" s="253" t="s">
        <v>2</v>
      </c>
      <c r="AJ33" s="253" t="s">
        <v>2</v>
      </c>
      <c r="AK33" s="147" t="s">
        <v>10</v>
      </c>
      <c r="AL33" s="157" t="s">
        <v>2</v>
      </c>
      <c r="AM33" s="185" t="s">
        <v>18</v>
      </c>
      <c r="AN33" s="343" t="s">
        <v>246</v>
      </c>
      <c r="AO33" s="229" t="s">
        <v>43</v>
      </c>
      <c r="AP33" s="164" t="s">
        <v>247</v>
      </c>
      <c r="AQ33" s="213" t="s">
        <v>19</v>
      </c>
      <c r="AR33" s="318" t="s">
        <v>43</v>
      </c>
      <c r="AS33" s="146" t="s">
        <v>9</v>
      </c>
      <c r="AT33" s="196" t="s">
        <v>11</v>
      </c>
      <c r="AU33" s="150" t="s">
        <v>20</v>
      </c>
      <c r="AV33" s="147" t="s">
        <v>7</v>
      </c>
      <c r="AW33" s="147" t="s">
        <v>5</v>
      </c>
      <c r="AX33" s="229" t="s">
        <v>43</v>
      </c>
      <c r="AY33" s="229" t="s">
        <v>43</v>
      </c>
      <c r="AZ33" s="146" t="s">
        <v>15</v>
      </c>
      <c r="BA33" s="146" t="s">
        <v>20</v>
      </c>
      <c r="BB33" s="146" t="s">
        <v>6</v>
      </c>
      <c r="BC33" s="168" t="s">
        <v>21</v>
      </c>
      <c r="BD33" s="224" t="s">
        <v>244</v>
      </c>
      <c r="BE33" s="318" t="s">
        <v>43</v>
      </c>
      <c r="BF33" s="318" t="s">
        <v>43</v>
      </c>
      <c r="BG33" s="253" t="s">
        <v>7</v>
      </c>
      <c r="BH33" s="318" t="s">
        <v>43</v>
      </c>
      <c r="BI33" s="183" t="s">
        <v>14</v>
      </c>
      <c r="BJ33" s="183" t="s">
        <v>5</v>
      </c>
      <c r="BK33" s="183" t="s">
        <v>11</v>
      </c>
      <c r="BL33" s="318" t="s">
        <v>43</v>
      </c>
      <c r="BM33" s="150" t="s">
        <v>22</v>
      </c>
      <c r="BN33" s="258" t="s">
        <v>15</v>
      </c>
      <c r="BO33" s="309"/>
      <c r="BP33" s="319">
        <f t="shared" si="59"/>
        <v>22826.964737414226</v>
      </c>
      <c r="BQ33" s="320" t="s">
        <v>66</v>
      </c>
      <c r="BR33" s="143" t="s">
        <v>2</v>
      </c>
      <c r="BS33" s="268" t="s">
        <v>15</v>
      </c>
      <c r="BT33" s="143" t="s">
        <v>14</v>
      </c>
      <c r="BU33" s="171" t="s">
        <v>253</v>
      </c>
      <c r="BV33" s="229" t="s">
        <v>43</v>
      </c>
      <c r="BW33" s="161" t="s">
        <v>46</v>
      </c>
      <c r="BX33" s="220" t="s">
        <v>254</v>
      </c>
      <c r="BY33" s="227" t="s">
        <v>43</v>
      </c>
      <c r="BZ33" s="227" t="s">
        <v>43</v>
      </c>
      <c r="CA33" s="161" t="s">
        <v>5</v>
      </c>
      <c r="CB33" s="177" t="s">
        <v>8</v>
      </c>
      <c r="CC33" s="193" t="s">
        <v>6</v>
      </c>
      <c r="CD33" s="229" t="s">
        <v>43</v>
      </c>
      <c r="CE33" s="193" t="s">
        <v>6</v>
      </c>
      <c r="CF33" s="208" t="s">
        <v>22</v>
      </c>
      <c r="CG33" s="154" t="s">
        <v>1</v>
      </c>
      <c r="CH33" s="227" t="s">
        <v>43</v>
      </c>
      <c r="CI33" s="193" t="s">
        <v>10</v>
      </c>
      <c r="CJ33" s="70">
        <v>58</v>
      </c>
      <c r="DG33" s="357"/>
      <c r="DI33" s="56" t="s">
        <v>54</v>
      </c>
      <c r="DJ33" s="305" t="s">
        <v>17</v>
      </c>
      <c r="DK33" s="363">
        <f t="shared" si="0"/>
        <v>7</v>
      </c>
      <c r="DL33" s="363">
        <f t="shared" si="1"/>
        <v>5</v>
      </c>
      <c r="DM33" s="363">
        <f t="shared" si="2"/>
        <v>0</v>
      </c>
      <c r="DN33" s="363">
        <f t="shared" si="3"/>
        <v>5</v>
      </c>
      <c r="DO33" s="363">
        <f t="shared" si="4"/>
        <v>7</v>
      </c>
      <c r="DP33" s="363">
        <f t="shared" si="5"/>
        <v>0</v>
      </c>
      <c r="DQ33" s="363">
        <f t="shared" si="6"/>
        <v>3</v>
      </c>
      <c r="DR33" s="363">
        <f t="shared" si="7"/>
        <v>7</v>
      </c>
      <c r="DS33" s="363">
        <f t="shared" si="8"/>
        <v>5</v>
      </c>
      <c r="DT33" s="363">
        <f t="shared" si="9"/>
        <v>5</v>
      </c>
      <c r="DU33" s="363">
        <f t="shared" si="10"/>
        <v>0</v>
      </c>
      <c r="DV33" s="363">
        <f t="shared" si="11"/>
        <v>7</v>
      </c>
      <c r="DW33" s="363">
        <f t="shared" si="12"/>
        <v>0</v>
      </c>
      <c r="DX33" s="363">
        <f t="shared" si="13"/>
        <v>0</v>
      </c>
      <c r="DY33" s="363">
        <f t="shared" si="14"/>
        <v>0</v>
      </c>
      <c r="DZ33" s="363">
        <f t="shared" si="15"/>
        <v>4</v>
      </c>
      <c r="EA33" s="363">
        <f t="shared" si="16"/>
        <v>7</v>
      </c>
      <c r="EB33" s="363">
        <f t="shared" si="17"/>
        <v>3</v>
      </c>
      <c r="EC33" s="363">
        <f t="shared" si="18"/>
        <v>7</v>
      </c>
      <c r="ED33" s="363">
        <f t="shared" si="19"/>
        <v>7</v>
      </c>
      <c r="EE33" s="363">
        <f t="shared" si="20"/>
        <v>2</v>
      </c>
      <c r="EF33" s="363">
        <f t="shared" si="21"/>
        <v>5</v>
      </c>
      <c r="EG33" s="363">
        <f t="shared" si="22"/>
        <v>5</v>
      </c>
      <c r="EH33" s="363">
        <f t="shared" si="23"/>
        <v>5</v>
      </c>
      <c r="EI33" s="363">
        <f t="shared" si="24"/>
        <v>5</v>
      </c>
      <c r="EJ33" s="363">
        <f t="shared" si="25"/>
        <v>5</v>
      </c>
      <c r="EK33" s="363">
        <f t="shared" si="26"/>
        <v>5</v>
      </c>
      <c r="EL33" s="363">
        <f t="shared" si="27"/>
        <v>0</v>
      </c>
      <c r="EM33" s="363">
        <f t="shared" si="28"/>
        <v>0</v>
      </c>
      <c r="EN33" s="363">
        <f t="shared" si="29"/>
        <v>3</v>
      </c>
      <c r="EO33" s="363">
        <f t="shared" si="30"/>
        <v>5</v>
      </c>
      <c r="EP33" s="363">
        <f t="shared" si="31"/>
        <v>2</v>
      </c>
      <c r="EQ33" s="363">
        <f t="shared" si="32"/>
        <v>6</v>
      </c>
      <c r="ER33" s="363">
        <f t="shared" si="33"/>
        <v>5</v>
      </c>
      <c r="ES33" s="363">
        <f t="shared" si="34"/>
        <v>7</v>
      </c>
      <c r="ET33" s="363">
        <f t="shared" si="35"/>
        <v>0</v>
      </c>
      <c r="EU33" s="363">
        <f t="shared" si="36"/>
        <v>0</v>
      </c>
      <c r="EV33" s="363">
        <f t="shared" si="37"/>
        <v>7</v>
      </c>
      <c r="EW33" s="320" t="s">
        <v>66</v>
      </c>
      <c r="EX33" s="363">
        <f t="shared" si="38"/>
        <v>6</v>
      </c>
      <c r="EY33" s="363">
        <f t="shared" si="39"/>
        <v>7</v>
      </c>
      <c r="EZ33" s="363">
        <f t="shared" si="40"/>
        <v>5</v>
      </c>
      <c r="FA33" s="363">
        <f t="shared" si="41"/>
        <v>0</v>
      </c>
      <c r="FB33" s="363">
        <f t="shared" si="42"/>
        <v>0</v>
      </c>
      <c r="FC33" s="363">
        <f t="shared" si="43"/>
        <v>0</v>
      </c>
      <c r="FD33" s="363">
        <f t="shared" si="44"/>
        <v>0</v>
      </c>
      <c r="FE33" s="363">
        <f t="shared" si="45"/>
        <v>7</v>
      </c>
      <c r="FF33" s="363">
        <f t="shared" si="46"/>
        <v>0</v>
      </c>
      <c r="FG33" s="363">
        <f t="shared" si="47"/>
        <v>0</v>
      </c>
      <c r="FH33" s="363">
        <f t="shared" si="48"/>
        <v>7</v>
      </c>
      <c r="FI33" s="363">
        <f t="shared" si="49"/>
        <v>0</v>
      </c>
      <c r="FJ33" s="363">
        <f t="shared" si="50"/>
        <v>0</v>
      </c>
      <c r="FK33" s="363">
        <f t="shared" si="51"/>
        <v>0</v>
      </c>
      <c r="FL33" s="363">
        <f t="shared" si="52"/>
        <v>1</v>
      </c>
      <c r="FM33" s="363">
        <f t="shared" si="53"/>
        <v>0</v>
      </c>
      <c r="FN33" s="363">
        <f t="shared" si="54"/>
        <v>7</v>
      </c>
      <c r="FO33" s="363">
        <f t="shared" si="55"/>
        <v>7</v>
      </c>
      <c r="FP33" s="363">
        <f t="shared" si="60"/>
        <v>10</v>
      </c>
      <c r="FQ33" s="363">
        <f t="shared" si="61"/>
        <v>10</v>
      </c>
      <c r="FR33" s="309">
        <f t="shared" si="62"/>
        <v>20</v>
      </c>
      <c r="GM33" s="357"/>
      <c r="GO33" s="56" t="s">
        <v>54</v>
      </c>
      <c r="GP33" s="305" t="s">
        <v>17</v>
      </c>
      <c r="GQ33" s="244" t="s">
        <v>1</v>
      </c>
      <c r="GR33" s="244" t="s">
        <v>2</v>
      </c>
      <c r="GS33" s="244" t="s">
        <v>10</v>
      </c>
      <c r="GT33" s="244" t="s">
        <v>4</v>
      </c>
      <c r="GU33" s="244" t="s">
        <v>5</v>
      </c>
      <c r="GV33" s="244" t="s">
        <v>2</v>
      </c>
      <c r="GW33" s="244" t="s">
        <v>2</v>
      </c>
      <c r="GX33" s="244" t="s">
        <v>2</v>
      </c>
      <c r="GY33" s="244" t="s">
        <v>10</v>
      </c>
      <c r="GZ33" s="223" t="s">
        <v>2</v>
      </c>
      <c r="HA33" s="366" t="s">
        <v>18</v>
      </c>
      <c r="HB33" s="387" t="s">
        <v>323</v>
      </c>
      <c r="HC33" s="244" t="s">
        <v>43</v>
      </c>
      <c r="HD33" s="384" t="s">
        <v>324</v>
      </c>
      <c r="HE33" s="384" t="s">
        <v>19</v>
      </c>
      <c r="HF33" s="318" t="s">
        <v>43</v>
      </c>
      <c r="HG33" s="244" t="s">
        <v>9</v>
      </c>
      <c r="HH33" s="244" t="s">
        <v>11</v>
      </c>
      <c r="HI33" s="244" t="s">
        <v>20</v>
      </c>
      <c r="HJ33" s="244" t="s">
        <v>7</v>
      </c>
      <c r="HK33" s="244" t="s">
        <v>5</v>
      </c>
      <c r="HL33" s="244" t="s">
        <v>43</v>
      </c>
      <c r="HM33" s="244" t="s">
        <v>43</v>
      </c>
      <c r="HN33" s="244" t="s">
        <v>15</v>
      </c>
      <c r="HO33" s="244" t="s">
        <v>20</v>
      </c>
      <c r="HP33" s="244" t="s">
        <v>6</v>
      </c>
      <c r="HQ33" s="366" t="s">
        <v>21</v>
      </c>
      <c r="HR33" s="366" t="s">
        <v>318</v>
      </c>
      <c r="HS33" s="318" t="s">
        <v>43</v>
      </c>
      <c r="HT33" s="318" t="s">
        <v>43</v>
      </c>
      <c r="HU33" s="244" t="s">
        <v>7</v>
      </c>
      <c r="HV33" s="318" t="s">
        <v>43</v>
      </c>
      <c r="HW33" s="244" t="s">
        <v>14</v>
      </c>
      <c r="HX33" s="244" t="s">
        <v>5</v>
      </c>
      <c r="HY33" s="244" t="s">
        <v>11</v>
      </c>
      <c r="HZ33" s="318" t="s">
        <v>43</v>
      </c>
      <c r="IA33" s="244" t="s">
        <v>22</v>
      </c>
      <c r="IB33" s="244" t="s">
        <v>15</v>
      </c>
      <c r="IC33" s="320" t="s">
        <v>66</v>
      </c>
      <c r="ID33" s="173" t="s">
        <v>2</v>
      </c>
      <c r="IE33" s="173" t="s">
        <v>15</v>
      </c>
      <c r="IF33" s="173" t="s">
        <v>14</v>
      </c>
      <c r="IG33" s="368" t="s">
        <v>321</v>
      </c>
      <c r="IH33" s="244" t="s">
        <v>43</v>
      </c>
      <c r="II33" s="173" t="s">
        <v>46</v>
      </c>
      <c r="IJ33" s="368" t="s">
        <v>322</v>
      </c>
      <c r="IK33" s="173" t="s">
        <v>43</v>
      </c>
      <c r="IL33" s="173" t="s">
        <v>43</v>
      </c>
      <c r="IM33" s="173" t="s">
        <v>5</v>
      </c>
      <c r="IN33" s="173" t="s">
        <v>8</v>
      </c>
      <c r="IO33" s="173" t="s">
        <v>6</v>
      </c>
      <c r="IP33" s="244" t="s">
        <v>43</v>
      </c>
      <c r="IQ33" s="173" t="s">
        <v>6</v>
      </c>
      <c r="IR33" s="173" t="s">
        <v>22</v>
      </c>
      <c r="IS33" s="173" t="s">
        <v>1</v>
      </c>
      <c r="IT33" s="173" t="s">
        <v>43</v>
      </c>
      <c r="IU33" s="173" t="s">
        <v>10</v>
      </c>
      <c r="JN33" s="357"/>
      <c r="JO33" s="369">
        <v>87</v>
      </c>
      <c r="JP33" s="305" t="s">
        <v>138</v>
      </c>
      <c r="JQ33" s="332" t="s">
        <v>163</v>
      </c>
      <c r="JR33" s="67" t="s">
        <v>164</v>
      </c>
      <c r="JS33" s="159" t="s">
        <v>7</v>
      </c>
      <c r="JT33" s="108" t="s">
        <v>22</v>
      </c>
      <c r="JU33" s="109" t="s">
        <v>6</v>
      </c>
      <c r="JV33" s="155" t="s">
        <v>20</v>
      </c>
      <c r="JW33" s="112" t="s">
        <v>188</v>
      </c>
      <c r="JX33" s="254" t="s">
        <v>8</v>
      </c>
      <c r="JY33" s="221" t="s">
        <v>7</v>
      </c>
      <c r="JZ33" s="159" t="s">
        <v>8</v>
      </c>
      <c r="KA33" s="111" t="s">
        <v>189</v>
      </c>
      <c r="KB33" s="115" t="s">
        <v>192</v>
      </c>
      <c r="KC33" s="246" t="s">
        <v>43</v>
      </c>
      <c r="KD33" s="246" t="s">
        <v>43</v>
      </c>
      <c r="KE33" s="159" t="s">
        <v>6</v>
      </c>
      <c r="KF33" s="230" t="s">
        <v>185</v>
      </c>
      <c r="KG33" s="114" t="s">
        <v>7</v>
      </c>
      <c r="KH33" s="118" t="s">
        <v>186</v>
      </c>
      <c r="KI33" s="246" t="s">
        <v>43</v>
      </c>
      <c r="KJ33" s="190" t="s">
        <v>187</v>
      </c>
      <c r="KK33" s="246" t="s">
        <v>43</v>
      </c>
      <c r="KL33" s="159" t="s">
        <v>12</v>
      </c>
      <c r="KM33" s="159" t="s">
        <v>14</v>
      </c>
      <c r="KN33" s="182" t="s">
        <v>6</v>
      </c>
      <c r="KO33" s="182" t="s">
        <v>5</v>
      </c>
      <c r="KP33" s="322">
        <f t="shared" si="63"/>
        <v>289.31056951284319</v>
      </c>
      <c r="KR33" s="329" t="s">
        <v>138</v>
      </c>
      <c r="KS33" s="159" t="s">
        <v>10</v>
      </c>
      <c r="KT33" s="170" t="s">
        <v>9</v>
      </c>
      <c r="KU33" s="221" t="s">
        <v>20</v>
      </c>
      <c r="KV33" s="117" t="s">
        <v>14</v>
      </c>
      <c r="KW33" s="124" t="s">
        <v>194</v>
      </c>
      <c r="KX33" s="240" t="s">
        <v>6</v>
      </c>
      <c r="KY33" s="240" t="s">
        <v>15</v>
      </c>
      <c r="KZ33" s="240" t="s">
        <v>6</v>
      </c>
      <c r="LA33" s="155" t="s">
        <v>10</v>
      </c>
      <c r="LB33" s="166" t="s">
        <v>9</v>
      </c>
      <c r="LC33" s="117" t="s">
        <v>5</v>
      </c>
      <c r="LD33" s="159" t="s">
        <v>9</v>
      </c>
      <c r="LE33" s="155" t="s">
        <v>7</v>
      </c>
      <c r="LF33" s="166" t="s">
        <v>15</v>
      </c>
      <c r="LG33" s="123" t="s">
        <v>229</v>
      </c>
      <c r="LH33" s="358">
        <v>20</v>
      </c>
      <c r="LW33" s="369">
        <v>87</v>
      </c>
      <c r="LX33" s="317" t="s">
        <v>138</v>
      </c>
      <c r="LY33" s="379" t="s">
        <v>163</v>
      </c>
      <c r="LZ33" s="306">
        <f t="shared" si="64"/>
        <v>20</v>
      </c>
      <c r="MA33" s="306">
        <f t="shared" si="65"/>
        <v>4</v>
      </c>
      <c r="MB33" s="306">
        <f t="shared" si="66"/>
        <v>14</v>
      </c>
      <c r="MC33" s="306">
        <f t="shared" si="67"/>
        <v>28</v>
      </c>
      <c r="MD33" s="306">
        <f t="shared" si="68"/>
        <v>17</v>
      </c>
      <c r="ME33" s="306">
        <f t="shared" si="69"/>
        <v>21</v>
      </c>
      <c r="MF33" s="306">
        <f t="shared" si="70"/>
        <v>19</v>
      </c>
      <c r="MG33" s="306">
        <f t="shared" si="71"/>
        <v>23</v>
      </c>
      <c r="MH33" s="306">
        <f t="shared" si="72"/>
        <v>18</v>
      </c>
      <c r="MI33" s="306">
        <f t="shared" si="73"/>
        <v>9</v>
      </c>
      <c r="MJ33" s="306">
        <f t="shared" si="74"/>
        <v>18</v>
      </c>
      <c r="MK33" s="306">
        <f t="shared" si="75"/>
        <v>9</v>
      </c>
      <c r="ML33" s="306">
        <f t="shared" si="76"/>
        <v>12</v>
      </c>
      <c r="MM33" s="306">
        <f t="shared" si="77"/>
        <v>18</v>
      </c>
      <c r="MN33" s="306">
        <f t="shared" si="78"/>
        <v>8</v>
      </c>
      <c r="MO33" s="306">
        <f t="shared" si="79"/>
        <v>19</v>
      </c>
      <c r="MP33" s="306">
        <f t="shared" si="80"/>
        <v>19</v>
      </c>
      <c r="MQ33" s="306">
        <f t="shared" si="81"/>
        <v>21</v>
      </c>
      <c r="MR33" s="306">
        <f t="shared" si="82"/>
        <v>22</v>
      </c>
      <c r="MS33" s="306">
        <f t="shared" si="83"/>
        <v>25</v>
      </c>
      <c r="MT33" s="306">
        <f t="shared" si="84"/>
        <v>26</v>
      </c>
      <c r="MU33" s="306">
        <f t="shared" si="85"/>
        <v>28</v>
      </c>
      <c r="MV33" s="306">
        <f t="shared" si="86"/>
        <v>23</v>
      </c>
      <c r="MY33" s="306">
        <f t="shared" si="87"/>
        <v>25</v>
      </c>
      <c r="MZ33" s="306">
        <f t="shared" si="88"/>
        <v>29</v>
      </c>
      <c r="NA33" s="306">
        <f t="shared" si="89"/>
        <v>28</v>
      </c>
      <c r="NB33" s="306">
        <f t="shared" si="90"/>
        <v>13</v>
      </c>
      <c r="NC33" s="306">
        <f t="shared" si="91"/>
        <v>14</v>
      </c>
      <c r="ND33" s="306">
        <f t="shared" si="92"/>
        <v>28</v>
      </c>
      <c r="NE33" s="306">
        <f t="shared" si="93"/>
        <v>29</v>
      </c>
      <c r="NF33" s="306">
        <f t="shared" si="94"/>
        <v>29</v>
      </c>
      <c r="NG33" s="306">
        <f t="shared" si="95"/>
        <v>17</v>
      </c>
      <c r="NH33" s="306">
        <f t="shared" si="96"/>
        <v>26</v>
      </c>
      <c r="NI33" s="306">
        <f t="shared" si="97"/>
        <v>13</v>
      </c>
      <c r="NJ33" s="306">
        <f t="shared" si="98"/>
        <v>14</v>
      </c>
      <c r="NK33" s="306">
        <f t="shared" si="99"/>
        <v>16</v>
      </c>
      <c r="NL33" s="306">
        <f t="shared" si="100"/>
        <v>26</v>
      </c>
      <c r="NM33" s="306">
        <f t="shared" si="100"/>
        <v>10</v>
      </c>
      <c r="NN33" s="306">
        <f t="shared" si="101"/>
        <v>0</v>
      </c>
      <c r="NO33" s="306">
        <f t="shared" si="102"/>
        <v>0</v>
      </c>
      <c r="NU33" s="379" t="s">
        <v>163</v>
      </c>
      <c r="NV33" s="357"/>
      <c r="NX33" s="166" t="s">
        <v>7</v>
      </c>
      <c r="NY33" s="166" t="s">
        <v>22</v>
      </c>
      <c r="NZ33" s="166" t="s">
        <v>6</v>
      </c>
      <c r="OA33" s="246" t="s">
        <v>20</v>
      </c>
      <c r="OB33" s="372" t="s">
        <v>188</v>
      </c>
      <c r="OC33" s="230" t="s">
        <v>8</v>
      </c>
      <c r="OD33" s="230" t="s">
        <v>7</v>
      </c>
      <c r="OE33" s="230" t="s">
        <v>8</v>
      </c>
      <c r="OF33" s="371" t="s">
        <v>189</v>
      </c>
      <c r="OG33" s="372" t="s">
        <v>192</v>
      </c>
      <c r="OH33" s="246" t="s">
        <v>43</v>
      </c>
      <c r="OI33" s="246" t="s">
        <v>43</v>
      </c>
      <c r="OJ33" s="163" t="s">
        <v>6</v>
      </c>
      <c r="OK33" s="163" t="s">
        <v>185</v>
      </c>
      <c r="OL33" s="246" t="s">
        <v>7</v>
      </c>
      <c r="OM33" s="372" t="s">
        <v>186</v>
      </c>
      <c r="ON33" s="246" t="s">
        <v>43</v>
      </c>
      <c r="OO33" s="225" t="s">
        <v>187</v>
      </c>
      <c r="OP33" s="246" t="s">
        <v>43</v>
      </c>
      <c r="OQ33" s="246" t="s">
        <v>12</v>
      </c>
      <c r="OR33" s="159" t="s">
        <v>14</v>
      </c>
      <c r="OS33" s="159" t="s">
        <v>6</v>
      </c>
      <c r="OT33" s="246" t="s">
        <v>5</v>
      </c>
      <c r="OV33" s="375" t="s">
        <v>138</v>
      </c>
      <c r="OW33" s="246" t="s">
        <v>10</v>
      </c>
      <c r="OX33" s="246" t="s">
        <v>9</v>
      </c>
      <c r="OY33" s="240" t="s">
        <v>20</v>
      </c>
      <c r="OZ33" s="240" t="s">
        <v>14</v>
      </c>
      <c r="PA33" s="225" t="s">
        <v>194</v>
      </c>
      <c r="PB33" s="246" t="s">
        <v>6</v>
      </c>
      <c r="PC33" s="246" t="s">
        <v>15</v>
      </c>
      <c r="PD33" s="246" t="s">
        <v>6</v>
      </c>
      <c r="PE33" s="246" t="s">
        <v>10</v>
      </c>
      <c r="PF33" s="246" t="s">
        <v>9</v>
      </c>
      <c r="PG33" s="246" t="s">
        <v>5</v>
      </c>
      <c r="PH33" s="246" t="s">
        <v>9</v>
      </c>
      <c r="PI33" s="246" t="s">
        <v>7</v>
      </c>
      <c r="PJ33" s="246" t="s">
        <v>15</v>
      </c>
      <c r="PK33" s="376" t="s">
        <v>229</v>
      </c>
      <c r="PM33"/>
      <c r="PN33"/>
      <c r="PO33"/>
      <c r="PP33"/>
      <c r="PQ33"/>
      <c r="PR33"/>
      <c r="PS33"/>
      <c r="PT33"/>
      <c r="QN33" s="357"/>
      <c r="QO33" s="66" t="s">
        <v>111</v>
      </c>
      <c r="QP33" s="204" t="s">
        <v>195</v>
      </c>
      <c r="QQ33" s="166" t="s">
        <v>20</v>
      </c>
      <c r="QR33" s="198" t="s">
        <v>2</v>
      </c>
      <c r="QS33" s="333" t="s">
        <v>204</v>
      </c>
      <c r="QT33" s="159" t="s">
        <v>1</v>
      </c>
      <c r="QU33" s="159" t="s">
        <v>15</v>
      </c>
      <c r="QV33" s="159" t="s">
        <v>1</v>
      </c>
      <c r="QW33" s="131" t="s">
        <v>22</v>
      </c>
      <c r="QX33" s="216" t="s">
        <v>198</v>
      </c>
      <c r="QY33" s="246" t="s">
        <v>8</v>
      </c>
      <c r="QZ33" s="166" t="s">
        <v>11</v>
      </c>
      <c r="RA33" s="221" t="s">
        <v>2</v>
      </c>
      <c r="RB33" s="246" t="s">
        <v>43</v>
      </c>
      <c r="RC33" s="182" t="s">
        <v>8</v>
      </c>
      <c r="RD33" s="166" t="s">
        <v>22</v>
      </c>
      <c r="RE33" s="131" t="s">
        <v>205</v>
      </c>
      <c r="RF33" s="159" t="s">
        <v>7</v>
      </c>
      <c r="RG33" s="159" t="s">
        <v>8</v>
      </c>
      <c r="RH33" s="124" t="s">
        <v>206</v>
      </c>
      <c r="RI33" s="246" t="s">
        <v>43</v>
      </c>
      <c r="RJ33" s="125" t="s">
        <v>11</v>
      </c>
      <c r="RK33" s="182" t="s">
        <v>2</v>
      </c>
      <c r="RL33" s="141" t="s">
        <v>12</v>
      </c>
      <c r="RM33" s="140" t="s">
        <v>203</v>
      </c>
      <c r="RN33" s="339" t="s">
        <v>212</v>
      </c>
      <c r="RO33" s="124" t="s">
        <v>201</v>
      </c>
      <c r="RP33" s="246" t="s">
        <v>43</v>
      </c>
      <c r="RQ33" s="230" t="s">
        <v>20</v>
      </c>
      <c r="RR33" s="246" t="s">
        <v>43</v>
      </c>
      <c r="RS33" s="159" t="s">
        <v>10</v>
      </c>
      <c r="RT33" s="235" t="s">
        <v>21</v>
      </c>
      <c r="RU33" s="246" t="s">
        <v>43</v>
      </c>
      <c r="RV33" s="182" t="s">
        <v>7</v>
      </c>
      <c r="RW33" s="182" t="s">
        <v>7</v>
      </c>
      <c r="RX33" s="334" t="s">
        <v>209</v>
      </c>
      <c r="RY33" s="158" t="s">
        <v>22</v>
      </c>
      <c r="RZ33" s="159" t="s">
        <v>185</v>
      </c>
      <c r="SA33" s="246" t="s">
        <v>43</v>
      </c>
      <c r="SB33" s="221" t="s">
        <v>1</v>
      </c>
      <c r="SC33" s="176" t="s">
        <v>1</v>
      </c>
      <c r="SD33" s="166" t="s">
        <v>15</v>
      </c>
      <c r="SE33" s="211" t="s">
        <v>22</v>
      </c>
      <c r="SF33" s="176" t="s">
        <v>7</v>
      </c>
      <c r="SG33" s="246" t="s">
        <v>43</v>
      </c>
      <c r="SH33" s="254" t="s">
        <v>15</v>
      </c>
      <c r="SI33" s="131" t="s">
        <v>5</v>
      </c>
      <c r="SJ33" s="221" t="s">
        <v>261</v>
      </c>
      <c r="SK33" s="322">
        <f t="shared" si="103"/>
        <v>1660.0569876897741</v>
      </c>
      <c r="SM33" s="362">
        <v>20</v>
      </c>
      <c r="SO33"/>
      <c r="SP33"/>
      <c r="TP33" s="357"/>
      <c r="TQ33" s="66" t="s">
        <v>111</v>
      </c>
      <c r="TR33" s="306">
        <f t="shared" si="104"/>
        <v>31</v>
      </c>
      <c r="TS33" s="306">
        <f t="shared" si="105"/>
        <v>23</v>
      </c>
      <c r="TT33" s="306">
        <f t="shared" si="106"/>
        <v>12</v>
      </c>
      <c r="TU33" s="306">
        <f t="shared" si="107"/>
        <v>9</v>
      </c>
      <c r="TV33" s="306">
        <f t="shared" si="108"/>
        <v>12</v>
      </c>
      <c r="TW33" s="306">
        <f t="shared" si="109"/>
        <v>12</v>
      </c>
      <c r="TX33" s="306">
        <f t="shared" si="110"/>
        <v>12</v>
      </c>
      <c r="TY33" s="306">
        <f t="shared" si="111"/>
        <v>33</v>
      </c>
      <c r="TZ33" s="306">
        <f t="shared" si="112"/>
        <v>33</v>
      </c>
      <c r="UA33" s="306">
        <f t="shared" si="113"/>
        <v>24</v>
      </c>
      <c r="UB33" s="306">
        <f t="shared" si="114"/>
        <v>19</v>
      </c>
      <c r="UC33" s="306">
        <f t="shared" si="115"/>
        <v>23</v>
      </c>
      <c r="UD33" s="306">
        <f t="shared" si="116"/>
        <v>27</v>
      </c>
      <c r="UE33" s="306">
        <f t="shared" si="117"/>
        <v>26</v>
      </c>
      <c r="UF33" s="306">
        <f t="shared" si="118"/>
        <v>12</v>
      </c>
      <c r="UG33" s="306">
        <f t="shared" si="119"/>
        <v>7</v>
      </c>
      <c r="UH33" s="306">
        <f t="shared" si="120"/>
        <v>28</v>
      </c>
      <c r="UI33" s="306">
        <f t="shared" si="121"/>
        <v>32</v>
      </c>
      <c r="UJ33" s="306">
        <f t="shared" si="122"/>
        <v>9</v>
      </c>
      <c r="UK33" s="306">
        <f t="shared" si="123"/>
        <v>31</v>
      </c>
      <c r="UL33" s="306">
        <f t="shared" si="124"/>
        <v>26</v>
      </c>
      <c r="UM33" s="306">
        <f t="shared" si="125"/>
        <v>28</v>
      </c>
      <c r="UN33" s="306">
        <f t="shared" si="126"/>
        <v>10</v>
      </c>
      <c r="UO33" s="306">
        <f t="shared" si="127"/>
        <v>13</v>
      </c>
      <c r="UP33" s="306">
        <f t="shared" si="128"/>
        <v>12</v>
      </c>
      <c r="UQ33" s="306">
        <f t="shared" si="129"/>
        <v>30</v>
      </c>
      <c r="UR33" s="306">
        <f t="shared" si="130"/>
        <v>13</v>
      </c>
      <c r="US33" s="306">
        <f t="shared" si="131"/>
        <v>3</v>
      </c>
      <c r="UT33" s="306">
        <f t="shared" si="132"/>
        <v>30</v>
      </c>
      <c r="UU33" s="306">
        <f t="shared" si="133"/>
        <v>22</v>
      </c>
      <c r="UV33" s="306">
        <f t="shared" si="134"/>
        <v>31</v>
      </c>
      <c r="UW33" s="306">
        <f t="shared" si="135"/>
        <v>33</v>
      </c>
      <c r="UX33" s="306">
        <f t="shared" si="136"/>
        <v>32</v>
      </c>
      <c r="UY33" s="306">
        <f t="shared" si="137"/>
        <v>17</v>
      </c>
      <c r="UZ33" s="306">
        <f t="shared" si="138"/>
        <v>12</v>
      </c>
      <c r="VA33" s="306">
        <f t="shared" si="139"/>
        <v>18</v>
      </c>
      <c r="VB33" s="306">
        <f t="shared" si="140"/>
        <v>25</v>
      </c>
      <c r="VC33" s="306">
        <f t="shared" si="141"/>
        <v>18</v>
      </c>
      <c r="VD33" s="306">
        <f t="shared" si="142"/>
        <v>23</v>
      </c>
      <c r="VE33" s="306">
        <f t="shared" si="143"/>
        <v>26</v>
      </c>
      <c r="VF33" s="306">
        <f t="shared" si="144"/>
        <v>19</v>
      </c>
      <c r="VG33" s="306">
        <f t="shared" si="145"/>
        <v>13</v>
      </c>
      <c r="VH33" s="306">
        <f t="shared" si="146"/>
        <v>29</v>
      </c>
      <c r="VI33" s="306">
        <f t="shared" si="147"/>
        <v>28</v>
      </c>
      <c r="VJ33" s="306">
        <f t="shared" si="148"/>
        <v>30</v>
      </c>
      <c r="VK33" s="306">
        <f t="shared" si="149"/>
        <v>32</v>
      </c>
      <c r="VL33" s="306">
        <f t="shared" si="150"/>
        <v>25</v>
      </c>
      <c r="VN33" s="306">
        <f t="shared" si="151"/>
        <v>0</v>
      </c>
      <c r="WR33" s="357"/>
      <c r="WS33" s="66" t="s">
        <v>111</v>
      </c>
      <c r="WT33" s="225" t="s">
        <v>195</v>
      </c>
      <c r="WU33" s="246" t="s">
        <v>20</v>
      </c>
      <c r="WV33" s="246" t="s">
        <v>2</v>
      </c>
      <c r="WW33" s="335" t="s">
        <v>204</v>
      </c>
      <c r="WX33" s="246" t="s">
        <v>1</v>
      </c>
      <c r="WY33" s="246" t="s">
        <v>15</v>
      </c>
      <c r="WZ33" s="246" t="s">
        <v>1</v>
      </c>
      <c r="XA33" s="246" t="s">
        <v>22</v>
      </c>
      <c r="XB33" s="225" t="s">
        <v>198</v>
      </c>
      <c r="XC33" s="240" t="s">
        <v>8</v>
      </c>
      <c r="XD33" s="240" t="s">
        <v>11</v>
      </c>
      <c r="XE33" s="240" t="s">
        <v>2</v>
      </c>
      <c r="XF33" s="246" t="s">
        <v>43</v>
      </c>
      <c r="XG33" s="240" t="s">
        <v>8</v>
      </c>
      <c r="XH33" s="240" t="s">
        <v>22</v>
      </c>
      <c r="XI33" s="240" t="s">
        <v>205</v>
      </c>
      <c r="XJ33" s="240" t="s">
        <v>7</v>
      </c>
      <c r="XK33" s="240" t="s">
        <v>8</v>
      </c>
      <c r="XL33" s="204" t="s">
        <v>206</v>
      </c>
      <c r="XM33" s="246" t="s">
        <v>43</v>
      </c>
      <c r="XN33" s="159" t="s">
        <v>11</v>
      </c>
      <c r="XO33" s="159" t="s">
        <v>2</v>
      </c>
      <c r="XP33" s="246" t="s">
        <v>12</v>
      </c>
      <c r="XQ33" s="242" t="s">
        <v>203</v>
      </c>
      <c r="XR33" s="339" t="s">
        <v>212</v>
      </c>
      <c r="XS33" s="225" t="s">
        <v>201</v>
      </c>
      <c r="XT33" s="246" t="s">
        <v>43</v>
      </c>
      <c r="XU33" s="246" t="s">
        <v>20</v>
      </c>
      <c r="XV33" s="246" t="s">
        <v>43</v>
      </c>
      <c r="XW33" s="159" t="s">
        <v>10</v>
      </c>
      <c r="XX33" s="225" t="s">
        <v>21</v>
      </c>
      <c r="XY33" s="246" t="s">
        <v>43</v>
      </c>
      <c r="XZ33" s="166" t="s">
        <v>7</v>
      </c>
      <c r="YA33" s="166" t="s">
        <v>7</v>
      </c>
      <c r="YB33" s="327" t="s">
        <v>209</v>
      </c>
      <c r="YC33" s="246" t="s">
        <v>22</v>
      </c>
      <c r="YD33" s="246" t="s">
        <v>185</v>
      </c>
      <c r="YE33" s="246" t="s">
        <v>43</v>
      </c>
      <c r="YF33" s="246" t="s">
        <v>1</v>
      </c>
      <c r="YG33" s="246" t="s">
        <v>1</v>
      </c>
      <c r="YH33" s="246" t="s">
        <v>15</v>
      </c>
      <c r="YI33" s="246" t="s">
        <v>22</v>
      </c>
      <c r="YJ33" s="159" t="s">
        <v>7</v>
      </c>
      <c r="YK33" s="159" t="s">
        <v>43</v>
      </c>
      <c r="YL33" s="159" t="s">
        <v>15</v>
      </c>
      <c r="YM33" s="246" t="s">
        <v>5</v>
      </c>
      <c r="YN33" s="246" t="s">
        <v>261</v>
      </c>
      <c r="AFZ33" s="307"/>
    </row>
    <row r="34" spans="1:858" s="306" customFormat="1" ht="20.65" x14ac:dyDescent="0.7">
      <c r="A34" s="70">
        <v>25</v>
      </c>
      <c r="B34" s="305"/>
      <c r="C34" s="45" t="s">
        <v>116</v>
      </c>
      <c r="D34" s="45" t="s">
        <v>115</v>
      </c>
      <c r="E34" s="305"/>
      <c r="F34" s="128">
        <v>1054.502324000749</v>
      </c>
      <c r="X34" s="355"/>
      <c r="AA34" s="56" t="s">
        <v>54</v>
      </c>
      <c r="AB34" s="305" t="s">
        <v>17</v>
      </c>
      <c r="AC34" s="183" t="s">
        <v>1</v>
      </c>
      <c r="AD34" s="147" t="s">
        <v>2</v>
      </c>
      <c r="AE34" s="210" t="s">
        <v>10</v>
      </c>
      <c r="AF34" s="203" t="s">
        <v>4</v>
      </c>
      <c r="AG34" s="258" t="s">
        <v>5</v>
      </c>
      <c r="AH34" s="210" t="s">
        <v>2</v>
      </c>
      <c r="AI34" s="253" t="s">
        <v>2</v>
      </c>
      <c r="AJ34" s="253" t="s">
        <v>2</v>
      </c>
      <c r="AK34" s="147" t="s">
        <v>10</v>
      </c>
      <c r="AL34" s="157" t="s">
        <v>2</v>
      </c>
      <c r="AM34" s="185" t="s">
        <v>18</v>
      </c>
      <c r="AN34" s="343" t="s">
        <v>246</v>
      </c>
      <c r="AO34" s="229" t="s">
        <v>43</v>
      </c>
      <c r="AP34" s="164" t="s">
        <v>247</v>
      </c>
      <c r="AQ34" s="213" t="s">
        <v>19</v>
      </c>
      <c r="AR34" s="318" t="s">
        <v>43</v>
      </c>
      <c r="AS34" s="146" t="s">
        <v>9</v>
      </c>
      <c r="AT34" s="196" t="s">
        <v>11</v>
      </c>
      <c r="AU34" s="150" t="s">
        <v>20</v>
      </c>
      <c r="AV34" s="147" t="s">
        <v>7</v>
      </c>
      <c r="AW34" s="147" t="s">
        <v>5</v>
      </c>
      <c r="AX34" s="229" t="s">
        <v>43</v>
      </c>
      <c r="AY34" s="229" t="s">
        <v>43</v>
      </c>
      <c r="AZ34" s="146" t="s">
        <v>15</v>
      </c>
      <c r="BA34" s="146" t="s">
        <v>20</v>
      </c>
      <c r="BB34" s="146" t="s">
        <v>6</v>
      </c>
      <c r="BC34" s="168" t="s">
        <v>21</v>
      </c>
      <c r="BD34" s="224" t="s">
        <v>244</v>
      </c>
      <c r="BE34" s="318" t="s">
        <v>43</v>
      </c>
      <c r="BF34" s="318" t="s">
        <v>43</v>
      </c>
      <c r="BG34" s="253" t="s">
        <v>7</v>
      </c>
      <c r="BH34" s="318" t="s">
        <v>43</v>
      </c>
      <c r="BI34" s="183" t="s">
        <v>14</v>
      </c>
      <c r="BJ34" s="183" t="s">
        <v>5</v>
      </c>
      <c r="BK34" s="183" t="s">
        <v>11</v>
      </c>
      <c r="BL34" s="318" t="s">
        <v>43</v>
      </c>
      <c r="BM34" s="150" t="s">
        <v>22</v>
      </c>
      <c r="BN34" s="258" t="s">
        <v>15</v>
      </c>
      <c r="BO34" s="309"/>
      <c r="BP34" s="319">
        <f t="shared" si="59"/>
        <v>22706.411614956225</v>
      </c>
      <c r="BQ34" s="320" t="s">
        <v>67</v>
      </c>
      <c r="BR34" s="143" t="s">
        <v>2</v>
      </c>
      <c r="BS34" s="268" t="s">
        <v>15</v>
      </c>
      <c r="BT34" s="143" t="s">
        <v>14</v>
      </c>
      <c r="BU34" s="171" t="s">
        <v>253</v>
      </c>
      <c r="BV34" s="229" t="s">
        <v>43</v>
      </c>
      <c r="BW34" s="161" t="s">
        <v>46</v>
      </c>
      <c r="BX34" s="220" t="s">
        <v>254</v>
      </c>
      <c r="BY34" s="227" t="s">
        <v>43</v>
      </c>
      <c r="BZ34" s="227" t="s">
        <v>43</v>
      </c>
      <c r="CA34" s="161" t="s">
        <v>5</v>
      </c>
      <c r="CB34" s="177" t="s">
        <v>8</v>
      </c>
      <c r="CC34" s="193" t="s">
        <v>6</v>
      </c>
      <c r="CD34" s="229" t="s">
        <v>43</v>
      </c>
      <c r="CE34" s="193" t="s">
        <v>6</v>
      </c>
      <c r="CF34" s="208" t="s">
        <v>22</v>
      </c>
      <c r="CG34" s="193" t="s">
        <v>10</v>
      </c>
      <c r="CH34" s="227" t="s">
        <v>43</v>
      </c>
      <c r="CI34" s="193" t="s">
        <v>10</v>
      </c>
      <c r="CJ34" s="70">
        <v>59</v>
      </c>
      <c r="DG34" s="357"/>
      <c r="DI34" s="56" t="s">
        <v>54</v>
      </c>
      <c r="DJ34" s="305" t="s">
        <v>17</v>
      </c>
      <c r="DK34" s="363">
        <f t="shared" si="0"/>
        <v>7</v>
      </c>
      <c r="DL34" s="363">
        <f t="shared" si="1"/>
        <v>5</v>
      </c>
      <c r="DM34" s="363">
        <f t="shared" si="2"/>
        <v>0</v>
      </c>
      <c r="DN34" s="363">
        <f t="shared" si="3"/>
        <v>5</v>
      </c>
      <c r="DO34" s="363">
        <f t="shared" si="4"/>
        <v>7</v>
      </c>
      <c r="DP34" s="363">
        <f t="shared" si="5"/>
        <v>0</v>
      </c>
      <c r="DQ34" s="363">
        <f t="shared" si="6"/>
        <v>3</v>
      </c>
      <c r="DR34" s="363">
        <f t="shared" si="7"/>
        <v>7</v>
      </c>
      <c r="DS34" s="363">
        <f t="shared" si="8"/>
        <v>5</v>
      </c>
      <c r="DT34" s="363">
        <f t="shared" si="9"/>
        <v>5</v>
      </c>
      <c r="DU34" s="363">
        <f t="shared" si="10"/>
        <v>0</v>
      </c>
      <c r="DV34" s="363">
        <f t="shared" si="11"/>
        <v>7</v>
      </c>
      <c r="DW34" s="363">
        <f t="shared" si="12"/>
        <v>0</v>
      </c>
      <c r="DX34" s="363">
        <f t="shared" si="13"/>
        <v>0</v>
      </c>
      <c r="DY34" s="363">
        <f t="shared" si="14"/>
        <v>0</v>
      </c>
      <c r="DZ34" s="363">
        <f t="shared" si="15"/>
        <v>4</v>
      </c>
      <c r="EA34" s="363">
        <f t="shared" si="16"/>
        <v>7</v>
      </c>
      <c r="EB34" s="363">
        <f t="shared" si="17"/>
        <v>3</v>
      </c>
      <c r="EC34" s="363">
        <f t="shared" si="18"/>
        <v>7</v>
      </c>
      <c r="ED34" s="363">
        <f t="shared" si="19"/>
        <v>7</v>
      </c>
      <c r="EE34" s="363">
        <f t="shared" si="20"/>
        <v>2</v>
      </c>
      <c r="EF34" s="363">
        <f t="shared" si="21"/>
        <v>5</v>
      </c>
      <c r="EG34" s="363">
        <f t="shared" si="22"/>
        <v>5</v>
      </c>
      <c r="EH34" s="363">
        <f t="shared" si="23"/>
        <v>5</v>
      </c>
      <c r="EI34" s="363">
        <f t="shared" si="24"/>
        <v>5</v>
      </c>
      <c r="EJ34" s="363">
        <f t="shared" si="25"/>
        <v>5</v>
      </c>
      <c r="EK34" s="363">
        <f t="shared" si="26"/>
        <v>5</v>
      </c>
      <c r="EL34" s="363">
        <f t="shared" si="27"/>
        <v>0</v>
      </c>
      <c r="EM34" s="363">
        <f t="shared" si="28"/>
        <v>0</v>
      </c>
      <c r="EN34" s="363">
        <f t="shared" si="29"/>
        <v>3</v>
      </c>
      <c r="EO34" s="363">
        <f t="shared" si="30"/>
        <v>5</v>
      </c>
      <c r="EP34" s="363">
        <f t="shared" si="31"/>
        <v>2</v>
      </c>
      <c r="EQ34" s="363">
        <f t="shared" si="32"/>
        <v>6</v>
      </c>
      <c r="ER34" s="363">
        <f t="shared" si="33"/>
        <v>5</v>
      </c>
      <c r="ES34" s="363">
        <f t="shared" si="34"/>
        <v>7</v>
      </c>
      <c r="ET34" s="363">
        <f t="shared" si="35"/>
        <v>0</v>
      </c>
      <c r="EU34" s="363">
        <f t="shared" si="36"/>
        <v>0</v>
      </c>
      <c r="EV34" s="363">
        <f t="shared" si="37"/>
        <v>7</v>
      </c>
      <c r="EW34" s="320" t="s">
        <v>67</v>
      </c>
      <c r="EX34" s="363">
        <f t="shared" si="38"/>
        <v>6</v>
      </c>
      <c r="EY34" s="363">
        <f t="shared" si="39"/>
        <v>7</v>
      </c>
      <c r="EZ34" s="363">
        <f t="shared" si="40"/>
        <v>5</v>
      </c>
      <c r="FA34" s="363">
        <f t="shared" si="41"/>
        <v>0</v>
      </c>
      <c r="FB34" s="363">
        <f t="shared" si="42"/>
        <v>0</v>
      </c>
      <c r="FC34" s="363">
        <f t="shared" si="43"/>
        <v>0</v>
      </c>
      <c r="FD34" s="363">
        <f t="shared" si="44"/>
        <v>0</v>
      </c>
      <c r="FE34" s="363">
        <f t="shared" si="45"/>
        <v>7</v>
      </c>
      <c r="FF34" s="363">
        <f t="shared" si="46"/>
        <v>0</v>
      </c>
      <c r="FG34" s="363">
        <f t="shared" si="47"/>
        <v>0</v>
      </c>
      <c r="FH34" s="363">
        <f t="shared" si="48"/>
        <v>7</v>
      </c>
      <c r="FI34" s="363">
        <f t="shared" si="49"/>
        <v>0</v>
      </c>
      <c r="FJ34" s="363">
        <f t="shared" si="50"/>
        <v>0</v>
      </c>
      <c r="FK34" s="363">
        <f t="shared" si="51"/>
        <v>0</v>
      </c>
      <c r="FL34" s="363">
        <f t="shared" si="52"/>
        <v>1</v>
      </c>
      <c r="FM34" s="363">
        <f t="shared" si="53"/>
        <v>7</v>
      </c>
      <c r="FN34" s="363">
        <f t="shared" si="54"/>
        <v>7</v>
      </c>
      <c r="FO34" s="363">
        <f t="shared" si="55"/>
        <v>7</v>
      </c>
      <c r="FP34" s="363">
        <f t="shared" si="60"/>
        <v>10</v>
      </c>
      <c r="FQ34" s="363">
        <f t="shared" si="61"/>
        <v>9</v>
      </c>
      <c r="FR34" s="309">
        <f t="shared" si="62"/>
        <v>19</v>
      </c>
      <c r="GM34" s="357"/>
      <c r="GO34" s="56" t="s">
        <v>54</v>
      </c>
      <c r="GP34" s="305" t="s">
        <v>17</v>
      </c>
      <c r="GQ34" s="244" t="s">
        <v>1</v>
      </c>
      <c r="GR34" s="244" t="s">
        <v>2</v>
      </c>
      <c r="GS34" s="244" t="s">
        <v>10</v>
      </c>
      <c r="GT34" s="244" t="s">
        <v>4</v>
      </c>
      <c r="GU34" s="244" t="s">
        <v>5</v>
      </c>
      <c r="GV34" s="244" t="s">
        <v>2</v>
      </c>
      <c r="GW34" s="244" t="s">
        <v>2</v>
      </c>
      <c r="GX34" s="244" t="s">
        <v>2</v>
      </c>
      <c r="GY34" s="244" t="s">
        <v>10</v>
      </c>
      <c r="GZ34" s="223" t="s">
        <v>2</v>
      </c>
      <c r="HA34" s="366" t="s">
        <v>18</v>
      </c>
      <c r="HB34" s="387" t="s">
        <v>323</v>
      </c>
      <c r="HC34" s="244" t="s">
        <v>43</v>
      </c>
      <c r="HD34" s="384" t="s">
        <v>324</v>
      </c>
      <c r="HE34" s="384" t="s">
        <v>19</v>
      </c>
      <c r="HF34" s="318" t="s">
        <v>43</v>
      </c>
      <c r="HG34" s="244" t="s">
        <v>9</v>
      </c>
      <c r="HH34" s="244" t="s">
        <v>11</v>
      </c>
      <c r="HI34" s="244" t="s">
        <v>20</v>
      </c>
      <c r="HJ34" s="244" t="s">
        <v>7</v>
      </c>
      <c r="HK34" s="244" t="s">
        <v>5</v>
      </c>
      <c r="HL34" s="244" t="s">
        <v>43</v>
      </c>
      <c r="HM34" s="244" t="s">
        <v>43</v>
      </c>
      <c r="HN34" s="244" t="s">
        <v>15</v>
      </c>
      <c r="HO34" s="244" t="s">
        <v>20</v>
      </c>
      <c r="HP34" s="244" t="s">
        <v>6</v>
      </c>
      <c r="HQ34" s="366" t="s">
        <v>21</v>
      </c>
      <c r="HR34" s="366" t="s">
        <v>318</v>
      </c>
      <c r="HS34" s="318" t="s">
        <v>43</v>
      </c>
      <c r="HT34" s="318" t="s">
        <v>43</v>
      </c>
      <c r="HU34" s="244" t="s">
        <v>7</v>
      </c>
      <c r="HV34" s="318" t="s">
        <v>43</v>
      </c>
      <c r="HW34" s="244" t="s">
        <v>14</v>
      </c>
      <c r="HX34" s="244" t="s">
        <v>5</v>
      </c>
      <c r="HY34" s="244" t="s">
        <v>11</v>
      </c>
      <c r="HZ34" s="318" t="s">
        <v>43</v>
      </c>
      <c r="IA34" s="244" t="s">
        <v>22</v>
      </c>
      <c r="IB34" s="244" t="s">
        <v>15</v>
      </c>
      <c r="IC34" s="320" t="s">
        <v>67</v>
      </c>
      <c r="ID34" s="173" t="s">
        <v>2</v>
      </c>
      <c r="IE34" s="173" t="s">
        <v>15</v>
      </c>
      <c r="IF34" s="173" t="s">
        <v>14</v>
      </c>
      <c r="IG34" s="368" t="s">
        <v>321</v>
      </c>
      <c r="IH34" s="244" t="s">
        <v>43</v>
      </c>
      <c r="II34" s="173" t="s">
        <v>46</v>
      </c>
      <c r="IJ34" s="368" t="s">
        <v>322</v>
      </c>
      <c r="IK34" s="173" t="s">
        <v>43</v>
      </c>
      <c r="IL34" s="173" t="s">
        <v>43</v>
      </c>
      <c r="IM34" s="173" t="s">
        <v>5</v>
      </c>
      <c r="IN34" s="173" t="s">
        <v>8</v>
      </c>
      <c r="IO34" s="173" t="s">
        <v>6</v>
      </c>
      <c r="IP34" s="244" t="s">
        <v>43</v>
      </c>
      <c r="IQ34" s="173" t="s">
        <v>6</v>
      </c>
      <c r="IR34" s="173" t="s">
        <v>22</v>
      </c>
      <c r="IS34" s="173" t="s">
        <v>10</v>
      </c>
      <c r="IT34" s="173" t="s">
        <v>43</v>
      </c>
      <c r="IU34" s="173" t="s">
        <v>10</v>
      </c>
      <c r="JN34" s="357"/>
      <c r="JO34" s="369">
        <v>88</v>
      </c>
      <c r="JP34" s="305" t="s">
        <v>138</v>
      </c>
      <c r="JQ34" s="338" t="s">
        <v>165</v>
      </c>
      <c r="JR34" s="67" t="s">
        <v>166</v>
      </c>
      <c r="JS34" s="159" t="s">
        <v>7</v>
      </c>
      <c r="JT34" s="246" t="s">
        <v>43</v>
      </c>
      <c r="JU34" s="205" t="s">
        <v>3</v>
      </c>
      <c r="JV34" s="198" t="s">
        <v>14</v>
      </c>
      <c r="JW34" s="149" t="s">
        <v>43</v>
      </c>
      <c r="JX34" s="182" t="s">
        <v>2</v>
      </c>
      <c r="JY34" s="155" t="s">
        <v>10</v>
      </c>
      <c r="JZ34" s="159" t="s">
        <v>8</v>
      </c>
      <c r="KA34" s="126" t="s">
        <v>184</v>
      </c>
      <c r="KB34" s="129" t="s">
        <v>43</v>
      </c>
      <c r="KC34" s="172" t="s">
        <v>10</v>
      </c>
      <c r="KD34" s="163" t="s">
        <v>20</v>
      </c>
      <c r="KE34" s="159" t="s">
        <v>6</v>
      </c>
      <c r="KF34" s="198" t="s">
        <v>5</v>
      </c>
      <c r="KG34" s="125" t="s">
        <v>4</v>
      </c>
      <c r="KH34" s="226" t="s">
        <v>191</v>
      </c>
      <c r="KI34" s="230" t="s">
        <v>7</v>
      </c>
      <c r="KJ34" s="246" t="s">
        <v>43</v>
      </c>
      <c r="KK34" s="246" t="s">
        <v>43</v>
      </c>
      <c r="KL34" s="246" t="s">
        <v>43</v>
      </c>
      <c r="KM34" s="246" t="s">
        <v>43</v>
      </c>
      <c r="KN34" s="246" t="s">
        <v>43</v>
      </c>
      <c r="KO34" s="246" t="s">
        <v>43</v>
      </c>
      <c r="KP34" s="322">
        <f t="shared" si="63"/>
        <v>213.05960366040017</v>
      </c>
      <c r="KR34" s="329" t="s">
        <v>138</v>
      </c>
      <c r="KS34" s="159" t="s">
        <v>10</v>
      </c>
      <c r="KT34" s="170" t="s">
        <v>9</v>
      </c>
      <c r="KU34" s="221" t="s">
        <v>20</v>
      </c>
      <c r="KV34" s="117" t="s">
        <v>14</v>
      </c>
      <c r="KW34" s="124" t="s">
        <v>194</v>
      </c>
      <c r="KX34" s="240" t="s">
        <v>6</v>
      </c>
      <c r="KY34" s="240" t="s">
        <v>15</v>
      </c>
      <c r="KZ34" s="240" t="s">
        <v>6</v>
      </c>
      <c r="LA34" s="155" t="s">
        <v>10</v>
      </c>
      <c r="LB34" s="166" t="s">
        <v>9</v>
      </c>
      <c r="LC34" s="117" t="s">
        <v>5</v>
      </c>
      <c r="LD34" s="159" t="s">
        <v>9</v>
      </c>
      <c r="LE34" s="155" t="s">
        <v>7</v>
      </c>
      <c r="LF34" s="166" t="s">
        <v>15</v>
      </c>
      <c r="LG34" s="123" t="s">
        <v>229</v>
      </c>
      <c r="LH34" s="358">
        <v>21</v>
      </c>
      <c r="LW34" s="369">
        <v>88</v>
      </c>
      <c r="LX34" s="317" t="s">
        <v>138</v>
      </c>
      <c r="LY34" s="381" t="s">
        <v>165</v>
      </c>
      <c r="LZ34" s="306">
        <f t="shared" si="64"/>
        <v>20</v>
      </c>
      <c r="MA34" s="306">
        <f t="shared" si="65"/>
        <v>13</v>
      </c>
      <c r="MB34" s="306">
        <f t="shared" si="66"/>
        <v>16</v>
      </c>
      <c r="MC34" s="306">
        <f t="shared" si="67"/>
        <v>2</v>
      </c>
      <c r="MD34" s="306">
        <f t="shared" si="68"/>
        <v>13</v>
      </c>
      <c r="ME34" s="306">
        <f t="shared" si="69"/>
        <v>7</v>
      </c>
      <c r="MF34" s="306">
        <f t="shared" si="70"/>
        <v>11</v>
      </c>
      <c r="MG34" s="306">
        <f t="shared" si="71"/>
        <v>23</v>
      </c>
      <c r="MH34" s="306">
        <f t="shared" si="72"/>
        <v>12</v>
      </c>
      <c r="MI34" s="306">
        <f t="shared" si="73"/>
        <v>12</v>
      </c>
      <c r="MJ34" s="306">
        <f t="shared" si="74"/>
        <v>9</v>
      </c>
      <c r="MK34" s="306">
        <f t="shared" si="75"/>
        <v>21</v>
      </c>
      <c r="ML34" s="306">
        <f t="shared" si="76"/>
        <v>12</v>
      </c>
      <c r="MM34" s="306">
        <f t="shared" si="77"/>
        <v>2</v>
      </c>
      <c r="MN34" s="306">
        <f t="shared" si="78"/>
        <v>18</v>
      </c>
      <c r="MO34" s="306">
        <f t="shared" si="79"/>
        <v>11</v>
      </c>
      <c r="MP34" s="306">
        <f t="shared" si="80"/>
        <v>7</v>
      </c>
      <c r="MQ34" s="306">
        <f t="shared" si="81"/>
        <v>9</v>
      </c>
      <c r="MR34" s="306">
        <f t="shared" si="82"/>
        <v>22</v>
      </c>
      <c r="MS34" s="306">
        <f t="shared" si="83"/>
        <v>1</v>
      </c>
      <c r="MT34" s="306">
        <f t="shared" si="84"/>
        <v>1</v>
      </c>
      <c r="MU34" s="306">
        <f t="shared" si="85"/>
        <v>1</v>
      </c>
      <c r="MV34" s="306">
        <f t="shared" si="86"/>
        <v>5</v>
      </c>
      <c r="MY34" s="306">
        <f t="shared" si="87"/>
        <v>25</v>
      </c>
      <c r="MZ34" s="306">
        <f t="shared" si="88"/>
        <v>29</v>
      </c>
      <c r="NA34" s="306">
        <f t="shared" si="89"/>
        <v>28</v>
      </c>
      <c r="NB34" s="306">
        <f t="shared" si="90"/>
        <v>13</v>
      </c>
      <c r="NC34" s="306">
        <f t="shared" si="91"/>
        <v>14</v>
      </c>
      <c r="ND34" s="306">
        <f t="shared" si="92"/>
        <v>28</v>
      </c>
      <c r="NE34" s="306">
        <f t="shared" si="93"/>
        <v>29</v>
      </c>
      <c r="NF34" s="306">
        <f t="shared" si="94"/>
        <v>29</v>
      </c>
      <c r="NG34" s="306">
        <f t="shared" si="95"/>
        <v>17</v>
      </c>
      <c r="NH34" s="306">
        <f t="shared" si="96"/>
        <v>26</v>
      </c>
      <c r="NI34" s="306">
        <f t="shared" si="97"/>
        <v>13</v>
      </c>
      <c r="NJ34" s="306">
        <f t="shared" si="98"/>
        <v>14</v>
      </c>
      <c r="NK34" s="306">
        <f t="shared" si="99"/>
        <v>16</v>
      </c>
      <c r="NL34" s="306">
        <f t="shared" si="100"/>
        <v>26</v>
      </c>
      <c r="NM34" s="306">
        <f t="shared" si="100"/>
        <v>10</v>
      </c>
      <c r="NN34" s="306">
        <f t="shared" si="101"/>
        <v>0</v>
      </c>
      <c r="NO34" s="306">
        <f t="shared" si="102"/>
        <v>0</v>
      </c>
      <c r="NU34" s="381" t="s">
        <v>165</v>
      </c>
      <c r="NV34" s="357"/>
      <c r="NX34" s="246" t="s">
        <v>7</v>
      </c>
      <c r="NY34" s="246" t="s">
        <v>43</v>
      </c>
      <c r="NZ34" s="246" t="s">
        <v>3</v>
      </c>
      <c r="OA34" s="246" t="s">
        <v>14</v>
      </c>
      <c r="OB34" s="149" t="s">
        <v>43</v>
      </c>
      <c r="OC34" s="246" t="s">
        <v>2</v>
      </c>
      <c r="OD34" s="246" t="s">
        <v>10</v>
      </c>
      <c r="OE34" s="246" t="s">
        <v>8</v>
      </c>
      <c r="OF34" s="371" t="s">
        <v>184</v>
      </c>
      <c r="OG34" s="129" t="s">
        <v>43</v>
      </c>
      <c r="OH34" s="246" t="s">
        <v>10</v>
      </c>
      <c r="OI34" s="246" t="s">
        <v>20</v>
      </c>
      <c r="OJ34" s="166" t="s">
        <v>6</v>
      </c>
      <c r="OK34" s="166" t="s">
        <v>5</v>
      </c>
      <c r="OL34" s="246" t="s">
        <v>4</v>
      </c>
      <c r="OM34" s="372" t="s">
        <v>191</v>
      </c>
      <c r="ON34" s="246" t="s">
        <v>7</v>
      </c>
      <c r="OO34" s="246" t="s">
        <v>43</v>
      </c>
      <c r="OP34" s="246" t="s">
        <v>43</v>
      </c>
      <c r="OQ34" s="246" t="s">
        <v>43</v>
      </c>
      <c r="OR34" s="246" t="s">
        <v>43</v>
      </c>
      <c r="OS34" s="246" t="s">
        <v>43</v>
      </c>
      <c r="OT34" s="246" t="s">
        <v>43</v>
      </c>
      <c r="OV34" s="375" t="s">
        <v>138</v>
      </c>
      <c r="OW34" s="246" t="s">
        <v>10</v>
      </c>
      <c r="OX34" s="246" t="s">
        <v>9</v>
      </c>
      <c r="OY34" s="240" t="s">
        <v>20</v>
      </c>
      <c r="OZ34" s="240" t="s">
        <v>14</v>
      </c>
      <c r="PA34" s="225" t="s">
        <v>194</v>
      </c>
      <c r="PB34" s="246" t="s">
        <v>6</v>
      </c>
      <c r="PC34" s="246" t="s">
        <v>15</v>
      </c>
      <c r="PD34" s="246" t="s">
        <v>6</v>
      </c>
      <c r="PE34" s="246" t="s">
        <v>10</v>
      </c>
      <c r="PF34" s="246" t="s">
        <v>9</v>
      </c>
      <c r="PG34" s="246" t="s">
        <v>5</v>
      </c>
      <c r="PH34" s="246" t="s">
        <v>9</v>
      </c>
      <c r="PI34" s="246" t="s">
        <v>7</v>
      </c>
      <c r="PJ34" s="246" t="s">
        <v>15</v>
      </c>
      <c r="PK34" s="376" t="s">
        <v>229</v>
      </c>
      <c r="PM34"/>
      <c r="PN34"/>
      <c r="PO34"/>
      <c r="PP34"/>
      <c r="PQ34"/>
      <c r="PR34"/>
      <c r="PS34"/>
      <c r="PT34"/>
      <c r="QN34" s="357"/>
      <c r="QO34" s="66" t="s">
        <v>113</v>
      </c>
      <c r="QP34" s="204" t="s">
        <v>195</v>
      </c>
      <c r="QQ34" s="166" t="s">
        <v>20</v>
      </c>
      <c r="QR34" s="198" t="s">
        <v>2</v>
      </c>
      <c r="QS34" s="333" t="s">
        <v>204</v>
      </c>
      <c r="QT34" s="159" t="s">
        <v>1</v>
      </c>
      <c r="QU34" s="159" t="s">
        <v>15</v>
      </c>
      <c r="QV34" s="159" t="s">
        <v>1</v>
      </c>
      <c r="QW34" s="131" t="s">
        <v>22</v>
      </c>
      <c r="QX34" s="216" t="s">
        <v>198</v>
      </c>
      <c r="QY34" s="246" t="s">
        <v>8</v>
      </c>
      <c r="QZ34" s="166" t="s">
        <v>11</v>
      </c>
      <c r="RA34" s="221" t="s">
        <v>2</v>
      </c>
      <c r="RB34" s="239" t="s">
        <v>210</v>
      </c>
      <c r="RC34" s="182" t="s">
        <v>8</v>
      </c>
      <c r="RD34" s="199" t="s">
        <v>2</v>
      </c>
      <c r="RE34" s="131" t="s">
        <v>2</v>
      </c>
      <c r="RF34" s="159" t="s">
        <v>7</v>
      </c>
      <c r="RG34" s="159" t="s">
        <v>8</v>
      </c>
      <c r="RH34" s="246" t="s">
        <v>43</v>
      </c>
      <c r="RI34" s="246" t="s">
        <v>43</v>
      </c>
      <c r="RJ34" s="221" t="s">
        <v>1</v>
      </c>
      <c r="RK34" s="182" t="s">
        <v>2</v>
      </c>
      <c r="RL34" s="141" t="s">
        <v>12</v>
      </c>
      <c r="RM34" s="140" t="s">
        <v>203</v>
      </c>
      <c r="RN34" s="339" t="s">
        <v>212</v>
      </c>
      <c r="RO34" s="124" t="s">
        <v>201</v>
      </c>
      <c r="RP34" s="246" t="s">
        <v>43</v>
      </c>
      <c r="RQ34" s="166" t="s">
        <v>185</v>
      </c>
      <c r="RR34" s="246" t="s">
        <v>43</v>
      </c>
      <c r="RS34" s="159" t="s">
        <v>10</v>
      </c>
      <c r="RT34" s="235" t="s">
        <v>21</v>
      </c>
      <c r="RU34" s="246" t="s">
        <v>43</v>
      </c>
      <c r="RV34" s="182" t="s">
        <v>7</v>
      </c>
      <c r="RW34" s="240" t="s">
        <v>3</v>
      </c>
      <c r="RX34" s="334" t="s">
        <v>209</v>
      </c>
      <c r="RY34" s="158" t="s">
        <v>22</v>
      </c>
      <c r="RZ34" s="159" t="s">
        <v>185</v>
      </c>
      <c r="SA34" s="246" t="s">
        <v>43</v>
      </c>
      <c r="SB34" s="221" t="s">
        <v>1</v>
      </c>
      <c r="SC34" s="176" t="s">
        <v>1</v>
      </c>
      <c r="SD34" s="166" t="s">
        <v>15</v>
      </c>
      <c r="SE34" s="211" t="s">
        <v>22</v>
      </c>
      <c r="SF34" s="176" t="s">
        <v>7</v>
      </c>
      <c r="SG34" s="246" t="s">
        <v>43</v>
      </c>
      <c r="SH34" s="254" t="s">
        <v>15</v>
      </c>
      <c r="SI34" s="131" t="s">
        <v>5</v>
      </c>
      <c r="SJ34" s="221" t="s">
        <v>261</v>
      </c>
      <c r="SK34" s="322">
        <f t="shared" si="103"/>
        <v>1522.410755621182</v>
      </c>
      <c r="SM34" s="362">
        <v>21</v>
      </c>
      <c r="SO34"/>
      <c r="SP34"/>
      <c r="TP34" s="357"/>
      <c r="TQ34" s="66" t="s">
        <v>113</v>
      </c>
      <c r="TR34" s="306">
        <f t="shared" si="104"/>
        <v>31</v>
      </c>
      <c r="TS34" s="306">
        <f t="shared" si="105"/>
        <v>23</v>
      </c>
      <c r="TT34" s="306">
        <f t="shared" si="106"/>
        <v>12</v>
      </c>
      <c r="TU34" s="306">
        <f t="shared" si="107"/>
        <v>9</v>
      </c>
      <c r="TV34" s="306">
        <f t="shared" si="108"/>
        <v>12</v>
      </c>
      <c r="TW34" s="306">
        <f t="shared" si="109"/>
        <v>12</v>
      </c>
      <c r="TX34" s="306">
        <f t="shared" si="110"/>
        <v>12</v>
      </c>
      <c r="TY34" s="306">
        <f t="shared" si="111"/>
        <v>33</v>
      </c>
      <c r="TZ34" s="306">
        <f t="shared" si="112"/>
        <v>33</v>
      </c>
      <c r="UA34" s="306">
        <f t="shared" si="113"/>
        <v>24</v>
      </c>
      <c r="UB34" s="306">
        <f t="shared" si="114"/>
        <v>19</v>
      </c>
      <c r="UC34" s="306">
        <f t="shared" si="115"/>
        <v>23</v>
      </c>
      <c r="UD34" s="306">
        <f t="shared" si="116"/>
        <v>9</v>
      </c>
      <c r="UE34" s="306">
        <f t="shared" si="117"/>
        <v>26</v>
      </c>
      <c r="UF34" s="306">
        <f t="shared" si="118"/>
        <v>24</v>
      </c>
      <c r="UG34" s="306">
        <f t="shared" si="119"/>
        <v>13</v>
      </c>
      <c r="UH34" s="306">
        <f t="shared" si="120"/>
        <v>28</v>
      </c>
      <c r="UI34" s="306">
        <f t="shared" si="121"/>
        <v>32</v>
      </c>
      <c r="UJ34" s="306">
        <f t="shared" si="122"/>
        <v>26</v>
      </c>
      <c r="UK34" s="306">
        <f t="shared" si="123"/>
        <v>31</v>
      </c>
      <c r="UL34" s="306">
        <f t="shared" si="124"/>
        <v>3</v>
      </c>
      <c r="UM34" s="306">
        <f t="shared" si="125"/>
        <v>28</v>
      </c>
      <c r="UN34" s="306">
        <f t="shared" si="126"/>
        <v>10</v>
      </c>
      <c r="UO34" s="306">
        <f t="shared" si="127"/>
        <v>13</v>
      </c>
      <c r="UP34" s="306">
        <f t="shared" si="128"/>
        <v>12</v>
      </c>
      <c r="UQ34" s="306">
        <f t="shared" si="129"/>
        <v>30</v>
      </c>
      <c r="UR34" s="306">
        <f t="shared" si="130"/>
        <v>13</v>
      </c>
      <c r="US34" s="306">
        <f t="shared" si="131"/>
        <v>7</v>
      </c>
      <c r="UT34" s="306">
        <f t="shared" si="132"/>
        <v>30</v>
      </c>
      <c r="UU34" s="306">
        <f t="shared" si="133"/>
        <v>22</v>
      </c>
      <c r="UV34" s="306">
        <f t="shared" si="134"/>
        <v>31</v>
      </c>
      <c r="UW34" s="306">
        <f t="shared" si="135"/>
        <v>33</v>
      </c>
      <c r="UX34" s="306">
        <f t="shared" si="136"/>
        <v>32</v>
      </c>
      <c r="UY34" s="306">
        <f t="shared" si="137"/>
        <v>19</v>
      </c>
      <c r="UZ34" s="306">
        <f t="shared" si="138"/>
        <v>12</v>
      </c>
      <c r="VA34" s="306">
        <f t="shared" si="139"/>
        <v>18</v>
      </c>
      <c r="VB34" s="306">
        <f t="shared" si="140"/>
        <v>25</v>
      </c>
      <c r="VC34" s="306">
        <f t="shared" si="141"/>
        <v>18</v>
      </c>
      <c r="VD34" s="306">
        <f t="shared" si="142"/>
        <v>23</v>
      </c>
      <c r="VE34" s="306">
        <f t="shared" si="143"/>
        <v>26</v>
      </c>
      <c r="VF34" s="306">
        <f t="shared" si="144"/>
        <v>19</v>
      </c>
      <c r="VG34" s="306">
        <f t="shared" si="145"/>
        <v>13</v>
      </c>
      <c r="VH34" s="306">
        <f t="shared" si="146"/>
        <v>29</v>
      </c>
      <c r="VI34" s="306">
        <f t="shared" si="147"/>
        <v>28</v>
      </c>
      <c r="VJ34" s="306">
        <f t="shared" si="148"/>
        <v>30</v>
      </c>
      <c r="VK34" s="306">
        <f t="shared" si="149"/>
        <v>32</v>
      </c>
      <c r="VL34" s="306">
        <f t="shared" si="150"/>
        <v>25</v>
      </c>
      <c r="VN34" s="306">
        <f t="shared" si="151"/>
        <v>0</v>
      </c>
      <c r="WR34" s="357"/>
      <c r="WS34" s="66" t="s">
        <v>113</v>
      </c>
      <c r="WT34" s="225" t="s">
        <v>195</v>
      </c>
      <c r="WU34" s="246" t="s">
        <v>20</v>
      </c>
      <c r="WV34" s="246" t="s">
        <v>2</v>
      </c>
      <c r="WW34" s="335" t="s">
        <v>204</v>
      </c>
      <c r="WX34" s="246" t="s">
        <v>1</v>
      </c>
      <c r="WY34" s="246" t="s">
        <v>15</v>
      </c>
      <c r="WZ34" s="246" t="s">
        <v>1</v>
      </c>
      <c r="XA34" s="246" t="s">
        <v>22</v>
      </c>
      <c r="XB34" s="225" t="s">
        <v>198</v>
      </c>
      <c r="XC34" s="240" t="s">
        <v>8</v>
      </c>
      <c r="XD34" s="240" t="s">
        <v>11</v>
      </c>
      <c r="XE34" s="240" t="s">
        <v>2</v>
      </c>
      <c r="XF34" s="225" t="s">
        <v>210</v>
      </c>
      <c r="XG34" s="163" t="s">
        <v>8</v>
      </c>
      <c r="XH34" s="163" t="s">
        <v>2</v>
      </c>
      <c r="XI34" s="166" t="s">
        <v>2</v>
      </c>
      <c r="XJ34" s="166" t="s">
        <v>7</v>
      </c>
      <c r="XK34" s="166" t="s">
        <v>8</v>
      </c>
      <c r="XL34" s="246" t="s">
        <v>43</v>
      </c>
      <c r="XM34" s="246" t="s">
        <v>43</v>
      </c>
      <c r="XN34" s="240" t="s">
        <v>1</v>
      </c>
      <c r="XO34" s="240" t="s">
        <v>2</v>
      </c>
      <c r="XP34" s="246" t="s">
        <v>12</v>
      </c>
      <c r="XQ34" s="242" t="s">
        <v>203</v>
      </c>
      <c r="XR34" s="339" t="s">
        <v>212</v>
      </c>
      <c r="XS34" s="225" t="s">
        <v>201</v>
      </c>
      <c r="XT34" s="246" t="s">
        <v>43</v>
      </c>
      <c r="XU34" s="246" t="s">
        <v>185</v>
      </c>
      <c r="XV34" s="246" t="s">
        <v>43</v>
      </c>
      <c r="XW34" s="159" t="s">
        <v>10</v>
      </c>
      <c r="XX34" s="225" t="s">
        <v>21</v>
      </c>
      <c r="XY34" s="246" t="s">
        <v>43</v>
      </c>
      <c r="XZ34" s="240" t="s">
        <v>7</v>
      </c>
      <c r="YA34" s="240" t="s">
        <v>3</v>
      </c>
      <c r="YB34" s="327" t="s">
        <v>209</v>
      </c>
      <c r="YC34" s="246" t="s">
        <v>22</v>
      </c>
      <c r="YD34" s="246" t="s">
        <v>185</v>
      </c>
      <c r="YE34" s="246" t="s">
        <v>43</v>
      </c>
      <c r="YF34" s="246" t="s">
        <v>1</v>
      </c>
      <c r="YG34" s="246" t="s">
        <v>1</v>
      </c>
      <c r="YH34" s="246" t="s">
        <v>15</v>
      </c>
      <c r="YI34" s="246" t="s">
        <v>22</v>
      </c>
      <c r="YJ34" s="159" t="s">
        <v>7</v>
      </c>
      <c r="YK34" s="159" t="s">
        <v>43</v>
      </c>
      <c r="YL34" s="159" t="s">
        <v>15</v>
      </c>
      <c r="YM34" s="246" t="s">
        <v>5</v>
      </c>
      <c r="YN34" s="246" t="s">
        <v>261</v>
      </c>
      <c r="AFZ34" s="307"/>
    </row>
    <row r="35" spans="1:858" s="306" customFormat="1" ht="20.65" x14ac:dyDescent="0.7">
      <c r="A35" s="70">
        <v>26</v>
      </c>
      <c r="B35" s="305"/>
      <c r="C35" s="45" t="s">
        <v>117</v>
      </c>
      <c r="D35" s="45" t="s">
        <v>115</v>
      </c>
      <c r="E35" s="305"/>
      <c r="F35" s="128">
        <v>1822.0089597917431</v>
      </c>
      <c r="X35" s="355"/>
      <c r="AA35" s="56" t="s">
        <v>54</v>
      </c>
      <c r="AB35" s="305" t="s">
        <v>17</v>
      </c>
      <c r="AC35" s="183" t="s">
        <v>1</v>
      </c>
      <c r="AD35" s="147" t="s">
        <v>2</v>
      </c>
      <c r="AE35" s="210" t="s">
        <v>10</v>
      </c>
      <c r="AF35" s="203" t="s">
        <v>4</v>
      </c>
      <c r="AG35" s="258" t="s">
        <v>5</v>
      </c>
      <c r="AH35" s="210" t="s">
        <v>2</v>
      </c>
      <c r="AI35" s="253" t="s">
        <v>2</v>
      </c>
      <c r="AJ35" s="253" t="s">
        <v>2</v>
      </c>
      <c r="AK35" s="147" t="s">
        <v>10</v>
      </c>
      <c r="AL35" s="157" t="s">
        <v>2</v>
      </c>
      <c r="AM35" s="185" t="s">
        <v>18</v>
      </c>
      <c r="AN35" s="343" t="s">
        <v>246</v>
      </c>
      <c r="AO35" s="229" t="s">
        <v>43</v>
      </c>
      <c r="AP35" s="164" t="s">
        <v>247</v>
      </c>
      <c r="AQ35" s="213" t="s">
        <v>19</v>
      </c>
      <c r="AR35" s="318" t="s">
        <v>43</v>
      </c>
      <c r="AS35" s="146" t="s">
        <v>9</v>
      </c>
      <c r="AT35" s="196" t="s">
        <v>11</v>
      </c>
      <c r="AU35" s="150" t="s">
        <v>20</v>
      </c>
      <c r="AV35" s="147" t="s">
        <v>7</v>
      </c>
      <c r="AW35" s="147" t="s">
        <v>5</v>
      </c>
      <c r="AX35" s="229" t="s">
        <v>43</v>
      </c>
      <c r="AY35" s="229" t="s">
        <v>43</v>
      </c>
      <c r="AZ35" s="146" t="s">
        <v>15</v>
      </c>
      <c r="BA35" s="146" t="s">
        <v>20</v>
      </c>
      <c r="BB35" s="146" t="s">
        <v>6</v>
      </c>
      <c r="BC35" s="168" t="s">
        <v>21</v>
      </c>
      <c r="BD35" s="224" t="s">
        <v>244</v>
      </c>
      <c r="BE35" s="318" t="s">
        <v>43</v>
      </c>
      <c r="BF35" s="318" t="s">
        <v>43</v>
      </c>
      <c r="BG35" s="253" t="s">
        <v>7</v>
      </c>
      <c r="BH35" s="318" t="s">
        <v>43</v>
      </c>
      <c r="BI35" s="183" t="s">
        <v>14</v>
      </c>
      <c r="BJ35" s="183" t="s">
        <v>5</v>
      </c>
      <c r="BK35" s="183" t="s">
        <v>11</v>
      </c>
      <c r="BL35" s="318" t="s">
        <v>43</v>
      </c>
      <c r="BM35" s="150" t="s">
        <v>22</v>
      </c>
      <c r="BN35" s="258" t="s">
        <v>15</v>
      </c>
      <c r="BO35" s="309"/>
      <c r="BP35" s="319">
        <f t="shared" si="59"/>
        <v>22989.552289169143</v>
      </c>
      <c r="BQ35" s="320" t="s">
        <v>68</v>
      </c>
      <c r="BR35" s="193" t="s">
        <v>8</v>
      </c>
      <c r="BS35" s="268" t="s">
        <v>15</v>
      </c>
      <c r="BT35" s="143" t="s">
        <v>14</v>
      </c>
      <c r="BU35" s="171" t="s">
        <v>253</v>
      </c>
      <c r="BV35" s="229" t="s">
        <v>43</v>
      </c>
      <c r="BW35" s="161" t="s">
        <v>46</v>
      </c>
      <c r="BX35" s="227" t="s">
        <v>43</v>
      </c>
      <c r="BY35" s="227" t="s">
        <v>43</v>
      </c>
      <c r="BZ35" s="227" t="s">
        <v>43</v>
      </c>
      <c r="CA35" s="161" t="s">
        <v>5</v>
      </c>
      <c r="CB35" s="177" t="s">
        <v>8</v>
      </c>
      <c r="CC35" s="208" t="s">
        <v>15</v>
      </c>
      <c r="CD35" s="143" t="s">
        <v>45</v>
      </c>
      <c r="CE35" s="193" t="s">
        <v>6</v>
      </c>
      <c r="CF35" s="208" t="s">
        <v>22</v>
      </c>
      <c r="CG35" s="193" t="s">
        <v>10</v>
      </c>
      <c r="CH35" s="193" t="s">
        <v>20</v>
      </c>
      <c r="CI35" s="193" t="s">
        <v>10</v>
      </c>
      <c r="CJ35" s="70">
        <v>60</v>
      </c>
      <c r="DG35" s="357"/>
      <c r="DI35" s="56" t="s">
        <v>54</v>
      </c>
      <c r="DJ35" s="305" t="s">
        <v>17</v>
      </c>
      <c r="DK35" s="363">
        <f t="shared" si="0"/>
        <v>7</v>
      </c>
      <c r="DL35" s="363">
        <f t="shared" si="1"/>
        <v>5</v>
      </c>
      <c r="DM35" s="363">
        <f t="shared" si="2"/>
        <v>0</v>
      </c>
      <c r="DN35" s="363">
        <f t="shared" si="3"/>
        <v>5</v>
      </c>
      <c r="DO35" s="363">
        <f t="shared" si="4"/>
        <v>7</v>
      </c>
      <c r="DP35" s="363">
        <f t="shared" si="5"/>
        <v>0</v>
      </c>
      <c r="DQ35" s="363">
        <f t="shared" si="6"/>
        <v>3</v>
      </c>
      <c r="DR35" s="363">
        <f t="shared" si="7"/>
        <v>7</v>
      </c>
      <c r="DS35" s="363">
        <f t="shared" si="8"/>
        <v>5</v>
      </c>
      <c r="DT35" s="363">
        <f t="shared" si="9"/>
        <v>5</v>
      </c>
      <c r="DU35" s="363">
        <f t="shared" si="10"/>
        <v>0</v>
      </c>
      <c r="DV35" s="363">
        <f t="shared" si="11"/>
        <v>7</v>
      </c>
      <c r="DW35" s="363">
        <f t="shared" si="12"/>
        <v>0</v>
      </c>
      <c r="DX35" s="363">
        <f t="shared" si="13"/>
        <v>0</v>
      </c>
      <c r="DY35" s="363">
        <f t="shared" si="14"/>
        <v>0</v>
      </c>
      <c r="DZ35" s="363">
        <f t="shared" si="15"/>
        <v>4</v>
      </c>
      <c r="EA35" s="363">
        <f t="shared" si="16"/>
        <v>7</v>
      </c>
      <c r="EB35" s="363">
        <f t="shared" si="17"/>
        <v>3</v>
      </c>
      <c r="EC35" s="363">
        <f t="shared" si="18"/>
        <v>7</v>
      </c>
      <c r="ED35" s="363">
        <f t="shared" si="19"/>
        <v>7</v>
      </c>
      <c r="EE35" s="363">
        <f t="shared" si="20"/>
        <v>2</v>
      </c>
      <c r="EF35" s="363">
        <f t="shared" si="21"/>
        <v>5</v>
      </c>
      <c r="EG35" s="363">
        <f t="shared" si="22"/>
        <v>5</v>
      </c>
      <c r="EH35" s="363">
        <f t="shared" si="23"/>
        <v>5</v>
      </c>
      <c r="EI35" s="363">
        <f t="shared" si="24"/>
        <v>5</v>
      </c>
      <c r="EJ35" s="363">
        <f t="shared" si="25"/>
        <v>5</v>
      </c>
      <c r="EK35" s="363">
        <f t="shared" si="26"/>
        <v>5</v>
      </c>
      <c r="EL35" s="363">
        <f t="shared" si="27"/>
        <v>0</v>
      </c>
      <c r="EM35" s="363">
        <f t="shared" si="28"/>
        <v>0</v>
      </c>
      <c r="EN35" s="363">
        <f t="shared" si="29"/>
        <v>3</v>
      </c>
      <c r="EO35" s="363">
        <f t="shared" si="30"/>
        <v>5</v>
      </c>
      <c r="EP35" s="363">
        <f t="shared" si="31"/>
        <v>2</v>
      </c>
      <c r="EQ35" s="363">
        <f t="shared" si="32"/>
        <v>6</v>
      </c>
      <c r="ER35" s="363">
        <f t="shared" si="33"/>
        <v>5</v>
      </c>
      <c r="ES35" s="363">
        <f t="shared" si="34"/>
        <v>7</v>
      </c>
      <c r="ET35" s="363">
        <f t="shared" si="35"/>
        <v>0</v>
      </c>
      <c r="EU35" s="363">
        <f t="shared" si="36"/>
        <v>0</v>
      </c>
      <c r="EV35" s="363">
        <f t="shared" si="37"/>
        <v>7</v>
      </c>
      <c r="EW35" s="320" t="s">
        <v>68</v>
      </c>
      <c r="EX35" s="363">
        <f t="shared" si="38"/>
        <v>1</v>
      </c>
      <c r="EY35" s="363">
        <f t="shared" si="39"/>
        <v>7</v>
      </c>
      <c r="EZ35" s="363">
        <f t="shared" si="40"/>
        <v>5</v>
      </c>
      <c r="FA35" s="363">
        <f t="shared" si="41"/>
        <v>0</v>
      </c>
      <c r="FB35" s="363">
        <f t="shared" si="42"/>
        <v>0</v>
      </c>
      <c r="FC35" s="363">
        <f t="shared" si="43"/>
        <v>0</v>
      </c>
      <c r="FD35" s="363">
        <f t="shared" si="44"/>
        <v>7</v>
      </c>
      <c r="FE35" s="363">
        <f t="shared" si="45"/>
        <v>7</v>
      </c>
      <c r="FF35" s="363">
        <f t="shared" si="46"/>
        <v>0</v>
      </c>
      <c r="FG35" s="363">
        <f t="shared" si="47"/>
        <v>0</v>
      </c>
      <c r="FH35" s="363">
        <f t="shared" si="48"/>
        <v>7</v>
      </c>
      <c r="FI35" s="363">
        <f t="shared" si="49"/>
        <v>0</v>
      </c>
      <c r="FJ35" s="363">
        <f t="shared" si="50"/>
        <v>7</v>
      </c>
      <c r="FK35" s="363">
        <f t="shared" si="51"/>
        <v>0</v>
      </c>
      <c r="FL35" s="363">
        <f t="shared" si="52"/>
        <v>1</v>
      </c>
      <c r="FM35" s="363">
        <f t="shared" si="53"/>
        <v>7</v>
      </c>
      <c r="FN35" s="363">
        <f t="shared" si="54"/>
        <v>0</v>
      </c>
      <c r="FO35" s="363">
        <f t="shared" si="55"/>
        <v>7</v>
      </c>
      <c r="FP35" s="363">
        <f t="shared" si="60"/>
        <v>10</v>
      </c>
      <c r="FQ35" s="363">
        <f t="shared" si="61"/>
        <v>8</v>
      </c>
      <c r="FR35" s="309">
        <f t="shared" si="62"/>
        <v>18</v>
      </c>
      <c r="GM35" s="357"/>
      <c r="GO35" s="56" t="s">
        <v>54</v>
      </c>
      <c r="GP35" s="305" t="s">
        <v>17</v>
      </c>
      <c r="GQ35" s="244" t="s">
        <v>1</v>
      </c>
      <c r="GR35" s="244" t="s">
        <v>2</v>
      </c>
      <c r="GS35" s="244" t="s">
        <v>10</v>
      </c>
      <c r="GT35" s="244" t="s">
        <v>4</v>
      </c>
      <c r="GU35" s="244" t="s">
        <v>5</v>
      </c>
      <c r="GV35" s="244" t="s">
        <v>2</v>
      </c>
      <c r="GW35" s="244" t="s">
        <v>2</v>
      </c>
      <c r="GX35" s="244" t="s">
        <v>2</v>
      </c>
      <c r="GY35" s="244" t="s">
        <v>10</v>
      </c>
      <c r="GZ35" s="223" t="s">
        <v>2</v>
      </c>
      <c r="HA35" s="366" t="s">
        <v>18</v>
      </c>
      <c r="HB35" s="387" t="s">
        <v>323</v>
      </c>
      <c r="HC35" s="244" t="s">
        <v>43</v>
      </c>
      <c r="HD35" s="384" t="s">
        <v>324</v>
      </c>
      <c r="HE35" s="384" t="s">
        <v>19</v>
      </c>
      <c r="HF35" s="318" t="s">
        <v>43</v>
      </c>
      <c r="HG35" s="244" t="s">
        <v>9</v>
      </c>
      <c r="HH35" s="244" t="s">
        <v>11</v>
      </c>
      <c r="HI35" s="244" t="s">
        <v>20</v>
      </c>
      <c r="HJ35" s="244" t="s">
        <v>7</v>
      </c>
      <c r="HK35" s="244" t="s">
        <v>5</v>
      </c>
      <c r="HL35" s="244" t="s">
        <v>43</v>
      </c>
      <c r="HM35" s="244" t="s">
        <v>43</v>
      </c>
      <c r="HN35" s="244" t="s">
        <v>15</v>
      </c>
      <c r="HO35" s="244" t="s">
        <v>20</v>
      </c>
      <c r="HP35" s="244" t="s">
        <v>6</v>
      </c>
      <c r="HQ35" s="366" t="s">
        <v>21</v>
      </c>
      <c r="HR35" s="366" t="s">
        <v>318</v>
      </c>
      <c r="HS35" s="318" t="s">
        <v>43</v>
      </c>
      <c r="HT35" s="318" t="s">
        <v>43</v>
      </c>
      <c r="HU35" s="244" t="s">
        <v>7</v>
      </c>
      <c r="HV35" s="318" t="s">
        <v>43</v>
      </c>
      <c r="HW35" s="244" t="s">
        <v>14</v>
      </c>
      <c r="HX35" s="244" t="s">
        <v>5</v>
      </c>
      <c r="HY35" s="244" t="s">
        <v>11</v>
      </c>
      <c r="HZ35" s="318" t="s">
        <v>43</v>
      </c>
      <c r="IA35" s="244" t="s">
        <v>22</v>
      </c>
      <c r="IB35" s="244" t="s">
        <v>15</v>
      </c>
      <c r="IC35" s="320" t="s">
        <v>68</v>
      </c>
      <c r="ID35" s="173" t="s">
        <v>8</v>
      </c>
      <c r="IE35" s="173" t="s">
        <v>15</v>
      </c>
      <c r="IF35" s="173" t="s">
        <v>14</v>
      </c>
      <c r="IG35" s="368" t="s">
        <v>321</v>
      </c>
      <c r="IH35" s="244" t="s">
        <v>43</v>
      </c>
      <c r="II35" s="173" t="s">
        <v>46</v>
      </c>
      <c r="IJ35" s="173" t="s">
        <v>43</v>
      </c>
      <c r="IK35" s="173" t="s">
        <v>43</v>
      </c>
      <c r="IL35" s="173" t="s">
        <v>43</v>
      </c>
      <c r="IM35" s="173" t="s">
        <v>5</v>
      </c>
      <c r="IN35" s="173" t="s">
        <v>8</v>
      </c>
      <c r="IO35" s="173" t="s">
        <v>15</v>
      </c>
      <c r="IP35" s="173" t="s">
        <v>45</v>
      </c>
      <c r="IQ35" s="173" t="s">
        <v>6</v>
      </c>
      <c r="IR35" s="173" t="s">
        <v>22</v>
      </c>
      <c r="IS35" s="173" t="s">
        <v>10</v>
      </c>
      <c r="IT35" s="173" t="s">
        <v>20</v>
      </c>
      <c r="IU35" s="173" t="s">
        <v>10</v>
      </c>
      <c r="JN35" s="357"/>
      <c r="JO35" s="369">
        <v>89</v>
      </c>
      <c r="JP35" s="305" t="s">
        <v>138</v>
      </c>
      <c r="JQ35" s="332" t="s">
        <v>167</v>
      </c>
      <c r="JR35" s="67" t="s">
        <v>168</v>
      </c>
      <c r="JS35" s="159" t="s">
        <v>7</v>
      </c>
      <c r="JT35" s="108" t="s">
        <v>22</v>
      </c>
      <c r="JU35" s="109" t="s">
        <v>6</v>
      </c>
      <c r="JV35" s="155" t="s">
        <v>20</v>
      </c>
      <c r="JW35" s="112" t="s">
        <v>188</v>
      </c>
      <c r="JX35" s="254" t="s">
        <v>8</v>
      </c>
      <c r="JY35" s="221" t="s">
        <v>7</v>
      </c>
      <c r="JZ35" s="159" t="s">
        <v>8</v>
      </c>
      <c r="KA35" s="111" t="s">
        <v>189</v>
      </c>
      <c r="KB35" s="115" t="s">
        <v>192</v>
      </c>
      <c r="KC35" s="246" t="s">
        <v>43</v>
      </c>
      <c r="KD35" s="246" t="s">
        <v>43</v>
      </c>
      <c r="KE35" s="182" t="s">
        <v>12</v>
      </c>
      <c r="KF35" s="254" t="s">
        <v>20</v>
      </c>
      <c r="KG35" s="125" t="s">
        <v>4</v>
      </c>
      <c r="KH35" s="118" t="s">
        <v>186</v>
      </c>
      <c r="KI35" s="246" t="s">
        <v>43</v>
      </c>
      <c r="KJ35" s="246" t="s">
        <v>43</v>
      </c>
      <c r="KK35" s="254" t="s">
        <v>5</v>
      </c>
      <c r="KL35" s="254" t="s">
        <v>15</v>
      </c>
      <c r="KM35" s="159" t="s">
        <v>14</v>
      </c>
      <c r="KN35" s="159" t="s">
        <v>6</v>
      </c>
      <c r="KO35" s="182" t="s">
        <v>5</v>
      </c>
      <c r="KP35" s="322">
        <f t="shared" si="63"/>
        <v>125.85376063562872</v>
      </c>
      <c r="KR35" s="329" t="s">
        <v>138</v>
      </c>
      <c r="KS35" s="159" t="s">
        <v>10</v>
      </c>
      <c r="KT35" s="170" t="s">
        <v>9</v>
      </c>
      <c r="KU35" s="221" t="s">
        <v>20</v>
      </c>
      <c r="KV35" s="117" t="s">
        <v>14</v>
      </c>
      <c r="KW35" s="124" t="s">
        <v>194</v>
      </c>
      <c r="KX35" s="240" t="s">
        <v>6</v>
      </c>
      <c r="KY35" s="240" t="s">
        <v>15</v>
      </c>
      <c r="KZ35" s="240" t="s">
        <v>6</v>
      </c>
      <c r="LA35" s="155" t="s">
        <v>10</v>
      </c>
      <c r="LB35" s="166" t="s">
        <v>9</v>
      </c>
      <c r="LC35" s="117" t="s">
        <v>5</v>
      </c>
      <c r="LD35" s="159" t="s">
        <v>9</v>
      </c>
      <c r="LE35" s="155" t="s">
        <v>7</v>
      </c>
      <c r="LF35" s="166" t="s">
        <v>15</v>
      </c>
      <c r="LG35" s="123" t="s">
        <v>229</v>
      </c>
      <c r="LH35" s="358">
        <v>22</v>
      </c>
      <c r="LW35" s="369">
        <v>89</v>
      </c>
      <c r="LX35" s="317" t="s">
        <v>138</v>
      </c>
      <c r="LY35" s="379" t="s">
        <v>167</v>
      </c>
      <c r="LZ35" s="306">
        <f t="shared" si="64"/>
        <v>20</v>
      </c>
      <c r="MA35" s="306">
        <f t="shared" si="65"/>
        <v>4</v>
      </c>
      <c r="MB35" s="306">
        <f t="shared" si="66"/>
        <v>14</v>
      </c>
      <c r="MC35" s="306">
        <f t="shared" si="67"/>
        <v>28</v>
      </c>
      <c r="MD35" s="306">
        <f t="shared" si="68"/>
        <v>17</v>
      </c>
      <c r="ME35" s="306">
        <f t="shared" si="69"/>
        <v>21</v>
      </c>
      <c r="MF35" s="306">
        <f t="shared" si="70"/>
        <v>19</v>
      </c>
      <c r="MG35" s="306">
        <f t="shared" si="71"/>
        <v>23</v>
      </c>
      <c r="MH35" s="306">
        <f t="shared" si="72"/>
        <v>18</v>
      </c>
      <c r="MI35" s="306">
        <f t="shared" si="73"/>
        <v>9</v>
      </c>
      <c r="MJ35" s="306">
        <f t="shared" si="74"/>
        <v>18</v>
      </c>
      <c r="MK35" s="306">
        <f t="shared" si="75"/>
        <v>9</v>
      </c>
      <c r="ML35" s="306">
        <f t="shared" si="76"/>
        <v>17</v>
      </c>
      <c r="MM35" s="306">
        <f t="shared" si="77"/>
        <v>10</v>
      </c>
      <c r="MN35" s="306">
        <f t="shared" si="78"/>
        <v>18</v>
      </c>
      <c r="MO35" s="306">
        <f t="shared" si="79"/>
        <v>19</v>
      </c>
      <c r="MP35" s="306">
        <f t="shared" si="80"/>
        <v>19</v>
      </c>
      <c r="MQ35" s="306">
        <f t="shared" si="81"/>
        <v>9</v>
      </c>
      <c r="MR35" s="306">
        <f t="shared" si="82"/>
        <v>8</v>
      </c>
      <c r="MS35" s="306">
        <f t="shared" si="83"/>
        <v>4</v>
      </c>
      <c r="MT35" s="306">
        <f t="shared" si="84"/>
        <v>26</v>
      </c>
      <c r="MU35" s="306">
        <f t="shared" si="85"/>
        <v>28</v>
      </c>
      <c r="MV35" s="306">
        <f t="shared" si="86"/>
        <v>23</v>
      </c>
      <c r="MY35" s="306">
        <f t="shared" si="87"/>
        <v>25</v>
      </c>
      <c r="MZ35" s="306">
        <f t="shared" si="88"/>
        <v>29</v>
      </c>
      <c r="NA35" s="306">
        <f t="shared" si="89"/>
        <v>28</v>
      </c>
      <c r="NB35" s="306">
        <f t="shared" si="90"/>
        <v>13</v>
      </c>
      <c r="NC35" s="306">
        <f t="shared" si="91"/>
        <v>14</v>
      </c>
      <c r="ND35" s="306">
        <f t="shared" si="92"/>
        <v>28</v>
      </c>
      <c r="NE35" s="306">
        <f t="shared" si="93"/>
        <v>29</v>
      </c>
      <c r="NF35" s="306">
        <f t="shared" si="94"/>
        <v>29</v>
      </c>
      <c r="NG35" s="306">
        <f t="shared" si="95"/>
        <v>17</v>
      </c>
      <c r="NH35" s="306">
        <f t="shared" si="96"/>
        <v>26</v>
      </c>
      <c r="NI35" s="306">
        <f t="shared" si="97"/>
        <v>13</v>
      </c>
      <c r="NJ35" s="306">
        <f t="shared" si="98"/>
        <v>14</v>
      </c>
      <c r="NK35" s="306">
        <f t="shared" si="99"/>
        <v>16</v>
      </c>
      <c r="NL35" s="306">
        <f t="shared" si="100"/>
        <v>26</v>
      </c>
      <c r="NM35" s="306">
        <f t="shared" si="100"/>
        <v>10</v>
      </c>
      <c r="NN35" s="306">
        <f t="shared" si="101"/>
        <v>0</v>
      </c>
      <c r="NO35" s="306">
        <f t="shared" si="102"/>
        <v>0</v>
      </c>
      <c r="NU35" s="379" t="s">
        <v>167</v>
      </c>
      <c r="NV35" s="357"/>
      <c r="NX35" s="166" t="s">
        <v>7</v>
      </c>
      <c r="NY35" s="166" t="s">
        <v>22</v>
      </c>
      <c r="NZ35" s="166" t="s">
        <v>6</v>
      </c>
      <c r="OA35" s="246" t="s">
        <v>20</v>
      </c>
      <c r="OB35" s="372" t="s">
        <v>188</v>
      </c>
      <c r="OC35" s="230" t="s">
        <v>8</v>
      </c>
      <c r="OD35" s="230" t="s">
        <v>7</v>
      </c>
      <c r="OE35" s="230" t="s">
        <v>8</v>
      </c>
      <c r="OF35" s="371" t="s">
        <v>189</v>
      </c>
      <c r="OG35" s="372" t="s">
        <v>192</v>
      </c>
      <c r="OH35" s="246" t="s">
        <v>43</v>
      </c>
      <c r="OI35" s="246" t="s">
        <v>43</v>
      </c>
      <c r="OJ35" s="230" t="s">
        <v>12</v>
      </c>
      <c r="OK35" s="230" t="s">
        <v>20</v>
      </c>
      <c r="OL35" s="246" t="s">
        <v>4</v>
      </c>
      <c r="OM35" s="372" t="s">
        <v>186</v>
      </c>
      <c r="ON35" s="246" t="s">
        <v>43</v>
      </c>
      <c r="OO35" s="246" t="s">
        <v>43</v>
      </c>
      <c r="OP35" s="246" t="s">
        <v>5</v>
      </c>
      <c r="OQ35" s="246" t="s">
        <v>15</v>
      </c>
      <c r="OR35" s="159" t="s">
        <v>14</v>
      </c>
      <c r="OS35" s="159" t="s">
        <v>6</v>
      </c>
      <c r="OT35" s="246" t="s">
        <v>5</v>
      </c>
      <c r="OV35" s="375" t="s">
        <v>138</v>
      </c>
      <c r="OW35" s="246" t="s">
        <v>10</v>
      </c>
      <c r="OX35" s="246" t="s">
        <v>9</v>
      </c>
      <c r="OY35" s="240" t="s">
        <v>20</v>
      </c>
      <c r="OZ35" s="240" t="s">
        <v>14</v>
      </c>
      <c r="PA35" s="225" t="s">
        <v>194</v>
      </c>
      <c r="PB35" s="246" t="s">
        <v>6</v>
      </c>
      <c r="PC35" s="246" t="s">
        <v>15</v>
      </c>
      <c r="PD35" s="246" t="s">
        <v>6</v>
      </c>
      <c r="PE35" s="246" t="s">
        <v>10</v>
      </c>
      <c r="PF35" s="246" t="s">
        <v>9</v>
      </c>
      <c r="PG35" s="246" t="s">
        <v>5</v>
      </c>
      <c r="PH35" s="246" t="s">
        <v>9</v>
      </c>
      <c r="PI35" s="246" t="s">
        <v>7</v>
      </c>
      <c r="PJ35" s="246" t="s">
        <v>15</v>
      </c>
      <c r="PK35" s="376" t="s">
        <v>229</v>
      </c>
      <c r="PM35"/>
      <c r="PN35"/>
      <c r="PO35"/>
      <c r="PP35"/>
      <c r="PQ35"/>
      <c r="PR35"/>
      <c r="PS35"/>
      <c r="PT35"/>
      <c r="QN35" s="357"/>
      <c r="QO35" s="66" t="s">
        <v>114</v>
      </c>
      <c r="QP35" s="204" t="s">
        <v>195</v>
      </c>
      <c r="QQ35" s="166" t="s">
        <v>20</v>
      </c>
      <c r="QR35" s="198" t="s">
        <v>2</v>
      </c>
      <c r="QS35" s="333" t="s">
        <v>204</v>
      </c>
      <c r="QT35" s="159" t="s">
        <v>1</v>
      </c>
      <c r="QU35" s="159" t="s">
        <v>15</v>
      </c>
      <c r="QV35" s="159" t="s">
        <v>1</v>
      </c>
      <c r="QW35" s="131" t="s">
        <v>22</v>
      </c>
      <c r="QX35" s="216" t="s">
        <v>198</v>
      </c>
      <c r="QY35" s="246" t="s">
        <v>8</v>
      </c>
      <c r="QZ35" s="166" t="s">
        <v>11</v>
      </c>
      <c r="RA35" s="221" t="s">
        <v>2</v>
      </c>
      <c r="RB35" s="246" t="s">
        <v>43</v>
      </c>
      <c r="RC35" s="182" t="s">
        <v>8</v>
      </c>
      <c r="RD35" s="166" t="s">
        <v>22</v>
      </c>
      <c r="RE35" s="230" t="s">
        <v>8</v>
      </c>
      <c r="RF35" s="159" t="s">
        <v>7</v>
      </c>
      <c r="RG35" s="159" t="s">
        <v>8</v>
      </c>
      <c r="RH35" s="246" t="s">
        <v>43</v>
      </c>
      <c r="RI35" s="246" t="s">
        <v>43</v>
      </c>
      <c r="RJ35" s="246" t="s">
        <v>10</v>
      </c>
      <c r="RK35" s="246" t="s">
        <v>22</v>
      </c>
      <c r="RL35" s="131" t="s">
        <v>6</v>
      </c>
      <c r="RM35" s="246" t="s">
        <v>43</v>
      </c>
      <c r="RN35" s="312" t="s">
        <v>43</v>
      </c>
      <c r="RO35" s="124" t="s">
        <v>201</v>
      </c>
      <c r="RP35" s="254" t="s">
        <v>5</v>
      </c>
      <c r="RQ35" s="230" t="s">
        <v>5</v>
      </c>
      <c r="RR35" s="246" t="s">
        <v>43</v>
      </c>
      <c r="RS35" s="254" t="s">
        <v>20</v>
      </c>
      <c r="RT35" s="235" t="s">
        <v>21</v>
      </c>
      <c r="RU35" s="246" t="s">
        <v>43</v>
      </c>
      <c r="RV35" s="182" t="s">
        <v>7</v>
      </c>
      <c r="RW35" s="182" t="s">
        <v>7</v>
      </c>
      <c r="RX35" s="334" t="s">
        <v>209</v>
      </c>
      <c r="RY35" s="158" t="s">
        <v>22</v>
      </c>
      <c r="RZ35" s="159" t="s">
        <v>185</v>
      </c>
      <c r="SA35" s="246" t="s">
        <v>43</v>
      </c>
      <c r="SB35" s="221" t="s">
        <v>1</v>
      </c>
      <c r="SC35" s="176" t="s">
        <v>1</v>
      </c>
      <c r="SD35" s="166" t="s">
        <v>15</v>
      </c>
      <c r="SE35" s="211" t="s">
        <v>22</v>
      </c>
      <c r="SF35" s="176" t="s">
        <v>7</v>
      </c>
      <c r="SG35" s="246" t="s">
        <v>43</v>
      </c>
      <c r="SH35" s="254" t="s">
        <v>15</v>
      </c>
      <c r="SI35" s="131" t="s">
        <v>5</v>
      </c>
      <c r="SJ35" s="221" t="s">
        <v>261</v>
      </c>
      <c r="SK35" s="322">
        <f t="shared" si="103"/>
        <v>1810.6456101783879</v>
      </c>
      <c r="SM35" s="362">
        <v>22</v>
      </c>
      <c r="SO35"/>
      <c r="SP35"/>
      <c r="TP35" s="357"/>
      <c r="TQ35" s="66" t="s">
        <v>114</v>
      </c>
      <c r="TR35" s="306">
        <f t="shared" si="104"/>
        <v>31</v>
      </c>
      <c r="TS35" s="306">
        <f t="shared" si="105"/>
        <v>23</v>
      </c>
      <c r="TT35" s="306">
        <f t="shared" si="106"/>
        <v>12</v>
      </c>
      <c r="TU35" s="306">
        <f t="shared" si="107"/>
        <v>9</v>
      </c>
      <c r="TV35" s="306">
        <f t="shared" si="108"/>
        <v>12</v>
      </c>
      <c r="TW35" s="306">
        <f t="shared" si="109"/>
        <v>12</v>
      </c>
      <c r="TX35" s="306">
        <f t="shared" si="110"/>
        <v>12</v>
      </c>
      <c r="TY35" s="306">
        <f t="shared" si="111"/>
        <v>33</v>
      </c>
      <c r="TZ35" s="306">
        <f t="shared" si="112"/>
        <v>33</v>
      </c>
      <c r="UA35" s="306">
        <f t="shared" si="113"/>
        <v>24</v>
      </c>
      <c r="UB35" s="306">
        <f t="shared" si="114"/>
        <v>19</v>
      </c>
      <c r="UC35" s="306">
        <f t="shared" si="115"/>
        <v>23</v>
      </c>
      <c r="UD35" s="306">
        <f t="shared" si="116"/>
        <v>27</v>
      </c>
      <c r="UE35" s="306">
        <f t="shared" si="117"/>
        <v>26</v>
      </c>
      <c r="UF35" s="306">
        <f t="shared" si="118"/>
        <v>12</v>
      </c>
      <c r="UG35" s="306">
        <f t="shared" si="119"/>
        <v>5</v>
      </c>
      <c r="UH35" s="306">
        <f t="shared" si="120"/>
        <v>28</v>
      </c>
      <c r="UI35" s="306">
        <f t="shared" si="121"/>
        <v>32</v>
      </c>
      <c r="UJ35" s="306">
        <f t="shared" si="122"/>
        <v>26</v>
      </c>
      <c r="UK35" s="306">
        <f t="shared" si="123"/>
        <v>31</v>
      </c>
      <c r="UL35" s="306">
        <f t="shared" si="124"/>
        <v>1</v>
      </c>
      <c r="UM35" s="306">
        <f t="shared" si="125"/>
        <v>2</v>
      </c>
      <c r="UN35" s="306">
        <f t="shared" si="126"/>
        <v>18</v>
      </c>
      <c r="UO35" s="306">
        <f t="shared" si="127"/>
        <v>23</v>
      </c>
      <c r="UP35" s="306">
        <f t="shared" si="128"/>
        <v>13</v>
      </c>
      <c r="UQ35" s="306">
        <f t="shared" si="129"/>
        <v>30</v>
      </c>
      <c r="UR35" s="306">
        <f t="shared" si="130"/>
        <v>7</v>
      </c>
      <c r="US35" s="306">
        <f t="shared" si="131"/>
        <v>22</v>
      </c>
      <c r="UT35" s="306">
        <f t="shared" si="132"/>
        <v>30</v>
      </c>
      <c r="UU35" s="306">
        <f t="shared" si="133"/>
        <v>7</v>
      </c>
      <c r="UV35" s="306">
        <f t="shared" si="134"/>
        <v>31</v>
      </c>
      <c r="UW35" s="306">
        <f t="shared" si="135"/>
        <v>33</v>
      </c>
      <c r="UX35" s="306">
        <f t="shared" si="136"/>
        <v>32</v>
      </c>
      <c r="UY35" s="306">
        <f t="shared" si="137"/>
        <v>17</v>
      </c>
      <c r="UZ35" s="306">
        <f t="shared" si="138"/>
        <v>12</v>
      </c>
      <c r="VA35" s="306">
        <f t="shared" si="139"/>
        <v>18</v>
      </c>
      <c r="VB35" s="306">
        <f t="shared" si="140"/>
        <v>25</v>
      </c>
      <c r="VC35" s="306">
        <f t="shared" si="141"/>
        <v>18</v>
      </c>
      <c r="VD35" s="306">
        <f t="shared" si="142"/>
        <v>23</v>
      </c>
      <c r="VE35" s="306">
        <f t="shared" si="143"/>
        <v>26</v>
      </c>
      <c r="VF35" s="306">
        <f t="shared" si="144"/>
        <v>19</v>
      </c>
      <c r="VG35" s="306">
        <f t="shared" si="145"/>
        <v>13</v>
      </c>
      <c r="VH35" s="306">
        <f t="shared" si="146"/>
        <v>29</v>
      </c>
      <c r="VI35" s="306">
        <f t="shared" si="147"/>
        <v>28</v>
      </c>
      <c r="VJ35" s="306">
        <f t="shared" si="148"/>
        <v>30</v>
      </c>
      <c r="VK35" s="306">
        <f t="shared" si="149"/>
        <v>32</v>
      </c>
      <c r="VL35" s="306">
        <f t="shared" si="150"/>
        <v>25</v>
      </c>
      <c r="VN35" s="306">
        <f t="shared" si="151"/>
        <v>0</v>
      </c>
      <c r="WR35" s="357"/>
      <c r="WS35" s="66" t="s">
        <v>114</v>
      </c>
      <c r="WT35" s="225" t="s">
        <v>195</v>
      </c>
      <c r="WU35" s="246" t="s">
        <v>20</v>
      </c>
      <c r="WV35" s="246" t="s">
        <v>2</v>
      </c>
      <c r="WW35" s="335" t="s">
        <v>204</v>
      </c>
      <c r="WX35" s="246" t="s">
        <v>1</v>
      </c>
      <c r="WY35" s="246" t="s">
        <v>15</v>
      </c>
      <c r="WZ35" s="246" t="s">
        <v>1</v>
      </c>
      <c r="XA35" s="246" t="s">
        <v>22</v>
      </c>
      <c r="XB35" s="225" t="s">
        <v>198</v>
      </c>
      <c r="XC35" s="240" t="s">
        <v>8</v>
      </c>
      <c r="XD35" s="240" t="s">
        <v>11</v>
      </c>
      <c r="XE35" s="240" t="s">
        <v>2</v>
      </c>
      <c r="XF35" s="246" t="s">
        <v>43</v>
      </c>
      <c r="XG35" s="240" t="s">
        <v>8</v>
      </c>
      <c r="XH35" s="240" t="s">
        <v>22</v>
      </c>
      <c r="XI35" s="246" t="s">
        <v>8</v>
      </c>
      <c r="XJ35" s="246" t="s">
        <v>7</v>
      </c>
      <c r="XK35" s="246" t="s">
        <v>8</v>
      </c>
      <c r="XL35" s="246" t="s">
        <v>43</v>
      </c>
      <c r="XM35" s="246" t="s">
        <v>43</v>
      </c>
      <c r="XN35" s="246" t="s">
        <v>10</v>
      </c>
      <c r="XO35" s="246" t="s">
        <v>22</v>
      </c>
      <c r="XP35" s="246" t="s">
        <v>6</v>
      </c>
      <c r="XQ35" s="246" t="s">
        <v>43</v>
      </c>
      <c r="XR35" s="312" t="s">
        <v>43</v>
      </c>
      <c r="XS35" s="225" t="s">
        <v>201</v>
      </c>
      <c r="XT35" s="166" t="s">
        <v>5</v>
      </c>
      <c r="XU35" s="166" t="s">
        <v>5</v>
      </c>
      <c r="XV35" s="246" t="s">
        <v>43</v>
      </c>
      <c r="XW35" s="246" t="s">
        <v>20</v>
      </c>
      <c r="XX35" s="225" t="s">
        <v>21</v>
      </c>
      <c r="XY35" s="246" t="s">
        <v>43</v>
      </c>
      <c r="XZ35" s="166" t="s">
        <v>7</v>
      </c>
      <c r="YA35" s="166" t="s">
        <v>7</v>
      </c>
      <c r="YB35" s="327" t="s">
        <v>209</v>
      </c>
      <c r="YC35" s="246" t="s">
        <v>22</v>
      </c>
      <c r="YD35" s="246" t="s">
        <v>185</v>
      </c>
      <c r="YE35" s="246" t="s">
        <v>43</v>
      </c>
      <c r="YF35" s="246" t="s">
        <v>1</v>
      </c>
      <c r="YG35" s="246" t="s">
        <v>1</v>
      </c>
      <c r="YH35" s="246" t="s">
        <v>15</v>
      </c>
      <c r="YI35" s="246" t="s">
        <v>22</v>
      </c>
      <c r="YJ35" s="159" t="s">
        <v>7</v>
      </c>
      <c r="YK35" s="159" t="s">
        <v>43</v>
      </c>
      <c r="YL35" s="159" t="s">
        <v>15</v>
      </c>
      <c r="YM35" s="246" t="s">
        <v>5</v>
      </c>
      <c r="YN35" s="246" t="s">
        <v>261</v>
      </c>
      <c r="AFZ35" s="307"/>
    </row>
    <row r="36" spans="1:858" s="306" customFormat="1" ht="20.65" x14ac:dyDescent="0.5">
      <c r="A36" s="70">
        <v>27</v>
      </c>
      <c r="B36" s="305"/>
      <c r="C36" s="45" t="s">
        <v>118</v>
      </c>
      <c r="D36" s="45" t="s">
        <v>119</v>
      </c>
      <c r="E36" s="305"/>
      <c r="F36" s="128">
        <v>91.592427166016193</v>
      </c>
      <c r="X36" s="355"/>
      <c r="AA36" s="57" t="s">
        <v>55</v>
      </c>
      <c r="AB36" s="305" t="s">
        <v>23</v>
      </c>
      <c r="AC36" s="183" t="s">
        <v>1</v>
      </c>
      <c r="AD36" s="147" t="s">
        <v>2</v>
      </c>
      <c r="AE36" s="132" t="s">
        <v>3</v>
      </c>
      <c r="AF36" s="203" t="s">
        <v>4</v>
      </c>
      <c r="AG36" s="258" t="s">
        <v>5</v>
      </c>
      <c r="AH36" s="196" t="s">
        <v>6</v>
      </c>
      <c r="AI36" s="253" t="s">
        <v>2</v>
      </c>
      <c r="AJ36" s="253" t="s">
        <v>2</v>
      </c>
      <c r="AK36" s="147" t="s">
        <v>10</v>
      </c>
      <c r="AL36" s="157" t="s">
        <v>2</v>
      </c>
      <c r="AM36" s="217" t="s">
        <v>24</v>
      </c>
      <c r="AN36" s="336" t="s">
        <v>246</v>
      </c>
      <c r="AO36" s="183" t="s">
        <v>3</v>
      </c>
      <c r="AP36" s="224" t="s">
        <v>247</v>
      </c>
      <c r="AQ36" s="243" t="s">
        <v>19</v>
      </c>
      <c r="AR36" s="318" t="s">
        <v>43</v>
      </c>
      <c r="AS36" s="146" t="s">
        <v>9</v>
      </c>
      <c r="AT36" s="210" t="s">
        <v>10</v>
      </c>
      <c r="AU36" s="150" t="s">
        <v>20</v>
      </c>
      <c r="AV36" s="147" t="s">
        <v>7</v>
      </c>
      <c r="AW36" s="147" t="s">
        <v>5</v>
      </c>
      <c r="AX36" s="229" t="s">
        <v>43</v>
      </c>
      <c r="AY36" s="229" t="s">
        <v>43</v>
      </c>
      <c r="AZ36" s="146" t="s">
        <v>15</v>
      </c>
      <c r="BA36" s="146" t="s">
        <v>20</v>
      </c>
      <c r="BB36" s="146" t="s">
        <v>6</v>
      </c>
      <c r="BC36" s="168" t="s">
        <v>21</v>
      </c>
      <c r="BD36" s="224" t="s">
        <v>244</v>
      </c>
      <c r="BE36" s="318" t="s">
        <v>43</v>
      </c>
      <c r="BF36" s="318" t="s">
        <v>43</v>
      </c>
      <c r="BG36" s="253" t="s">
        <v>7</v>
      </c>
      <c r="BH36" s="318" t="s">
        <v>43</v>
      </c>
      <c r="BI36" s="183" t="s">
        <v>14</v>
      </c>
      <c r="BJ36" s="183" t="s">
        <v>5</v>
      </c>
      <c r="BK36" s="183" t="s">
        <v>11</v>
      </c>
      <c r="BL36" s="318" t="s">
        <v>43</v>
      </c>
      <c r="BM36" s="192" t="s">
        <v>5</v>
      </c>
      <c r="BN36" s="192" t="s">
        <v>12</v>
      </c>
      <c r="BO36" s="309"/>
      <c r="BP36" s="319">
        <f t="shared" si="59"/>
        <v>21179.71820512729</v>
      </c>
      <c r="BQ36" s="320" t="s">
        <v>58</v>
      </c>
      <c r="BR36" s="193" t="s">
        <v>8</v>
      </c>
      <c r="BS36" s="268" t="s">
        <v>15</v>
      </c>
      <c r="BT36" s="269" t="s">
        <v>20</v>
      </c>
      <c r="BU36" s="227" t="s">
        <v>43</v>
      </c>
      <c r="BV36" s="196" t="s">
        <v>20</v>
      </c>
      <c r="BW36" s="161" t="s">
        <v>46</v>
      </c>
      <c r="BX36" s="212" t="s">
        <v>47</v>
      </c>
      <c r="BY36" s="241" t="s">
        <v>48</v>
      </c>
      <c r="BZ36" s="177" t="s">
        <v>8</v>
      </c>
      <c r="CA36" s="227" t="s">
        <v>43</v>
      </c>
      <c r="CB36" s="227" t="s">
        <v>43</v>
      </c>
      <c r="CC36" s="193" t="s">
        <v>6</v>
      </c>
      <c r="CD36" s="143" t="s">
        <v>45</v>
      </c>
      <c r="CE36" s="193" t="s">
        <v>6</v>
      </c>
      <c r="CF36" s="208" t="s">
        <v>22</v>
      </c>
      <c r="CG36" s="193" t="s">
        <v>10</v>
      </c>
      <c r="CH36" s="193" t="s">
        <v>20</v>
      </c>
      <c r="CI36" s="193" t="s">
        <v>10</v>
      </c>
      <c r="CJ36" s="70">
        <v>61</v>
      </c>
      <c r="DG36" s="357"/>
      <c r="DI36" s="57" t="s">
        <v>55</v>
      </c>
      <c r="DJ36" s="305" t="s">
        <v>23</v>
      </c>
      <c r="DK36" s="363">
        <f t="shared" si="0"/>
        <v>7</v>
      </c>
      <c r="DL36" s="363">
        <f t="shared" si="1"/>
        <v>5</v>
      </c>
      <c r="DM36" s="363">
        <f t="shared" si="2"/>
        <v>7</v>
      </c>
      <c r="DN36" s="363">
        <f t="shared" si="3"/>
        <v>5</v>
      </c>
      <c r="DO36" s="363">
        <f t="shared" si="4"/>
        <v>7</v>
      </c>
      <c r="DP36" s="363">
        <f t="shared" si="5"/>
        <v>5</v>
      </c>
      <c r="DQ36" s="363">
        <f t="shared" si="6"/>
        <v>3</v>
      </c>
      <c r="DR36" s="363">
        <f t="shared" si="7"/>
        <v>7</v>
      </c>
      <c r="DS36" s="363">
        <f t="shared" si="8"/>
        <v>5</v>
      </c>
      <c r="DT36" s="363">
        <f t="shared" si="9"/>
        <v>5</v>
      </c>
      <c r="DU36" s="363">
        <f t="shared" si="10"/>
        <v>7</v>
      </c>
      <c r="DV36" s="363">
        <f t="shared" si="11"/>
        <v>7</v>
      </c>
      <c r="DW36" s="363">
        <f t="shared" si="12"/>
        <v>7</v>
      </c>
      <c r="DX36" s="363">
        <f t="shared" si="13"/>
        <v>0</v>
      </c>
      <c r="DY36" s="363">
        <f t="shared" si="14"/>
        <v>0</v>
      </c>
      <c r="DZ36" s="363">
        <f t="shared" si="15"/>
        <v>4</v>
      </c>
      <c r="EA36" s="363">
        <f t="shared" si="16"/>
        <v>7</v>
      </c>
      <c r="EB36" s="363">
        <f t="shared" si="17"/>
        <v>0</v>
      </c>
      <c r="EC36" s="363">
        <f t="shared" si="18"/>
        <v>7</v>
      </c>
      <c r="ED36" s="363">
        <f t="shared" si="19"/>
        <v>7</v>
      </c>
      <c r="EE36" s="363">
        <f t="shared" si="20"/>
        <v>2</v>
      </c>
      <c r="EF36" s="363">
        <f t="shared" si="21"/>
        <v>5</v>
      </c>
      <c r="EG36" s="363">
        <f t="shared" si="22"/>
        <v>5</v>
      </c>
      <c r="EH36" s="363">
        <f t="shared" si="23"/>
        <v>5</v>
      </c>
      <c r="EI36" s="363">
        <f t="shared" si="24"/>
        <v>5</v>
      </c>
      <c r="EJ36" s="363">
        <f t="shared" si="25"/>
        <v>5</v>
      </c>
      <c r="EK36" s="363">
        <f t="shared" si="26"/>
        <v>5</v>
      </c>
      <c r="EL36" s="363">
        <f t="shared" si="27"/>
        <v>0</v>
      </c>
      <c r="EM36" s="363">
        <f t="shared" si="28"/>
        <v>0</v>
      </c>
      <c r="EN36" s="363">
        <f t="shared" si="29"/>
        <v>3</v>
      </c>
      <c r="EO36" s="363">
        <f t="shared" si="30"/>
        <v>5</v>
      </c>
      <c r="EP36" s="363">
        <f t="shared" si="31"/>
        <v>2</v>
      </c>
      <c r="EQ36" s="363">
        <f t="shared" si="32"/>
        <v>6</v>
      </c>
      <c r="ER36" s="363">
        <f t="shared" si="33"/>
        <v>5</v>
      </c>
      <c r="ES36" s="363">
        <f t="shared" si="34"/>
        <v>7</v>
      </c>
      <c r="ET36" s="363">
        <f t="shared" si="35"/>
        <v>0</v>
      </c>
      <c r="EU36" s="363">
        <f t="shared" si="36"/>
        <v>7</v>
      </c>
      <c r="EV36" s="363">
        <f t="shared" si="37"/>
        <v>0</v>
      </c>
      <c r="EW36" s="364" t="s">
        <v>58</v>
      </c>
      <c r="EX36" s="363">
        <f t="shared" si="38"/>
        <v>1</v>
      </c>
      <c r="EY36" s="363">
        <f t="shared" si="39"/>
        <v>7</v>
      </c>
      <c r="EZ36" s="363">
        <f t="shared" si="40"/>
        <v>2</v>
      </c>
      <c r="FA36" s="363">
        <f t="shared" si="41"/>
        <v>7</v>
      </c>
      <c r="FB36" s="363">
        <f t="shared" si="42"/>
        <v>7</v>
      </c>
      <c r="FC36" s="363">
        <f t="shared" si="43"/>
        <v>0</v>
      </c>
      <c r="FD36" s="363">
        <f t="shared" si="44"/>
        <v>0</v>
      </c>
      <c r="FE36" s="363">
        <f t="shared" si="45"/>
        <v>0</v>
      </c>
      <c r="FF36" s="363">
        <f t="shared" si="46"/>
        <v>7</v>
      </c>
      <c r="FG36" s="363">
        <f t="shared" si="47"/>
        <v>7</v>
      </c>
      <c r="FH36" s="363">
        <f t="shared" si="48"/>
        <v>0</v>
      </c>
      <c r="FI36" s="363">
        <f t="shared" si="49"/>
        <v>0</v>
      </c>
      <c r="FJ36" s="363">
        <f t="shared" si="50"/>
        <v>7</v>
      </c>
      <c r="FK36" s="363">
        <f t="shared" si="51"/>
        <v>0</v>
      </c>
      <c r="FL36" s="363">
        <f t="shared" si="52"/>
        <v>1</v>
      </c>
      <c r="FM36" s="363">
        <f t="shared" si="53"/>
        <v>7</v>
      </c>
      <c r="FN36" s="363">
        <f t="shared" si="54"/>
        <v>0</v>
      </c>
      <c r="FO36" s="363">
        <f t="shared" si="55"/>
        <v>7</v>
      </c>
      <c r="FP36" s="363">
        <f t="shared" si="60"/>
        <v>7</v>
      </c>
      <c r="FQ36" s="363">
        <f t="shared" si="61"/>
        <v>7</v>
      </c>
      <c r="FR36" s="309">
        <f t="shared" si="62"/>
        <v>14</v>
      </c>
      <c r="GM36" s="357"/>
      <c r="GO36" s="57" t="s">
        <v>55</v>
      </c>
      <c r="GP36" s="305" t="s">
        <v>23</v>
      </c>
      <c r="GQ36" s="244" t="s">
        <v>1</v>
      </c>
      <c r="GR36" s="244" t="s">
        <v>2</v>
      </c>
      <c r="GS36" s="244" t="s">
        <v>3</v>
      </c>
      <c r="GT36" s="244" t="s">
        <v>4</v>
      </c>
      <c r="GU36" s="244" t="s">
        <v>5</v>
      </c>
      <c r="GV36" s="244" t="s">
        <v>6</v>
      </c>
      <c r="GW36" s="244" t="s">
        <v>2</v>
      </c>
      <c r="GX36" s="244" t="s">
        <v>2</v>
      </c>
      <c r="GY36" s="244" t="s">
        <v>10</v>
      </c>
      <c r="GZ36" s="223" t="s">
        <v>2</v>
      </c>
      <c r="HA36" s="366" t="s">
        <v>24</v>
      </c>
      <c r="HB36" s="380" t="s">
        <v>323</v>
      </c>
      <c r="HC36" s="244" t="s">
        <v>3</v>
      </c>
      <c r="HD36" s="366" t="s">
        <v>324</v>
      </c>
      <c r="HE36" s="366" t="s">
        <v>19</v>
      </c>
      <c r="HF36" s="318" t="s">
        <v>43</v>
      </c>
      <c r="HG36" s="244" t="s">
        <v>9</v>
      </c>
      <c r="HH36" s="244" t="s">
        <v>10</v>
      </c>
      <c r="HI36" s="244" t="s">
        <v>20</v>
      </c>
      <c r="HJ36" s="244" t="s">
        <v>7</v>
      </c>
      <c r="HK36" s="244" t="s">
        <v>5</v>
      </c>
      <c r="HL36" s="244" t="s">
        <v>43</v>
      </c>
      <c r="HM36" s="244" t="s">
        <v>43</v>
      </c>
      <c r="HN36" s="244" t="s">
        <v>15</v>
      </c>
      <c r="HO36" s="244" t="s">
        <v>20</v>
      </c>
      <c r="HP36" s="244" t="s">
        <v>6</v>
      </c>
      <c r="HQ36" s="366" t="s">
        <v>21</v>
      </c>
      <c r="HR36" s="366" t="s">
        <v>318</v>
      </c>
      <c r="HS36" s="318" t="s">
        <v>43</v>
      </c>
      <c r="HT36" s="318" t="s">
        <v>43</v>
      </c>
      <c r="HU36" s="244" t="s">
        <v>7</v>
      </c>
      <c r="HV36" s="318" t="s">
        <v>43</v>
      </c>
      <c r="HW36" s="244" t="s">
        <v>14</v>
      </c>
      <c r="HX36" s="244" t="s">
        <v>5</v>
      </c>
      <c r="HY36" s="244" t="s">
        <v>11</v>
      </c>
      <c r="HZ36" s="318" t="s">
        <v>43</v>
      </c>
      <c r="IA36" s="244" t="s">
        <v>5</v>
      </c>
      <c r="IB36" s="244" t="s">
        <v>12</v>
      </c>
      <c r="IC36" s="364" t="s">
        <v>58</v>
      </c>
      <c r="ID36" s="173" t="s">
        <v>8</v>
      </c>
      <c r="IE36" s="173" t="s">
        <v>15</v>
      </c>
      <c r="IF36" s="173" t="s">
        <v>20</v>
      </c>
      <c r="IG36" s="173" t="s">
        <v>43</v>
      </c>
      <c r="IH36" s="244" t="s">
        <v>20</v>
      </c>
      <c r="II36" s="173" t="s">
        <v>46</v>
      </c>
      <c r="IJ36" s="367" t="s">
        <v>47</v>
      </c>
      <c r="IK36" s="368" t="s">
        <v>48</v>
      </c>
      <c r="IL36" s="173" t="s">
        <v>8</v>
      </c>
      <c r="IM36" s="173" t="s">
        <v>43</v>
      </c>
      <c r="IN36" s="173" t="s">
        <v>43</v>
      </c>
      <c r="IO36" s="173" t="s">
        <v>6</v>
      </c>
      <c r="IP36" s="173" t="s">
        <v>45</v>
      </c>
      <c r="IQ36" s="173" t="s">
        <v>6</v>
      </c>
      <c r="IR36" s="173" t="s">
        <v>22</v>
      </c>
      <c r="IS36" s="173" t="s">
        <v>10</v>
      </c>
      <c r="IT36" s="173" t="s">
        <v>20</v>
      </c>
      <c r="IU36" s="173" t="s">
        <v>10</v>
      </c>
      <c r="JN36" s="357"/>
      <c r="JO36" s="369">
        <v>90</v>
      </c>
      <c r="JP36" s="305" t="s">
        <v>138</v>
      </c>
      <c r="JQ36" s="330" t="s">
        <v>169</v>
      </c>
      <c r="JR36" s="67" t="s">
        <v>170</v>
      </c>
      <c r="JS36" s="159" t="s">
        <v>7</v>
      </c>
      <c r="JT36" s="246" t="s">
        <v>43</v>
      </c>
      <c r="JU36" s="205" t="s">
        <v>3</v>
      </c>
      <c r="JV36" s="155" t="s">
        <v>20</v>
      </c>
      <c r="JW36" s="112" t="s">
        <v>188</v>
      </c>
      <c r="JX36" s="254" t="s">
        <v>8</v>
      </c>
      <c r="JY36" s="221" t="s">
        <v>7</v>
      </c>
      <c r="JZ36" s="159" t="s">
        <v>8</v>
      </c>
      <c r="KA36" s="111" t="s">
        <v>189</v>
      </c>
      <c r="KB36" s="116" t="s">
        <v>190</v>
      </c>
      <c r="KC36" s="246" t="s">
        <v>43</v>
      </c>
      <c r="KD36" s="163" t="s">
        <v>20</v>
      </c>
      <c r="KE36" s="182" t="s">
        <v>12</v>
      </c>
      <c r="KF36" s="230" t="s">
        <v>185</v>
      </c>
      <c r="KG36" s="125" t="s">
        <v>4</v>
      </c>
      <c r="KH36" s="226" t="s">
        <v>191</v>
      </c>
      <c r="KI36" s="230" t="s">
        <v>7</v>
      </c>
      <c r="KJ36" s="190" t="s">
        <v>187</v>
      </c>
      <c r="KK36" s="246" t="s">
        <v>43</v>
      </c>
      <c r="KL36" s="159" t="s">
        <v>12</v>
      </c>
      <c r="KM36" s="159" t="s">
        <v>14</v>
      </c>
      <c r="KN36" s="159" t="s">
        <v>6</v>
      </c>
      <c r="KO36" s="182" t="s">
        <v>5</v>
      </c>
      <c r="KP36" s="322">
        <f t="shared" si="63"/>
        <v>127.94439383748171</v>
      </c>
      <c r="KR36" s="329" t="s">
        <v>138</v>
      </c>
      <c r="KS36" s="159" t="s">
        <v>10</v>
      </c>
      <c r="KT36" s="170" t="s">
        <v>9</v>
      </c>
      <c r="KU36" s="221" t="s">
        <v>20</v>
      </c>
      <c r="KV36" s="117" t="s">
        <v>14</v>
      </c>
      <c r="KW36" s="124" t="s">
        <v>194</v>
      </c>
      <c r="KX36" s="240" t="s">
        <v>6</v>
      </c>
      <c r="KY36" s="240" t="s">
        <v>15</v>
      </c>
      <c r="KZ36" s="240" t="s">
        <v>6</v>
      </c>
      <c r="LA36" s="155" t="s">
        <v>10</v>
      </c>
      <c r="LB36" s="166" t="s">
        <v>9</v>
      </c>
      <c r="LC36" s="117" t="s">
        <v>5</v>
      </c>
      <c r="LD36" s="159" t="s">
        <v>9</v>
      </c>
      <c r="LE36" s="155" t="s">
        <v>7</v>
      </c>
      <c r="LF36" s="166" t="s">
        <v>15</v>
      </c>
      <c r="LG36" s="123" t="s">
        <v>229</v>
      </c>
      <c r="LH36" s="358">
        <v>23</v>
      </c>
      <c r="LW36" s="369">
        <v>90</v>
      </c>
      <c r="LX36" s="317" t="s">
        <v>138</v>
      </c>
      <c r="LY36" s="378" t="s">
        <v>169</v>
      </c>
      <c r="LZ36" s="306">
        <f t="shared" si="64"/>
        <v>20</v>
      </c>
      <c r="MA36" s="306">
        <f t="shared" si="65"/>
        <v>13</v>
      </c>
      <c r="MB36" s="306">
        <f t="shared" si="66"/>
        <v>16</v>
      </c>
      <c r="MC36" s="306">
        <f t="shared" si="67"/>
        <v>28</v>
      </c>
      <c r="MD36" s="306">
        <f t="shared" si="68"/>
        <v>17</v>
      </c>
      <c r="ME36" s="306">
        <f t="shared" si="69"/>
        <v>21</v>
      </c>
      <c r="MF36" s="306">
        <f t="shared" si="70"/>
        <v>19</v>
      </c>
      <c r="MG36" s="306">
        <f t="shared" si="71"/>
        <v>23</v>
      </c>
      <c r="MH36" s="306">
        <f t="shared" si="72"/>
        <v>18</v>
      </c>
      <c r="MI36" s="306">
        <f t="shared" si="73"/>
        <v>9</v>
      </c>
      <c r="MJ36" s="306">
        <f t="shared" si="74"/>
        <v>18</v>
      </c>
      <c r="MK36" s="306">
        <f t="shared" si="75"/>
        <v>21</v>
      </c>
      <c r="ML36" s="306">
        <f t="shared" si="76"/>
        <v>17</v>
      </c>
      <c r="MM36" s="306">
        <f t="shared" si="77"/>
        <v>18</v>
      </c>
      <c r="MN36" s="306">
        <f t="shared" si="78"/>
        <v>18</v>
      </c>
      <c r="MO36" s="306">
        <f t="shared" si="79"/>
        <v>11</v>
      </c>
      <c r="MP36" s="306">
        <f t="shared" si="80"/>
        <v>7</v>
      </c>
      <c r="MQ36" s="306">
        <f t="shared" si="81"/>
        <v>21</v>
      </c>
      <c r="MR36" s="306">
        <f t="shared" si="82"/>
        <v>22</v>
      </c>
      <c r="MS36" s="306">
        <f t="shared" si="83"/>
        <v>25</v>
      </c>
      <c r="MT36" s="306">
        <f t="shared" si="84"/>
        <v>26</v>
      </c>
      <c r="MU36" s="306">
        <f t="shared" si="85"/>
        <v>28</v>
      </c>
      <c r="MV36" s="306">
        <f t="shared" si="86"/>
        <v>23</v>
      </c>
      <c r="MY36" s="306">
        <f t="shared" si="87"/>
        <v>25</v>
      </c>
      <c r="MZ36" s="306">
        <f t="shared" si="88"/>
        <v>29</v>
      </c>
      <c r="NA36" s="306">
        <f t="shared" si="89"/>
        <v>28</v>
      </c>
      <c r="NB36" s="306">
        <f t="shared" si="90"/>
        <v>13</v>
      </c>
      <c r="NC36" s="306">
        <f t="shared" si="91"/>
        <v>14</v>
      </c>
      <c r="ND36" s="306">
        <f t="shared" si="92"/>
        <v>28</v>
      </c>
      <c r="NE36" s="306">
        <f t="shared" si="93"/>
        <v>29</v>
      </c>
      <c r="NF36" s="306">
        <f t="shared" si="94"/>
        <v>29</v>
      </c>
      <c r="NG36" s="306">
        <f t="shared" si="95"/>
        <v>17</v>
      </c>
      <c r="NH36" s="306">
        <f t="shared" si="96"/>
        <v>26</v>
      </c>
      <c r="NI36" s="306">
        <f t="shared" si="97"/>
        <v>13</v>
      </c>
      <c r="NJ36" s="306">
        <f t="shared" si="98"/>
        <v>14</v>
      </c>
      <c r="NK36" s="306">
        <f t="shared" si="99"/>
        <v>16</v>
      </c>
      <c r="NL36" s="306">
        <f t="shared" si="100"/>
        <v>26</v>
      </c>
      <c r="NM36" s="306">
        <f t="shared" si="100"/>
        <v>10</v>
      </c>
      <c r="NN36" s="306">
        <f t="shared" si="101"/>
        <v>0</v>
      </c>
      <c r="NO36" s="306">
        <f t="shared" si="102"/>
        <v>0</v>
      </c>
      <c r="NU36" s="378" t="s">
        <v>169</v>
      </c>
      <c r="NV36" s="357"/>
      <c r="NX36" s="246" t="s">
        <v>7</v>
      </c>
      <c r="NY36" s="246" t="s">
        <v>43</v>
      </c>
      <c r="NZ36" s="246" t="s">
        <v>3</v>
      </c>
      <c r="OA36" s="246" t="s">
        <v>20</v>
      </c>
      <c r="OB36" s="372" t="s">
        <v>188</v>
      </c>
      <c r="OC36" s="230" t="s">
        <v>8</v>
      </c>
      <c r="OD36" s="230" t="s">
        <v>7</v>
      </c>
      <c r="OE36" s="230" t="s">
        <v>8</v>
      </c>
      <c r="OF36" s="371" t="s">
        <v>189</v>
      </c>
      <c r="OG36" s="372" t="s">
        <v>190</v>
      </c>
      <c r="OH36" s="246" t="s">
        <v>43</v>
      </c>
      <c r="OI36" s="246" t="s">
        <v>20</v>
      </c>
      <c r="OJ36" s="159" t="s">
        <v>12</v>
      </c>
      <c r="OK36" s="159" t="s">
        <v>185</v>
      </c>
      <c r="OL36" s="246" t="s">
        <v>4</v>
      </c>
      <c r="OM36" s="372" t="s">
        <v>191</v>
      </c>
      <c r="ON36" s="246" t="s">
        <v>7</v>
      </c>
      <c r="OO36" s="225" t="s">
        <v>187</v>
      </c>
      <c r="OP36" s="246" t="s">
        <v>43</v>
      </c>
      <c r="OQ36" s="246" t="s">
        <v>12</v>
      </c>
      <c r="OR36" s="159" t="s">
        <v>14</v>
      </c>
      <c r="OS36" s="159" t="s">
        <v>6</v>
      </c>
      <c r="OT36" s="246" t="s">
        <v>5</v>
      </c>
      <c r="OV36" s="375" t="s">
        <v>138</v>
      </c>
      <c r="OW36" s="246" t="s">
        <v>10</v>
      </c>
      <c r="OX36" s="246" t="s">
        <v>9</v>
      </c>
      <c r="OY36" s="240" t="s">
        <v>20</v>
      </c>
      <c r="OZ36" s="240" t="s">
        <v>14</v>
      </c>
      <c r="PA36" s="225" t="s">
        <v>194</v>
      </c>
      <c r="PB36" s="246" t="s">
        <v>6</v>
      </c>
      <c r="PC36" s="246" t="s">
        <v>15</v>
      </c>
      <c r="PD36" s="246" t="s">
        <v>6</v>
      </c>
      <c r="PE36" s="246" t="s">
        <v>10</v>
      </c>
      <c r="PF36" s="246" t="s">
        <v>9</v>
      </c>
      <c r="PG36" s="246" t="s">
        <v>5</v>
      </c>
      <c r="PH36" s="246" t="s">
        <v>9</v>
      </c>
      <c r="PI36" s="246" t="s">
        <v>7</v>
      </c>
      <c r="PJ36" s="246" t="s">
        <v>15</v>
      </c>
      <c r="PK36" s="376" t="s">
        <v>229</v>
      </c>
      <c r="PM36"/>
      <c r="PN36"/>
      <c r="PO36"/>
      <c r="PP36"/>
      <c r="PQ36"/>
      <c r="PR36"/>
      <c r="PS36"/>
      <c r="PT36"/>
      <c r="QN36" s="357"/>
      <c r="QO36" s="66" t="s">
        <v>116</v>
      </c>
      <c r="QP36" s="204" t="s">
        <v>195</v>
      </c>
      <c r="QQ36" s="166" t="s">
        <v>20</v>
      </c>
      <c r="QR36" s="198" t="s">
        <v>2</v>
      </c>
      <c r="QS36" s="333" t="s">
        <v>204</v>
      </c>
      <c r="QT36" s="159" t="s">
        <v>1</v>
      </c>
      <c r="QU36" s="159" t="s">
        <v>15</v>
      </c>
      <c r="QV36" s="159" t="s">
        <v>1</v>
      </c>
      <c r="QW36" s="131" t="s">
        <v>22</v>
      </c>
      <c r="QX36" s="216" t="s">
        <v>198</v>
      </c>
      <c r="QY36" s="246" t="s">
        <v>8</v>
      </c>
      <c r="QZ36" s="230" t="s">
        <v>20</v>
      </c>
      <c r="RA36" s="221" t="s">
        <v>2</v>
      </c>
      <c r="RB36" s="246" t="s">
        <v>43</v>
      </c>
      <c r="RC36" s="182" t="s">
        <v>8</v>
      </c>
      <c r="RD36" s="166" t="s">
        <v>22</v>
      </c>
      <c r="RE36" s="131" t="s">
        <v>205</v>
      </c>
      <c r="RF36" s="159" t="s">
        <v>7</v>
      </c>
      <c r="RG36" s="159" t="s">
        <v>8</v>
      </c>
      <c r="RH36" s="246" t="s">
        <v>43</v>
      </c>
      <c r="RI36" s="246" t="s">
        <v>43</v>
      </c>
      <c r="RJ36" s="125" t="s">
        <v>11</v>
      </c>
      <c r="RK36" s="182" t="s">
        <v>2</v>
      </c>
      <c r="RL36" s="131" t="s">
        <v>6</v>
      </c>
      <c r="RM36" s="246" t="s">
        <v>43</v>
      </c>
      <c r="RN36" s="324" t="s">
        <v>200</v>
      </c>
      <c r="RO36" s="124" t="s">
        <v>201</v>
      </c>
      <c r="RP36" s="182" t="s">
        <v>14</v>
      </c>
      <c r="RQ36" s="230" t="s">
        <v>5</v>
      </c>
      <c r="RR36" s="246" t="s">
        <v>43</v>
      </c>
      <c r="RS36" s="159" t="s">
        <v>10</v>
      </c>
      <c r="RT36" s="235" t="s">
        <v>21</v>
      </c>
      <c r="RU36" s="246" t="s">
        <v>43</v>
      </c>
      <c r="RV36" s="182" t="s">
        <v>7</v>
      </c>
      <c r="RW36" s="240" t="s">
        <v>3</v>
      </c>
      <c r="RX36" s="334" t="s">
        <v>209</v>
      </c>
      <c r="RY36" s="158" t="s">
        <v>22</v>
      </c>
      <c r="RZ36" s="159" t="s">
        <v>185</v>
      </c>
      <c r="SA36" s="246" t="s">
        <v>43</v>
      </c>
      <c r="SB36" s="221" t="s">
        <v>1</v>
      </c>
      <c r="SC36" s="176" t="s">
        <v>1</v>
      </c>
      <c r="SD36" s="166" t="s">
        <v>15</v>
      </c>
      <c r="SE36" s="211" t="s">
        <v>22</v>
      </c>
      <c r="SF36" s="176" t="s">
        <v>7</v>
      </c>
      <c r="SG36" s="246" t="s">
        <v>43</v>
      </c>
      <c r="SH36" s="254" t="s">
        <v>15</v>
      </c>
      <c r="SI36" s="131" t="s">
        <v>5</v>
      </c>
      <c r="SJ36" s="221" t="s">
        <v>261</v>
      </c>
      <c r="SK36" s="322">
        <f t="shared" si="103"/>
        <v>1054.502324000749</v>
      </c>
      <c r="SM36" s="362">
        <v>23</v>
      </c>
      <c r="SO36"/>
      <c r="SP36"/>
      <c r="TP36" s="357"/>
      <c r="TQ36" s="66" t="s">
        <v>116</v>
      </c>
      <c r="TR36" s="306">
        <f t="shared" si="104"/>
        <v>31</v>
      </c>
      <c r="TS36" s="306">
        <f t="shared" si="105"/>
        <v>23</v>
      </c>
      <c r="TT36" s="306">
        <f t="shared" si="106"/>
        <v>12</v>
      </c>
      <c r="TU36" s="306">
        <f t="shared" si="107"/>
        <v>9</v>
      </c>
      <c r="TV36" s="306">
        <f t="shared" si="108"/>
        <v>12</v>
      </c>
      <c r="TW36" s="306">
        <f t="shared" si="109"/>
        <v>12</v>
      </c>
      <c r="TX36" s="306">
        <f t="shared" si="110"/>
        <v>12</v>
      </c>
      <c r="TY36" s="306">
        <f t="shared" si="111"/>
        <v>33</v>
      </c>
      <c r="TZ36" s="306">
        <f t="shared" si="112"/>
        <v>33</v>
      </c>
      <c r="UA36" s="306">
        <f t="shared" si="113"/>
        <v>24</v>
      </c>
      <c r="UB36" s="306">
        <f t="shared" si="114"/>
        <v>11</v>
      </c>
      <c r="UC36" s="306">
        <f t="shared" si="115"/>
        <v>23</v>
      </c>
      <c r="UD36" s="306">
        <f t="shared" si="116"/>
        <v>27</v>
      </c>
      <c r="UE36" s="306">
        <f t="shared" si="117"/>
        <v>26</v>
      </c>
      <c r="UF36" s="306">
        <f t="shared" si="118"/>
        <v>12</v>
      </c>
      <c r="UG36" s="306">
        <f t="shared" si="119"/>
        <v>7</v>
      </c>
      <c r="UH36" s="306">
        <f t="shared" si="120"/>
        <v>28</v>
      </c>
      <c r="UI36" s="306">
        <f t="shared" si="121"/>
        <v>32</v>
      </c>
      <c r="UJ36" s="306">
        <f t="shared" si="122"/>
        <v>26</v>
      </c>
      <c r="UK36" s="306">
        <f t="shared" si="123"/>
        <v>31</v>
      </c>
      <c r="UL36" s="306">
        <f t="shared" si="124"/>
        <v>26</v>
      </c>
      <c r="UM36" s="306">
        <f t="shared" si="125"/>
        <v>28</v>
      </c>
      <c r="UN36" s="306">
        <f t="shared" si="126"/>
        <v>18</v>
      </c>
      <c r="UO36" s="306">
        <f t="shared" si="127"/>
        <v>23</v>
      </c>
      <c r="UP36" s="306">
        <f t="shared" si="128"/>
        <v>11</v>
      </c>
      <c r="UQ36" s="306">
        <f t="shared" si="129"/>
        <v>30</v>
      </c>
      <c r="UR36" s="306">
        <f t="shared" si="130"/>
        <v>16</v>
      </c>
      <c r="US36" s="306">
        <f t="shared" si="131"/>
        <v>22</v>
      </c>
      <c r="UT36" s="306">
        <f t="shared" si="132"/>
        <v>30</v>
      </c>
      <c r="UU36" s="306">
        <f t="shared" si="133"/>
        <v>22</v>
      </c>
      <c r="UV36" s="306">
        <f t="shared" si="134"/>
        <v>31</v>
      </c>
      <c r="UW36" s="306">
        <f t="shared" si="135"/>
        <v>33</v>
      </c>
      <c r="UX36" s="306">
        <f t="shared" si="136"/>
        <v>32</v>
      </c>
      <c r="UY36" s="306">
        <f t="shared" si="137"/>
        <v>19</v>
      </c>
      <c r="UZ36" s="306">
        <f t="shared" si="138"/>
        <v>12</v>
      </c>
      <c r="VA36" s="306">
        <f t="shared" si="139"/>
        <v>18</v>
      </c>
      <c r="VB36" s="306">
        <f t="shared" si="140"/>
        <v>25</v>
      </c>
      <c r="VC36" s="306">
        <f t="shared" si="141"/>
        <v>18</v>
      </c>
      <c r="VD36" s="306">
        <f t="shared" si="142"/>
        <v>23</v>
      </c>
      <c r="VE36" s="306">
        <f t="shared" si="143"/>
        <v>26</v>
      </c>
      <c r="VF36" s="306">
        <f t="shared" si="144"/>
        <v>19</v>
      </c>
      <c r="VG36" s="306">
        <f t="shared" si="145"/>
        <v>13</v>
      </c>
      <c r="VH36" s="306">
        <f t="shared" si="146"/>
        <v>29</v>
      </c>
      <c r="VI36" s="306">
        <f t="shared" si="147"/>
        <v>28</v>
      </c>
      <c r="VJ36" s="306">
        <f t="shared" si="148"/>
        <v>30</v>
      </c>
      <c r="VK36" s="306">
        <f t="shared" si="149"/>
        <v>32</v>
      </c>
      <c r="VL36" s="306">
        <f t="shared" si="150"/>
        <v>25</v>
      </c>
      <c r="VN36" s="306">
        <f t="shared" si="151"/>
        <v>0</v>
      </c>
      <c r="WR36" s="357"/>
      <c r="WS36" s="66" t="s">
        <v>116</v>
      </c>
      <c r="WT36" s="225" t="s">
        <v>195</v>
      </c>
      <c r="WU36" s="246" t="s">
        <v>20</v>
      </c>
      <c r="WV36" s="246" t="s">
        <v>2</v>
      </c>
      <c r="WW36" s="335" t="s">
        <v>204</v>
      </c>
      <c r="WX36" s="246" t="s">
        <v>1</v>
      </c>
      <c r="WY36" s="246" t="s">
        <v>15</v>
      </c>
      <c r="WZ36" s="246" t="s">
        <v>1</v>
      </c>
      <c r="XA36" s="246" t="s">
        <v>22</v>
      </c>
      <c r="XB36" s="225" t="s">
        <v>198</v>
      </c>
      <c r="XC36" s="141" t="s">
        <v>8</v>
      </c>
      <c r="XD36" s="141" t="s">
        <v>20</v>
      </c>
      <c r="XE36" s="246" t="s">
        <v>2</v>
      </c>
      <c r="XF36" s="246" t="s">
        <v>43</v>
      </c>
      <c r="XG36" s="240" t="s">
        <v>8</v>
      </c>
      <c r="XH36" s="240" t="s">
        <v>22</v>
      </c>
      <c r="XI36" s="240" t="s">
        <v>205</v>
      </c>
      <c r="XJ36" s="240" t="s">
        <v>7</v>
      </c>
      <c r="XK36" s="240" t="s">
        <v>8</v>
      </c>
      <c r="XL36" s="246" t="s">
        <v>43</v>
      </c>
      <c r="XM36" s="246" t="s">
        <v>43</v>
      </c>
      <c r="XN36" s="159" t="s">
        <v>11</v>
      </c>
      <c r="XO36" s="159" t="s">
        <v>2</v>
      </c>
      <c r="XP36" s="246" t="s">
        <v>6</v>
      </c>
      <c r="XQ36" s="246" t="s">
        <v>43</v>
      </c>
      <c r="XR36" s="326" t="s">
        <v>200</v>
      </c>
      <c r="XS36" s="225" t="s">
        <v>201</v>
      </c>
      <c r="XT36" s="159" t="s">
        <v>14</v>
      </c>
      <c r="XU36" s="159" t="s">
        <v>5</v>
      </c>
      <c r="XV36" s="159" t="s">
        <v>43</v>
      </c>
      <c r="XW36" s="159" t="s">
        <v>10</v>
      </c>
      <c r="XX36" s="225" t="s">
        <v>21</v>
      </c>
      <c r="XY36" s="246" t="s">
        <v>43</v>
      </c>
      <c r="XZ36" s="240" t="s">
        <v>7</v>
      </c>
      <c r="YA36" s="240" t="s">
        <v>3</v>
      </c>
      <c r="YB36" s="327" t="s">
        <v>209</v>
      </c>
      <c r="YC36" s="246" t="s">
        <v>22</v>
      </c>
      <c r="YD36" s="246" t="s">
        <v>185</v>
      </c>
      <c r="YE36" s="246" t="s">
        <v>43</v>
      </c>
      <c r="YF36" s="246" t="s">
        <v>1</v>
      </c>
      <c r="YG36" s="246" t="s">
        <v>1</v>
      </c>
      <c r="YH36" s="246" t="s">
        <v>15</v>
      </c>
      <c r="YI36" s="246" t="s">
        <v>22</v>
      </c>
      <c r="YJ36" s="159" t="s">
        <v>7</v>
      </c>
      <c r="YK36" s="159" t="s">
        <v>43</v>
      </c>
      <c r="YL36" s="159" t="s">
        <v>15</v>
      </c>
      <c r="YM36" s="246" t="s">
        <v>5</v>
      </c>
      <c r="YN36" s="246" t="s">
        <v>261</v>
      </c>
      <c r="AFZ36" s="307"/>
    </row>
    <row r="37" spans="1:858" s="306" customFormat="1" ht="21" x14ac:dyDescent="0.35">
      <c r="A37" s="70">
        <v>28</v>
      </c>
      <c r="B37" s="305"/>
      <c r="C37" s="45" t="s">
        <v>120</v>
      </c>
      <c r="D37" s="45" t="s">
        <v>119</v>
      </c>
      <c r="E37" s="305"/>
      <c r="F37" s="128">
        <v>112.50769015877918</v>
      </c>
      <c r="X37" s="355"/>
      <c r="AA37" s="57" t="s">
        <v>55</v>
      </c>
      <c r="AB37" s="305" t="s">
        <v>23</v>
      </c>
      <c r="AC37" s="183" t="s">
        <v>1</v>
      </c>
      <c r="AD37" s="147" t="s">
        <v>2</v>
      </c>
      <c r="AE37" s="132" t="s">
        <v>3</v>
      </c>
      <c r="AF37" s="203" t="s">
        <v>4</v>
      </c>
      <c r="AG37" s="258" t="s">
        <v>5</v>
      </c>
      <c r="AH37" s="196" t="s">
        <v>6</v>
      </c>
      <c r="AI37" s="253" t="s">
        <v>2</v>
      </c>
      <c r="AJ37" s="253" t="s">
        <v>2</v>
      </c>
      <c r="AK37" s="147" t="s">
        <v>10</v>
      </c>
      <c r="AL37" s="157" t="s">
        <v>2</v>
      </c>
      <c r="AM37" s="217" t="s">
        <v>24</v>
      </c>
      <c r="AN37" s="336" t="s">
        <v>246</v>
      </c>
      <c r="AO37" s="183" t="s">
        <v>3</v>
      </c>
      <c r="AP37" s="224" t="s">
        <v>247</v>
      </c>
      <c r="AQ37" s="243" t="s">
        <v>19</v>
      </c>
      <c r="AR37" s="318" t="s">
        <v>43</v>
      </c>
      <c r="AS37" s="146" t="s">
        <v>9</v>
      </c>
      <c r="AT37" s="210" t="s">
        <v>10</v>
      </c>
      <c r="AU37" s="150" t="s">
        <v>20</v>
      </c>
      <c r="AV37" s="147" t="s">
        <v>7</v>
      </c>
      <c r="AW37" s="147" t="s">
        <v>5</v>
      </c>
      <c r="AX37" s="229" t="s">
        <v>43</v>
      </c>
      <c r="AY37" s="229" t="s">
        <v>43</v>
      </c>
      <c r="AZ37" s="146" t="s">
        <v>15</v>
      </c>
      <c r="BA37" s="146" t="s">
        <v>20</v>
      </c>
      <c r="BB37" s="146" t="s">
        <v>6</v>
      </c>
      <c r="BC37" s="168" t="s">
        <v>21</v>
      </c>
      <c r="BD37" s="224" t="s">
        <v>244</v>
      </c>
      <c r="BE37" s="318" t="s">
        <v>43</v>
      </c>
      <c r="BF37" s="318" t="s">
        <v>43</v>
      </c>
      <c r="BG37" s="253" t="s">
        <v>7</v>
      </c>
      <c r="BH37" s="318" t="s">
        <v>43</v>
      </c>
      <c r="BI37" s="183" t="s">
        <v>14</v>
      </c>
      <c r="BJ37" s="183" t="s">
        <v>5</v>
      </c>
      <c r="BK37" s="183" t="s">
        <v>11</v>
      </c>
      <c r="BL37" s="318" t="s">
        <v>43</v>
      </c>
      <c r="BM37" s="192" t="s">
        <v>5</v>
      </c>
      <c r="BN37" s="192" t="s">
        <v>12</v>
      </c>
      <c r="BO37" s="309"/>
      <c r="BP37" s="319">
        <f t="shared" si="59"/>
        <v>22225.720214458433</v>
      </c>
      <c r="BQ37" s="320" t="s">
        <v>59</v>
      </c>
      <c r="BR37" s="143" t="s">
        <v>2</v>
      </c>
      <c r="BS37" s="227" t="s">
        <v>43</v>
      </c>
      <c r="BT37" s="269" t="s">
        <v>20</v>
      </c>
      <c r="BU37" s="227" t="s">
        <v>43</v>
      </c>
      <c r="BV37" s="196" t="s">
        <v>20</v>
      </c>
      <c r="BW37" s="161" t="s">
        <v>46</v>
      </c>
      <c r="BX37" s="235" t="s">
        <v>252</v>
      </c>
      <c r="BY37" s="241" t="s">
        <v>48</v>
      </c>
      <c r="BZ37" s="177" t="s">
        <v>8</v>
      </c>
      <c r="CA37" s="161" t="s">
        <v>5</v>
      </c>
      <c r="CB37" s="177" t="s">
        <v>8</v>
      </c>
      <c r="CC37" s="193" t="s">
        <v>6</v>
      </c>
      <c r="CD37" s="143" t="s">
        <v>45</v>
      </c>
      <c r="CE37" s="227" t="s">
        <v>43</v>
      </c>
      <c r="CF37" s="208" t="s">
        <v>22</v>
      </c>
      <c r="CG37" s="193" t="s">
        <v>10</v>
      </c>
      <c r="CH37" s="193" t="s">
        <v>20</v>
      </c>
      <c r="CI37" s="318" t="s">
        <v>43</v>
      </c>
      <c r="CJ37" s="70">
        <v>62</v>
      </c>
      <c r="DG37" s="357"/>
      <c r="DI37" s="57" t="s">
        <v>55</v>
      </c>
      <c r="DJ37" s="305" t="s">
        <v>23</v>
      </c>
      <c r="DK37" s="363">
        <f t="shared" si="0"/>
        <v>7</v>
      </c>
      <c r="DL37" s="363">
        <f t="shared" si="1"/>
        <v>5</v>
      </c>
      <c r="DM37" s="363">
        <f t="shared" si="2"/>
        <v>7</v>
      </c>
      <c r="DN37" s="363">
        <f t="shared" si="3"/>
        <v>5</v>
      </c>
      <c r="DO37" s="363">
        <f t="shared" si="4"/>
        <v>7</v>
      </c>
      <c r="DP37" s="363">
        <f t="shared" si="5"/>
        <v>5</v>
      </c>
      <c r="DQ37" s="363">
        <f t="shared" si="6"/>
        <v>3</v>
      </c>
      <c r="DR37" s="363">
        <f t="shared" si="7"/>
        <v>7</v>
      </c>
      <c r="DS37" s="363">
        <f t="shared" si="8"/>
        <v>5</v>
      </c>
      <c r="DT37" s="363">
        <f t="shared" si="9"/>
        <v>5</v>
      </c>
      <c r="DU37" s="363">
        <f t="shared" si="10"/>
        <v>7</v>
      </c>
      <c r="DV37" s="363">
        <f t="shared" si="11"/>
        <v>7</v>
      </c>
      <c r="DW37" s="363">
        <f t="shared" si="12"/>
        <v>7</v>
      </c>
      <c r="DX37" s="363">
        <f t="shared" si="13"/>
        <v>0</v>
      </c>
      <c r="DY37" s="363">
        <f t="shared" si="14"/>
        <v>0</v>
      </c>
      <c r="DZ37" s="363">
        <f t="shared" si="15"/>
        <v>4</v>
      </c>
      <c r="EA37" s="363">
        <f t="shared" si="16"/>
        <v>7</v>
      </c>
      <c r="EB37" s="363">
        <f t="shared" si="17"/>
        <v>0</v>
      </c>
      <c r="EC37" s="363">
        <f t="shared" si="18"/>
        <v>7</v>
      </c>
      <c r="ED37" s="363">
        <f t="shared" si="19"/>
        <v>7</v>
      </c>
      <c r="EE37" s="363">
        <f t="shared" si="20"/>
        <v>2</v>
      </c>
      <c r="EF37" s="363">
        <f t="shared" si="21"/>
        <v>5</v>
      </c>
      <c r="EG37" s="363">
        <f t="shared" si="22"/>
        <v>5</v>
      </c>
      <c r="EH37" s="363">
        <f t="shared" si="23"/>
        <v>5</v>
      </c>
      <c r="EI37" s="363">
        <f t="shared" si="24"/>
        <v>5</v>
      </c>
      <c r="EJ37" s="363">
        <f t="shared" si="25"/>
        <v>5</v>
      </c>
      <c r="EK37" s="363">
        <f t="shared" si="26"/>
        <v>5</v>
      </c>
      <c r="EL37" s="363">
        <f t="shared" si="27"/>
        <v>0</v>
      </c>
      <c r="EM37" s="363">
        <f t="shared" si="28"/>
        <v>0</v>
      </c>
      <c r="EN37" s="363">
        <f t="shared" si="29"/>
        <v>3</v>
      </c>
      <c r="EO37" s="363">
        <f t="shared" si="30"/>
        <v>5</v>
      </c>
      <c r="EP37" s="363">
        <f t="shared" si="31"/>
        <v>2</v>
      </c>
      <c r="EQ37" s="363">
        <f t="shared" si="32"/>
        <v>6</v>
      </c>
      <c r="ER37" s="363">
        <f t="shared" si="33"/>
        <v>5</v>
      </c>
      <c r="ES37" s="363">
        <f t="shared" si="34"/>
        <v>7</v>
      </c>
      <c r="ET37" s="363">
        <f t="shared" si="35"/>
        <v>0</v>
      </c>
      <c r="EU37" s="363">
        <f t="shared" si="36"/>
        <v>7</v>
      </c>
      <c r="EV37" s="363">
        <f t="shared" si="37"/>
        <v>0</v>
      </c>
      <c r="EW37" s="374" t="s">
        <v>59</v>
      </c>
      <c r="EX37" s="363">
        <f t="shared" si="38"/>
        <v>6</v>
      </c>
      <c r="EY37" s="363">
        <f t="shared" si="39"/>
        <v>0</v>
      </c>
      <c r="EZ37" s="363">
        <f t="shared" si="40"/>
        <v>2</v>
      </c>
      <c r="FA37" s="363">
        <f t="shared" si="41"/>
        <v>7</v>
      </c>
      <c r="FB37" s="363">
        <f t="shared" si="42"/>
        <v>7</v>
      </c>
      <c r="FC37" s="363">
        <f t="shared" si="43"/>
        <v>0</v>
      </c>
      <c r="FD37" s="363">
        <f t="shared" si="44"/>
        <v>0</v>
      </c>
      <c r="FE37" s="363">
        <f t="shared" si="45"/>
        <v>0</v>
      </c>
      <c r="FF37" s="363">
        <f t="shared" si="46"/>
        <v>7</v>
      </c>
      <c r="FG37" s="363">
        <f t="shared" si="47"/>
        <v>0</v>
      </c>
      <c r="FH37" s="363">
        <f t="shared" si="48"/>
        <v>7</v>
      </c>
      <c r="FI37" s="363">
        <f t="shared" si="49"/>
        <v>0</v>
      </c>
      <c r="FJ37" s="363">
        <f t="shared" si="50"/>
        <v>7</v>
      </c>
      <c r="FK37" s="363">
        <f t="shared" si="51"/>
        <v>7</v>
      </c>
      <c r="FL37" s="363">
        <f t="shared" si="52"/>
        <v>1</v>
      </c>
      <c r="FM37" s="363">
        <f t="shared" si="53"/>
        <v>7</v>
      </c>
      <c r="FN37" s="363">
        <f t="shared" si="54"/>
        <v>0</v>
      </c>
      <c r="FO37" s="363">
        <f t="shared" si="55"/>
        <v>0</v>
      </c>
      <c r="FP37" s="363">
        <f t="shared" si="60"/>
        <v>7</v>
      </c>
      <c r="FQ37" s="363">
        <f t="shared" si="61"/>
        <v>8</v>
      </c>
      <c r="FR37" s="309">
        <f t="shared" si="62"/>
        <v>15</v>
      </c>
      <c r="GM37" s="357"/>
      <c r="GO37" s="57" t="s">
        <v>55</v>
      </c>
      <c r="GP37" s="305" t="s">
        <v>23</v>
      </c>
      <c r="GQ37" s="244" t="s">
        <v>1</v>
      </c>
      <c r="GR37" s="244" t="s">
        <v>2</v>
      </c>
      <c r="GS37" s="244" t="s">
        <v>3</v>
      </c>
      <c r="GT37" s="244" t="s">
        <v>4</v>
      </c>
      <c r="GU37" s="244" t="s">
        <v>5</v>
      </c>
      <c r="GV37" s="244" t="s">
        <v>6</v>
      </c>
      <c r="GW37" s="244" t="s">
        <v>2</v>
      </c>
      <c r="GX37" s="244" t="s">
        <v>2</v>
      </c>
      <c r="GY37" s="244" t="s">
        <v>10</v>
      </c>
      <c r="GZ37" s="223" t="s">
        <v>2</v>
      </c>
      <c r="HA37" s="366" t="s">
        <v>24</v>
      </c>
      <c r="HB37" s="380" t="s">
        <v>323</v>
      </c>
      <c r="HC37" s="244" t="s">
        <v>3</v>
      </c>
      <c r="HD37" s="366" t="s">
        <v>324</v>
      </c>
      <c r="HE37" s="366" t="s">
        <v>19</v>
      </c>
      <c r="HF37" s="318" t="s">
        <v>43</v>
      </c>
      <c r="HG37" s="244" t="s">
        <v>9</v>
      </c>
      <c r="HH37" s="244" t="s">
        <v>10</v>
      </c>
      <c r="HI37" s="244" t="s">
        <v>20</v>
      </c>
      <c r="HJ37" s="244" t="s">
        <v>7</v>
      </c>
      <c r="HK37" s="244" t="s">
        <v>5</v>
      </c>
      <c r="HL37" s="244" t="s">
        <v>43</v>
      </c>
      <c r="HM37" s="244" t="s">
        <v>43</v>
      </c>
      <c r="HN37" s="244" t="s">
        <v>15</v>
      </c>
      <c r="HO37" s="244" t="s">
        <v>20</v>
      </c>
      <c r="HP37" s="244" t="s">
        <v>6</v>
      </c>
      <c r="HQ37" s="366" t="s">
        <v>21</v>
      </c>
      <c r="HR37" s="366" t="s">
        <v>318</v>
      </c>
      <c r="HS37" s="318" t="s">
        <v>43</v>
      </c>
      <c r="HT37" s="318" t="s">
        <v>43</v>
      </c>
      <c r="HU37" s="244" t="s">
        <v>7</v>
      </c>
      <c r="HV37" s="318" t="s">
        <v>43</v>
      </c>
      <c r="HW37" s="244" t="s">
        <v>14</v>
      </c>
      <c r="HX37" s="244" t="s">
        <v>5</v>
      </c>
      <c r="HY37" s="244" t="s">
        <v>11</v>
      </c>
      <c r="HZ37" s="318" t="s">
        <v>43</v>
      </c>
      <c r="IA37" s="244" t="s">
        <v>5</v>
      </c>
      <c r="IB37" s="244" t="s">
        <v>12</v>
      </c>
      <c r="IC37" s="374" t="s">
        <v>59</v>
      </c>
      <c r="ID37" s="173" t="s">
        <v>2</v>
      </c>
      <c r="IE37" s="173" t="s">
        <v>43</v>
      </c>
      <c r="IF37" s="173" t="s">
        <v>20</v>
      </c>
      <c r="IG37" s="173" t="s">
        <v>43</v>
      </c>
      <c r="IH37" s="244" t="s">
        <v>20</v>
      </c>
      <c r="II37" s="173" t="s">
        <v>46</v>
      </c>
      <c r="IJ37" s="367" t="s">
        <v>320</v>
      </c>
      <c r="IK37" s="368" t="s">
        <v>48</v>
      </c>
      <c r="IL37" s="173" t="s">
        <v>8</v>
      </c>
      <c r="IM37" s="173" t="s">
        <v>5</v>
      </c>
      <c r="IN37" s="173" t="s">
        <v>8</v>
      </c>
      <c r="IO37" s="173" t="s">
        <v>6</v>
      </c>
      <c r="IP37" s="173" t="s">
        <v>45</v>
      </c>
      <c r="IQ37" s="173" t="s">
        <v>43</v>
      </c>
      <c r="IR37" s="173" t="s">
        <v>22</v>
      </c>
      <c r="IS37" s="173" t="s">
        <v>10</v>
      </c>
      <c r="IT37" s="173" t="s">
        <v>20</v>
      </c>
      <c r="IU37" s="318" t="s">
        <v>43</v>
      </c>
      <c r="JN37" s="357"/>
      <c r="JO37" s="369">
        <v>91</v>
      </c>
      <c r="JP37" s="305" t="s">
        <v>146</v>
      </c>
      <c r="JQ37" s="330" t="s">
        <v>169</v>
      </c>
      <c r="JR37" s="67" t="s">
        <v>170</v>
      </c>
      <c r="JS37" s="159" t="s">
        <v>7</v>
      </c>
      <c r="JT37" s="246" t="s">
        <v>43</v>
      </c>
      <c r="JU37" s="205" t="s">
        <v>3</v>
      </c>
      <c r="JV37" s="155" t="s">
        <v>20</v>
      </c>
      <c r="JW37" s="112" t="s">
        <v>188</v>
      </c>
      <c r="JX37" s="254" t="s">
        <v>8</v>
      </c>
      <c r="JY37" s="221" t="s">
        <v>7</v>
      </c>
      <c r="JZ37" s="159" t="s">
        <v>8</v>
      </c>
      <c r="KA37" s="111" t="s">
        <v>189</v>
      </c>
      <c r="KB37" s="116" t="s">
        <v>190</v>
      </c>
      <c r="KC37" s="246" t="s">
        <v>43</v>
      </c>
      <c r="KD37" s="163" t="s">
        <v>20</v>
      </c>
      <c r="KE37" s="182" t="s">
        <v>12</v>
      </c>
      <c r="KF37" s="230" t="s">
        <v>185</v>
      </c>
      <c r="KG37" s="125" t="s">
        <v>4</v>
      </c>
      <c r="KH37" s="226" t="s">
        <v>191</v>
      </c>
      <c r="KI37" s="230" t="s">
        <v>7</v>
      </c>
      <c r="KJ37" s="190" t="s">
        <v>187</v>
      </c>
      <c r="KK37" s="246" t="s">
        <v>43</v>
      </c>
      <c r="KL37" s="159" t="s">
        <v>12</v>
      </c>
      <c r="KM37" s="159" t="s">
        <v>14</v>
      </c>
      <c r="KN37" s="159" t="s">
        <v>6</v>
      </c>
      <c r="KO37" s="182" t="s">
        <v>5</v>
      </c>
      <c r="KP37" s="322">
        <f t="shared" si="63"/>
        <v>24.560323243105898</v>
      </c>
      <c r="KR37" s="329" t="s">
        <v>146</v>
      </c>
      <c r="KS37" s="159" t="s">
        <v>10</v>
      </c>
      <c r="KT37" s="170" t="s">
        <v>9</v>
      </c>
      <c r="KU37" s="221" t="s">
        <v>20</v>
      </c>
      <c r="KV37" s="166" t="s">
        <v>4</v>
      </c>
      <c r="KW37" s="204" t="s">
        <v>193</v>
      </c>
      <c r="KX37" s="240" t="s">
        <v>6</v>
      </c>
      <c r="KY37" s="240" t="s">
        <v>15</v>
      </c>
      <c r="KZ37" s="240" t="s">
        <v>6</v>
      </c>
      <c r="LA37" s="155" t="s">
        <v>10</v>
      </c>
      <c r="LB37" s="246" t="s">
        <v>43</v>
      </c>
      <c r="LC37" s="246" t="s">
        <v>43</v>
      </c>
      <c r="LD37" s="246" t="s">
        <v>43</v>
      </c>
      <c r="LE37" s="246" t="s">
        <v>43</v>
      </c>
      <c r="LF37" s="246" t="s">
        <v>43</v>
      </c>
      <c r="LG37" s="113" t="s">
        <v>228</v>
      </c>
      <c r="LH37" s="358">
        <v>24</v>
      </c>
      <c r="LW37" s="369">
        <v>91</v>
      </c>
      <c r="LX37" s="317" t="s">
        <v>146</v>
      </c>
      <c r="LY37" s="378" t="s">
        <v>169</v>
      </c>
      <c r="LZ37" s="306">
        <f t="shared" si="64"/>
        <v>20</v>
      </c>
      <c r="MA37" s="306">
        <f t="shared" si="65"/>
        <v>13</v>
      </c>
      <c r="MB37" s="306">
        <f t="shared" si="66"/>
        <v>16</v>
      </c>
      <c r="MC37" s="306">
        <f t="shared" si="67"/>
        <v>28</v>
      </c>
      <c r="MD37" s="306">
        <f t="shared" si="68"/>
        <v>17</v>
      </c>
      <c r="ME37" s="306">
        <f t="shared" si="69"/>
        <v>21</v>
      </c>
      <c r="MF37" s="306">
        <f t="shared" si="70"/>
        <v>19</v>
      </c>
      <c r="MG37" s="306">
        <f t="shared" si="71"/>
        <v>23</v>
      </c>
      <c r="MH37" s="306">
        <f t="shared" si="72"/>
        <v>18</v>
      </c>
      <c r="MI37" s="306">
        <f t="shared" si="73"/>
        <v>9</v>
      </c>
      <c r="MJ37" s="306">
        <f t="shared" si="74"/>
        <v>18</v>
      </c>
      <c r="MK37" s="306">
        <f t="shared" si="75"/>
        <v>21</v>
      </c>
      <c r="ML37" s="306">
        <f t="shared" si="76"/>
        <v>17</v>
      </c>
      <c r="MM37" s="306">
        <f t="shared" si="77"/>
        <v>18</v>
      </c>
      <c r="MN37" s="306">
        <f t="shared" si="78"/>
        <v>18</v>
      </c>
      <c r="MO37" s="306">
        <f t="shared" si="79"/>
        <v>11</v>
      </c>
      <c r="MP37" s="306">
        <f t="shared" si="80"/>
        <v>7</v>
      </c>
      <c r="MQ37" s="306">
        <f t="shared" si="81"/>
        <v>21</v>
      </c>
      <c r="MR37" s="306">
        <f t="shared" si="82"/>
        <v>22</v>
      </c>
      <c r="MS37" s="306">
        <f t="shared" si="83"/>
        <v>25</v>
      </c>
      <c r="MT37" s="306">
        <f t="shared" si="84"/>
        <v>26</v>
      </c>
      <c r="MU37" s="306">
        <f t="shared" si="85"/>
        <v>28</v>
      </c>
      <c r="MV37" s="306">
        <f t="shared" si="86"/>
        <v>23</v>
      </c>
      <c r="MY37" s="306">
        <f t="shared" si="87"/>
        <v>25</v>
      </c>
      <c r="MZ37" s="306">
        <f t="shared" si="88"/>
        <v>29</v>
      </c>
      <c r="NA37" s="306">
        <f t="shared" si="89"/>
        <v>28</v>
      </c>
      <c r="NB37" s="306">
        <f t="shared" si="90"/>
        <v>17</v>
      </c>
      <c r="NC37" s="306">
        <f t="shared" si="91"/>
        <v>16</v>
      </c>
      <c r="ND37" s="306">
        <f t="shared" si="92"/>
        <v>28</v>
      </c>
      <c r="NE37" s="306">
        <f t="shared" si="93"/>
        <v>29</v>
      </c>
      <c r="NF37" s="306">
        <f t="shared" si="94"/>
        <v>29</v>
      </c>
      <c r="NG37" s="306">
        <f t="shared" si="95"/>
        <v>17</v>
      </c>
      <c r="NH37" s="306">
        <f t="shared" si="96"/>
        <v>3</v>
      </c>
      <c r="NI37" s="306">
        <f t="shared" si="97"/>
        <v>3</v>
      </c>
      <c r="NJ37" s="306">
        <f t="shared" si="98"/>
        <v>3</v>
      </c>
      <c r="NK37" s="306">
        <f t="shared" si="99"/>
        <v>3</v>
      </c>
      <c r="NL37" s="306">
        <f t="shared" si="100"/>
        <v>3</v>
      </c>
      <c r="NM37" s="306">
        <f t="shared" si="100"/>
        <v>15</v>
      </c>
      <c r="NN37" s="306">
        <f t="shared" si="101"/>
        <v>0</v>
      </c>
      <c r="NO37" s="306">
        <f t="shared" si="102"/>
        <v>0</v>
      </c>
      <c r="NU37" s="378" t="s">
        <v>169</v>
      </c>
      <c r="NV37" s="357"/>
      <c r="NX37" s="246" t="s">
        <v>7</v>
      </c>
      <c r="NY37" s="246" t="s">
        <v>43</v>
      </c>
      <c r="NZ37" s="246" t="s">
        <v>3</v>
      </c>
      <c r="OA37" s="246" t="s">
        <v>20</v>
      </c>
      <c r="OB37" s="372" t="s">
        <v>188</v>
      </c>
      <c r="OC37" s="230" t="s">
        <v>8</v>
      </c>
      <c r="OD37" s="230" t="s">
        <v>7</v>
      </c>
      <c r="OE37" s="230" t="s">
        <v>8</v>
      </c>
      <c r="OF37" s="371" t="s">
        <v>189</v>
      </c>
      <c r="OG37" s="372" t="s">
        <v>190</v>
      </c>
      <c r="OH37" s="246" t="s">
        <v>43</v>
      </c>
      <c r="OI37" s="246" t="s">
        <v>20</v>
      </c>
      <c r="OJ37" s="159" t="s">
        <v>12</v>
      </c>
      <c r="OK37" s="159" t="s">
        <v>185</v>
      </c>
      <c r="OL37" s="246" t="s">
        <v>4</v>
      </c>
      <c r="OM37" s="372" t="s">
        <v>191</v>
      </c>
      <c r="ON37" s="246" t="s">
        <v>7</v>
      </c>
      <c r="OO37" s="225" t="s">
        <v>187</v>
      </c>
      <c r="OP37" s="246" t="s">
        <v>43</v>
      </c>
      <c r="OQ37" s="246" t="s">
        <v>12</v>
      </c>
      <c r="OR37" s="159" t="s">
        <v>14</v>
      </c>
      <c r="OS37" s="159" t="s">
        <v>6</v>
      </c>
      <c r="OT37" s="246" t="s">
        <v>5</v>
      </c>
      <c r="OV37" s="370" t="s">
        <v>146</v>
      </c>
      <c r="OW37" s="246" t="s">
        <v>10</v>
      </c>
      <c r="OX37" s="246" t="s">
        <v>9</v>
      </c>
      <c r="OY37" s="159" t="s">
        <v>20</v>
      </c>
      <c r="OZ37" s="159" t="s">
        <v>4</v>
      </c>
      <c r="PA37" s="225" t="s">
        <v>193</v>
      </c>
      <c r="PB37" s="246" t="s">
        <v>6</v>
      </c>
      <c r="PC37" s="246" t="s">
        <v>15</v>
      </c>
      <c r="PD37" s="246" t="s">
        <v>6</v>
      </c>
      <c r="PE37" s="246" t="s">
        <v>10</v>
      </c>
      <c r="PF37" s="246" t="s">
        <v>43</v>
      </c>
      <c r="PG37" s="246" t="s">
        <v>43</v>
      </c>
      <c r="PH37" s="246" t="s">
        <v>43</v>
      </c>
      <c r="PI37" s="246" t="s">
        <v>43</v>
      </c>
      <c r="PJ37" s="246" t="s">
        <v>43</v>
      </c>
      <c r="PK37" s="373" t="s">
        <v>228</v>
      </c>
      <c r="PM37"/>
      <c r="PN37"/>
      <c r="PO37"/>
      <c r="PP37"/>
      <c r="PQ37"/>
      <c r="PR37"/>
      <c r="PS37"/>
      <c r="PT37"/>
      <c r="QN37" s="357"/>
      <c r="QO37" s="66" t="s">
        <v>117</v>
      </c>
      <c r="QP37" s="204" t="s">
        <v>195</v>
      </c>
      <c r="QQ37" s="166" t="s">
        <v>20</v>
      </c>
      <c r="QR37" s="198" t="s">
        <v>2</v>
      </c>
      <c r="QS37" s="333" t="s">
        <v>204</v>
      </c>
      <c r="QT37" s="159" t="s">
        <v>1</v>
      </c>
      <c r="QU37" s="159" t="s">
        <v>15</v>
      </c>
      <c r="QV37" s="159" t="s">
        <v>1</v>
      </c>
      <c r="QW37" s="131" t="s">
        <v>22</v>
      </c>
      <c r="QX37" s="216" t="s">
        <v>198</v>
      </c>
      <c r="QY37" s="246" t="s">
        <v>8</v>
      </c>
      <c r="QZ37" s="166" t="s">
        <v>11</v>
      </c>
      <c r="RA37" s="221" t="s">
        <v>2</v>
      </c>
      <c r="RB37" s="246" t="s">
        <v>43</v>
      </c>
      <c r="RC37" s="182" t="s">
        <v>8</v>
      </c>
      <c r="RD37" s="166" t="s">
        <v>22</v>
      </c>
      <c r="RE37" s="230" t="s">
        <v>8</v>
      </c>
      <c r="RF37" s="159" t="s">
        <v>7</v>
      </c>
      <c r="RG37" s="159" t="s">
        <v>8</v>
      </c>
      <c r="RH37" s="246" t="s">
        <v>43</v>
      </c>
      <c r="RI37" s="246" t="s">
        <v>43</v>
      </c>
      <c r="RJ37" s="125" t="s">
        <v>11</v>
      </c>
      <c r="RK37" s="246" t="s">
        <v>22</v>
      </c>
      <c r="RL37" s="131" t="s">
        <v>6</v>
      </c>
      <c r="RM37" s="246" t="s">
        <v>43</v>
      </c>
      <c r="RN37" s="312" t="s">
        <v>43</v>
      </c>
      <c r="RO37" s="124" t="s">
        <v>201</v>
      </c>
      <c r="RP37" s="254" t="s">
        <v>5</v>
      </c>
      <c r="RQ37" s="230" t="s">
        <v>5</v>
      </c>
      <c r="RR37" s="246" t="s">
        <v>43</v>
      </c>
      <c r="RS37" s="254" t="s">
        <v>20</v>
      </c>
      <c r="RT37" s="235" t="s">
        <v>21</v>
      </c>
      <c r="RU37" s="246" t="s">
        <v>43</v>
      </c>
      <c r="RV37" s="182" t="s">
        <v>7</v>
      </c>
      <c r="RW37" s="182" t="s">
        <v>7</v>
      </c>
      <c r="RX37" s="334" t="s">
        <v>209</v>
      </c>
      <c r="RY37" s="158" t="s">
        <v>22</v>
      </c>
      <c r="RZ37" s="159" t="s">
        <v>185</v>
      </c>
      <c r="SA37" s="246" t="s">
        <v>43</v>
      </c>
      <c r="SB37" s="221" t="s">
        <v>1</v>
      </c>
      <c r="SC37" s="176" t="s">
        <v>1</v>
      </c>
      <c r="SD37" s="166" t="s">
        <v>15</v>
      </c>
      <c r="SE37" s="211" t="s">
        <v>22</v>
      </c>
      <c r="SF37" s="176" t="s">
        <v>7</v>
      </c>
      <c r="SG37" s="246" t="s">
        <v>43</v>
      </c>
      <c r="SH37" s="254" t="s">
        <v>15</v>
      </c>
      <c r="SI37" s="131" t="s">
        <v>5</v>
      </c>
      <c r="SJ37" s="221" t="s">
        <v>261</v>
      </c>
      <c r="SK37" s="322">
        <f t="shared" si="103"/>
        <v>1822.0089597917431</v>
      </c>
      <c r="SM37" s="362">
        <v>24</v>
      </c>
      <c r="SO37"/>
      <c r="SP37"/>
      <c r="TP37" s="357"/>
      <c r="TQ37" s="66" t="s">
        <v>117</v>
      </c>
      <c r="TR37" s="306">
        <f t="shared" si="104"/>
        <v>31</v>
      </c>
      <c r="TS37" s="306">
        <f t="shared" si="105"/>
        <v>23</v>
      </c>
      <c r="TT37" s="306">
        <f t="shared" si="106"/>
        <v>12</v>
      </c>
      <c r="TU37" s="306">
        <f t="shared" si="107"/>
        <v>9</v>
      </c>
      <c r="TV37" s="306">
        <f t="shared" si="108"/>
        <v>12</v>
      </c>
      <c r="TW37" s="306">
        <f t="shared" si="109"/>
        <v>12</v>
      </c>
      <c r="TX37" s="306">
        <f t="shared" si="110"/>
        <v>12</v>
      </c>
      <c r="TY37" s="306">
        <f t="shared" si="111"/>
        <v>33</v>
      </c>
      <c r="TZ37" s="306">
        <f t="shared" si="112"/>
        <v>33</v>
      </c>
      <c r="UA37" s="306">
        <f t="shared" si="113"/>
        <v>24</v>
      </c>
      <c r="UB37" s="306">
        <f t="shared" si="114"/>
        <v>19</v>
      </c>
      <c r="UC37" s="306">
        <f t="shared" si="115"/>
        <v>23</v>
      </c>
      <c r="UD37" s="306">
        <f t="shared" si="116"/>
        <v>27</v>
      </c>
      <c r="UE37" s="306">
        <f t="shared" si="117"/>
        <v>26</v>
      </c>
      <c r="UF37" s="306">
        <f t="shared" si="118"/>
        <v>12</v>
      </c>
      <c r="UG37" s="306">
        <f t="shared" si="119"/>
        <v>5</v>
      </c>
      <c r="UH37" s="306">
        <f t="shared" si="120"/>
        <v>28</v>
      </c>
      <c r="UI37" s="306">
        <f t="shared" si="121"/>
        <v>32</v>
      </c>
      <c r="UJ37" s="306">
        <f t="shared" si="122"/>
        <v>26</v>
      </c>
      <c r="UK37" s="306">
        <f t="shared" si="123"/>
        <v>31</v>
      </c>
      <c r="UL37" s="306">
        <f t="shared" si="124"/>
        <v>26</v>
      </c>
      <c r="UM37" s="306">
        <f t="shared" si="125"/>
        <v>2</v>
      </c>
      <c r="UN37" s="306">
        <f t="shared" si="126"/>
        <v>18</v>
      </c>
      <c r="UO37" s="306">
        <f t="shared" si="127"/>
        <v>23</v>
      </c>
      <c r="UP37" s="306">
        <f t="shared" si="128"/>
        <v>13</v>
      </c>
      <c r="UQ37" s="306">
        <f t="shared" si="129"/>
        <v>30</v>
      </c>
      <c r="UR37" s="306">
        <f t="shared" si="130"/>
        <v>7</v>
      </c>
      <c r="US37" s="306">
        <f t="shared" si="131"/>
        <v>22</v>
      </c>
      <c r="UT37" s="306">
        <f t="shared" si="132"/>
        <v>30</v>
      </c>
      <c r="UU37" s="306">
        <f t="shared" si="133"/>
        <v>7</v>
      </c>
      <c r="UV37" s="306">
        <f t="shared" si="134"/>
        <v>31</v>
      </c>
      <c r="UW37" s="306">
        <f t="shared" si="135"/>
        <v>33</v>
      </c>
      <c r="UX37" s="306">
        <f t="shared" si="136"/>
        <v>32</v>
      </c>
      <c r="UY37" s="306">
        <f t="shared" si="137"/>
        <v>17</v>
      </c>
      <c r="UZ37" s="306">
        <f t="shared" si="138"/>
        <v>12</v>
      </c>
      <c r="VA37" s="306">
        <f t="shared" si="139"/>
        <v>18</v>
      </c>
      <c r="VB37" s="306">
        <f t="shared" si="140"/>
        <v>25</v>
      </c>
      <c r="VC37" s="306">
        <f t="shared" si="141"/>
        <v>18</v>
      </c>
      <c r="VD37" s="306">
        <f t="shared" si="142"/>
        <v>23</v>
      </c>
      <c r="VE37" s="306">
        <f t="shared" si="143"/>
        <v>26</v>
      </c>
      <c r="VF37" s="306">
        <f t="shared" si="144"/>
        <v>19</v>
      </c>
      <c r="VG37" s="306">
        <f t="shared" si="145"/>
        <v>13</v>
      </c>
      <c r="VH37" s="306">
        <f t="shared" si="146"/>
        <v>29</v>
      </c>
      <c r="VI37" s="306">
        <f t="shared" si="147"/>
        <v>28</v>
      </c>
      <c r="VJ37" s="306">
        <f t="shared" si="148"/>
        <v>30</v>
      </c>
      <c r="VK37" s="306">
        <f t="shared" si="149"/>
        <v>32</v>
      </c>
      <c r="VL37" s="306">
        <f t="shared" si="150"/>
        <v>25</v>
      </c>
      <c r="VN37" s="306">
        <f t="shared" si="151"/>
        <v>0</v>
      </c>
      <c r="WR37" s="357"/>
      <c r="WS37" s="66" t="s">
        <v>117</v>
      </c>
      <c r="WT37" s="225" t="s">
        <v>195</v>
      </c>
      <c r="WU37" s="246" t="s">
        <v>20</v>
      </c>
      <c r="WV37" s="246" t="s">
        <v>2</v>
      </c>
      <c r="WW37" s="335" t="s">
        <v>204</v>
      </c>
      <c r="WX37" s="246" t="s">
        <v>1</v>
      </c>
      <c r="WY37" s="246" t="s">
        <v>15</v>
      </c>
      <c r="WZ37" s="246" t="s">
        <v>1</v>
      </c>
      <c r="XA37" s="246" t="s">
        <v>22</v>
      </c>
      <c r="XB37" s="225" t="s">
        <v>198</v>
      </c>
      <c r="XC37" s="240" t="s">
        <v>8</v>
      </c>
      <c r="XD37" s="240" t="s">
        <v>11</v>
      </c>
      <c r="XE37" s="240" t="s">
        <v>2</v>
      </c>
      <c r="XF37" s="246" t="s">
        <v>43</v>
      </c>
      <c r="XG37" s="240" t="s">
        <v>8</v>
      </c>
      <c r="XH37" s="240" t="s">
        <v>22</v>
      </c>
      <c r="XI37" s="246" t="s">
        <v>8</v>
      </c>
      <c r="XJ37" s="246" t="s">
        <v>7</v>
      </c>
      <c r="XK37" s="246" t="s">
        <v>8</v>
      </c>
      <c r="XL37" s="246" t="s">
        <v>43</v>
      </c>
      <c r="XM37" s="246" t="s">
        <v>43</v>
      </c>
      <c r="XN37" s="246" t="s">
        <v>11</v>
      </c>
      <c r="XO37" s="246" t="s">
        <v>22</v>
      </c>
      <c r="XP37" s="246" t="s">
        <v>6</v>
      </c>
      <c r="XQ37" s="246" t="s">
        <v>43</v>
      </c>
      <c r="XR37" s="312" t="s">
        <v>43</v>
      </c>
      <c r="XS37" s="225" t="s">
        <v>201</v>
      </c>
      <c r="XT37" s="166" t="s">
        <v>5</v>
      </c>
      <c r="XU37" s="166" t="s">
        <v>5</v>
      </c>
      <c r="XV37" s="246" t="s">
        <v>43</v>
      </c>
      <c r="XW37" s="246" t="s">
        <v>20</v>
      </c>
      <c r="XX37" s="225" t="s">
        <v>21</v>
      </c>
      <c r="XY37" s="246" t="s">
        <v>43</v>
      </c>
      <c r="XZ37" s="166" t="s">
        <v>7</v>
      </c>
      <c r="YA37" s="166" t="s">
        <v>7</v>
      </c>
      <c r="YB37" s="327" t="s">
        <v>209</v>
      </c>
      <c r="YC37" s="246" t="s">
        <v>22</v>
      </c>
      <c r="YD37" s="246" t="s">
        <v>185</v>
      </c>
      <c r="YE37" s="246" t="s">
        <v>43</v>
      </c>
      <c r="YF37" s="246" t="s">
        <v>1</v>
      </c>
      <c r="YG37" s="246" t="s">
        <v>1</v>
      </c>
      <c r="YH37" s="246" t="s">
        <v>15</v>
      </c>
      <c r="YI37" s="246" t="s">
        <v>22</v>
      </c>
      <c r="YJ37" s="159" t="s">
        <v>7</v>
      </c>
      <c r="YK37" s="159" t="s">
        <v>43</v>
      </c>
      <c r="YL37" s="159" t="s">
        <v>15</v>
      </c>
      <c r="YM37" s="246" t="s">
        <v>5</v>
      </c>
      <c r="YN37" s="246" t="s">
        <v>261</v>
      </c>
      <c r="AFZ37" s="307"/>
    </row>
    <row r="38" spans="1:858" s="306" customFormat="1" ht="21" x14ac:dyDescent="0.35">
      <c r="A38" s="70">
        <v>29</v>
      </c>
      <c r="B38" s="305"/>
      <c r="C38" s="45" t="s">
        <v>121</v>
      </c>
      <c r="D38" s="45" t="s">
        <v>119</v>
      </c>
      <c r="E38" s="305"/>
      <c r="F38" s="128">
        <v>77.881049738832516</v>
      </c>
      <c r="X38" s="355"/>
      <c r="AA38" s="57" t="s">
        <v>55</v>
      </c>
      <c r="AB38" s="305" t="s">
        <v>23</v>
      </c>
      <c r="AC38" s="183" t="s">
        <v>1</v>
      </c>
      <c r="AD38" s="147" t="s">
        <v>2</v>
      </c>
      <c r="AE38" s="132" t="s">
        <v>3</v>
      </c>
      <c r="AF38" s="203" t="s">
        <v>4</v>
      </c>
      <c r="AG38" s="258" t="s">
        <v>5</v>
      </c>
      <c r="AH38" s="196" t="s">
        <v>6</v>
      </c>
      <c r="AI38" s="253" t="s">
        <v>2</v>
      </c>
      <c r="AJ38" s="253" t="s">
        <v>2</v>
      </c>
      <c r="AK38" s="147" t="s">
        <v>10</v>
      </c>
      <c r="AL38" s="157" t="s">
        <v>2</v>
      </c>
      <c r="AM38" s="217" t="s">
        <v>24</v>
      </c>
      <c r="AN38" s="336" t="s">
        <v>246</v>
      </c>
      <c r="AO38" s="183" t="s">
        <v>3</v>
      </c>
      <c r="AP38" s="224" t="s">
        <v>247</v>
      </c>
      <c r="AQ38" s="243" t="s">
        <v>19</v>
      </c>
      <c r="AR38" s="318" t="s">
        <v>43</v>
      </c>
      <c r="AS38" s="146" t="s">
        <v>9</v>
      </c>
      <c r="AT38" s="210" t="s">
        <v>10</v>
      </c>
      <c r="AU38" s="150" t="s">
        <v>20</v>
      </c>
      <c r="AV38" s="147" t="s">
        <v>7</v>
      </c>
      <c r="AW38" s="147" t="s">
        <v>5</v>
      </c>
      <c r="AX38" s="229" t="s">
        <v>43</v>
      </c>
      <c r="AY38" s="229" t="s">
        <v>43</v>
      </c>
      <c r="AZ38" s="146" t="s">
        <v>15</v>
      </c>
      <c r="BA38" s="146" t="s">
        <v>20</v>
      </c>
      <c r="BB38" s="146" t="s">
        <v>6</v>
      </c>
      <c r="BC38" s="168" t="s">
        <v>21</v>
      </c>
      <c r="BD38" s="224" t="s">
        <v>244</v>
      </c>
      <c r="BE38" s="318" t="s">
        <v>43</v>
      </c>
      <c r="BF38" s="318" t="s">
        <v>43</v>
      </c>
      <c r="BG38" s="253" t="s">
        <v>7</v>
      </c>
      <c r="BH38" s="318" t="s">
        <v>43</v>
      </c>
      <c r="BI38" s="183" t="s">
        <v>14</v>
      </c>
      <c r="BJ38" s="183" t="s">
        <v>5</v>
      </c>
      <c r="BK38" s="183" t="s">
        <v>11</v>
      </c>
      <c r="BL38" s="318" t="s">
        <v>43</v>
      </c>
      <c r="BM38" s="192" t="s">
        <v>5</v>
      </c>
      <c r="BN38" s="192" t="s">
        <v>12</v>
      </c>
      <c r="BO38" s="309"/>
      <c r="BP38" s="319">
        <f t="shared" si="59"/>
        <v>23090.872506233121</v>
      </c>
      <c r="BQ38" s="320" t="s">
        <v>69</v>
      </c>
      <c r="BR38" s="143" t="s">
        <v>2</v>
      </c>
      <c r="BS38" s="227" t="s">
        <v>43</v>
      </c>
      <c r="BT38" s="269" t="s">
        <v>20</v>
      </c>
      <c r="BU38" s="227" t="s">
        <v>43</v>
      </c>
      <c r="BV38" s="196" t="s">
        <v>20</v>
      </c>
      <c r="BW38" s="161" t="s">
        <v>46</v>
      </c>
      <c r="BX38" s="235" t="s">
        <v>252</v>
      </c>
      <c r="BY38" s="241" t="s">
        <v>48</v>
      </c>
      <c r="BZ38" s="177" t="s">
        <v>8</v>
      </c>
      <c r="CA38" s="161" t="s">
        <v>5</v>
      </c>
      <c r="CB38" s="177" t="s">
        <v>8</v>
      </c>
      <c r="CC38" s="193" t="s">
        <v>6</v>
      </c>
      <c r="CD38" s="143" t="s">
        <v>45</v>
      </c>
      <c r="CE38" s="227" t="s">
        <v>43</v>
      </c>
      <c r="CF38" s="208" t="s">
        <v>22</v>
      </c>
      <c r="CG38" s="250" t="s">
        <v>11</v>
      </c>
      <c r="CH38" s="193" t="s">
        <v>20</v>
      </c>
      <c r="CI38" s="318" t="s">
        <v>43</v>
      </c>
      <c r="CJ38" s="70">
        <v>63</v>
      </c>
      <c r="DG38" s="357"/>
      <c r="DI38" s="57" t="s">
        <v>55</v>
      </c>
      <c r="DJ38" s="305" t="s">
        <v>23</v>
      </c>
      <c r="DK38" s="363">
        <f t="shared" si="0"/>
        <v>7</v>
      </c>
      <c r="DL38" s="363">
        <f t="shared" si="1"/>
        <v>5</v>
      </c>
      <c r="DM38" s="363">
        <f t="shared" si="2"/>
        <v>7</v>
      </c>
      <c r="DN38" s="363">
        <f t="shared" si="3"/>
        <v>5</v>
      </c>
      <c r="DO38" s="363">
        <f t="shared" si="4"/>
        <v>7</v>
      </c>
      <c r="DP38" s="363">
        <f t="shared" si="5"/>
        <v>5</v>
      </c>
      <c r="DQ38" s="363">
        <f t="shared" si="6"/>
        <v>3</v>
      </c>
      <c r="DR38" s="363">
        <f t="shared" si="7"/>
        <v>7</v>
      </c>
      <c r="DS38" s="363">
        <f t="shared" si="8"/>
        <v>5</v>
      </c>
      <c r="DT38" s="363">
        <f t="shared" si="9"/>
        <v>5</v>
      </c>
      <c r="DU38" s="363">
        <f t="shared" si="10"/>
        <v>7</v>
      </c>
      <c r="DV38" s="363">
        <f t="shared" si="11"/>
        <v>7</v>
      </c>
      <c r="DW38" s="363">
        <f t="shared" si="12"/>
        <v>7</v>
      </c>
      <c r="DX38" s="363">
        <f t="shared" si="13"/>
        <v>0</v>
      </c>
      <c r="DY38" s="363">
        <f t="shared" si="14"/>
        <v>0</v>
      </c>
      <c r="DZ38" s="363">
        <f t="shared" si="15"/>
        <v>4</v>
      </c>
      <c r="EA38" s="363">
        <f t="shared" si="16"/>
        <v>7</v>
      </c>
      <c r="EB38" s="363">
        <f t="shared" si="17"/>
        <v>0</v>
      </c>
      <c r="EC38" s="363">
        <f t="shared" si="18"/>
        <v>7</v>
      </c>
      <c r="ED38" s="363">
        <f t="shared" si="19"/>
        <v>7</v>
      </c>
      <c r="EE38" s="363">
        <f t="shared" si="20"/>
        <v>2</v>
      </c>
      <c r="EF38" s="363">
        <f t="shared" si="21"/>
        <v>5</v>
      </c>
      <c r="EG38" s="363">
        <f t="shared" si="22"/>
        <v>5</v>
      </c>
      <c r="EH38" s="363">
        <f t="shared" si="23"/>
        <v>5</v>
      </c>
      <c r="EI38" s="363">
        <f t="shared" si="24"/>
        <v>5</v>
      </c>
      <c r="EJ38" s="363">
        <f t="shared" si="25"/>
        <v>5</v>
      </c>
      <c r="EK38" s="363">
        <f t="shared" si="26"/>
        <v>5</v>
      </c>
      <c r="EL38" s="363">
        <f t="shared" si="27"/>
        <v>0</v>
      </c>
      <c r="EM38" s="363">
        <f t="shared" si="28"/>
        <v>0</v>
      </c>
      <c r="EN38" s="363">
        <f t="shared" si="29"/>
        <v>3</v>
      </c>
      <c r="EO38" s="363">
        <f t="shared" si="30"/>
        <v>5</v>
      </c>
      <c r="EP38" s="363">
        <f t="shared" si="31"/>
        <v>2</v>
      </c>
      <c r="EQ38" s="363">
        <f t="shared" si="32"/>
        <v>6</v>
      </c>
      <c r="ER38" s="363">
        <f t="shared" si="33"/>
        <v>5</v>
      </c>
      <c r="ES38" s="363">
        <f t="shared" si="34"/>
        <v>7</v>
      </c>
      <c r="ET38" s="363">
        <f t="shared" si="35"/>
        <v>0</v>
      </c>
      <c r="EU38" s="363">
        <f t="shared" si="36"/>
        <v>7</v>
      </c>
      <c r="EV38" s="363">
        <f t="shared" si="37"/>
        <v>0</v>
      </c>
      <c r="EW38" s="320" t="s">
        <v>69</v>
      </c>
      <c r="EX38" s="363">
        <f t="shared" si="38"/>
        <v>6</v>
      </c>
      <c r="EY38" s="363">
        <f t="shared" si="39"/>
        <v>0</v>
      </c>
      <c r="EZ38" s="363">
        <f t="shared" si="40"/>
        <v>2</v>
      </c>
      <c r="FA38" s="363">
        <f t="shared" si="41"/>
        <v>7</v>
      </c>
      <c r="FB38" s="363">
        <f t="shared" si="42"/>
        <v>7</v>
      </c>
      <c r="FC38" s="363">
        <f t="shared" si="43"/>
        <v>0</v>
      </c>
      <c r="FD38" s="363">
        <f t="shared" si="44"/>
        <v>0</v>
      </c>
      <c r="FE38" s="363">
        <f t="shared" si="45"/>
        <v>0</v>
      </c>
      <c r="FF38" s="363">
        <f t="shared" si="46"/>
        <v>7</v>
      </c>
      <c r="FG38" s="363">
        <f t="shared" si="47"/>
        <v>0</v>
      </c>
      <c r="FH38" s="363">
        <f t="shared" si="48"/>
        <v>7</v>
      </c>
      <c r="FI38" s="363">
        <f t="shared" si="49"/>
        <v>0</v>
      </c>
      <c r="FJ38" s="363">
        <f t="shared" si="50"/>
        <v>7</v>
      </c>
      <c r="FK38" s="363">
        <f t="shared" si="51"/>
        <v>7</v>
      </c>
      <c r="FL38" s="363">
        <f t="shared" si="52"/>
        <v>1</v>
      </c>
      <c r="FM38" s="363">
        <f t="shared" si="53"/>
        <v>0</v>
      </c>
      <c r="FN38" s="363">
        <f t="shared" si="54"/>
        <v>0</v>
      </c>
      <c r="FO38" s="363">
        <f t="shared" si="55"/>
        <v>0</v>
      </c>
      <c r="FP38" s="363">
        <f t="shared" si="60"/>
        <v>7</v>
      </c>
      <c r="FQ38" s="363">
        <f t="shared" si="61"/>
        <v>9</v>
      </c>
      <c r="FR38" s="309">
        <f t="shared" si="62"/>
        <v>16</v>
      </c>
      <c r="GM38" s="357"/>
      <c r="GO38" s="57" t="s">
        <v>55</v>
      </c>
      <c r="GP38" s="305" t="s">
        <v>23</v>
      </c>
      <c r="GQ38" s="244" t="s">
        <v>1</v>
      </c>
      <c r="GR38" s="244" t="s">
        <v>2</v>
      </c>
      <c r="GS38" s="244" t="s">
        <v>3</v>
      </c>
      <c r="GT38" s="244" t="s">
        <v>4</v>
      </c>
      <c r="GU38" s="244" t="s">
        <v>5</v>
      </c>
      <c r="GV38" s="244" t="s">
        <v>6</v>
      </c>
      <c r="GW38" s="244" t="s">
        <v>2</v>
      </c>
      <c r="GX38" s="244" t="s">
        <v>2</v>
      </c>
      <c r="GY38" s="244" t="s">
        <v>10</v>
      </c>
      <c r="GZ38" s="223" t="s">
        <v>2</v>
      </c>
      <c r="HA38" s="366" t="s">
        <v>24</v>
      </c>
      <c r="HB38" s="380" t="s">
        <v>323</v>
      </c>
      <c r="HC38" s="244" t="s">
        <v>3</v>
      </c>
      <c r="HD38" s="366" t="s">
        <v>324</v>
      </c>
      <c r="HE38" s="366" t="s">
        <v>19</v>
      </c>
      <c r="HF38" s="318" t="s">
        <v>43</v>
      </c>
      <c r="HG38" s="244" t="s">
        <v>9</v>
      </c>
      <c r="HH38" s="244" t="s">
        <v>10</v>
      </c>
      <c r="HI38" s="244" t="s">
        <v>20</v>
      </c>
      <c r="HJ38" s="244" t="s">
        <v>7</v>
      </c>
      <c r="HK38" s="244" t="s">
        <v>5</v>
      </c>
      <c r="HL38" s="244" t="s">
        <v>43</v>
      </c>
      <c r="HM38" s="244" t="s">
        <v>43</v>
      </c>
      <c r="HN38" s="244" t="s">
        <v>15</v>
      </c>
      <c r="HO38" s="244" t="s">
        <v>20</v>
      </c>
      <c r="HP38" s="244" t="s">
        <v>6</v>
      </c>
      <c r="HQ38" s="366" t="s">
        <v>21</v>
      </c>
      <c r="HR38" s="366" t="s">
        <v>318</v>
      </c>
      <c r="HS38" s="318" t="s">
        <v>43</v>
      </c>
      <c r="HT38" s="318" t="s">
        <v>43</v>
      </c>
      <c r="HU38" s="244" t="s">
        <v>7</v>
      </c>
      <c r="HV38" s="318" t="s">
        <v>43</v>
      </c>
      <c r="HW38" s="244" t="s">
        <v>14</v>
      </c>
      <c r="HX38" s="244" t="s">
        <v>5</v>
      </c>
      <c r="HY38" s="244" t="s">
        <v>11</v>
      </c>
      <c r="HZ38" s="318" t="s">
        <v>43</v>
      </c>
      <c r="IA38" s="244" t="s">
        <v>5</v>
      </c>
      <c r="IB38" s="244" t="s">
        <v>12</v>
      </c>
      <c r="IC38" s="320" t="s">
        <v>69</v>
      </c>
      <c r="ID38" s="173" t="s">
        <v>2</v>
      </c>
      <c r="IE38" s="173" t="s">
        <v>43</v>
      </c>
      <c r="IF38" s="173" t="s">
        <v>20</v>
      </c>
      <c r="IG38" s="173" t="s">
        <v>43</v>
      </c>
      <c r="IH38" s="244" t="s">
        <v>20</v>
      </c>
      <c r="II38" s="173" t="s">
        <v>46</v>
      </c>
      <c r="IJ38" s="367" t="s">
        <v>320</v>
      </c>
      <c r="IK38" s="368" t="s">
        <v>48</v>
      </c>
      <c r="IL38" s="173" t="s">
        <v>8</v>
      </c>
      <c r="IM38" s="173" t="s">
        <v>5</v>
      </c>
      <c r="IN38" s="173" t="s">
        <v>8</v>
      </c>
      <c r="IO38" s="173" t="s">
        <v>6</v>
      </c>
      <c r="IP38" s="173" t="s">
        <v>45</v>
      </c>
      <c r="IQ38" s="173" t="s">
        <v>43</v>
      </c>
      <c r="IR38" s="173" t="s">
        <v>22</v>
      </c>
      <c r="IS38" s="173" t="s">
        <v>11</v>
      </c>
      <c r="IT38" s="173" t="s">
        <v>20</v>
      </c>
      <c r="IU38" s="318" t="s">
        <v>43</v>
      </c>
      <c r="JN38" s="357"/>
      <c r="JO38" s="369">
        <v>92</v>
      </c>
      <c r="JP38" s="305" t="s">
        <v>171</v>
      </c>
      <c r="JQ38" s="330" t="s">
        <v>169</v>
      </c>
      <c r="JR38" s="67" t="s">
        <v>170</v>
      </c>
      <c r="JS38" s="159" t="s">
        <v>7</v>
      </c>
      <c r="JT38" s="246" t="s">
        <v>43</v>
      </c>
      <c r="JU38" s="205" t="s">
        <v>3</v>
      </c>
      <c r="JV38" s="155" t="s">
        <v>20</v>
      </c>
      <c r="JW38" s="112" t="s">
        <v>188</v>
      </c>
      <c r="JX38" s="254" t="s">
        <v>8</v>
      </c>
      <c r="JY38" s="221" t="s">
        <v>7</v>
      </c>
      <c r="JZ38" s="159" t="s">
        <v>8</v>
      </c>
      <c r="KA38" s="111" t="s">
        <v>189</v>
      </c>
      <c r="KB38" s="116" t="s">
        <v>190</v>
      </c>
      <c r="KC38" s="246" t="s">
        <v>43</v>
      </c>
      <c r="KD38" s="163" t="s">
        <v>20</v>
      </c>
      <c r="KE38" s="182" t="s">
        <v>12</v>
      </c>
      <c r="KF38" s="230" t="s">
        <v>185</v>
      </c>
      <c r="KG38" s="125" t="s">
        <v>4</v>
      </c>
      <c r="KH38" s="226" t="s">
        <v>191</v>
      </c>
      <c r="KI38" s="230" t="s">
        <v>7</v>
      </c>
      <c r="KJ38" s="190" t="s">
        <v>187</v>
      </c>
      <c r="KK38" s="246" t="s">
        <v>43</v>
      </c>
      <c r="KL38" s="159" t="s">
        <v>12</v>
      </c>
      <c r="KM38" s="159" t="s">
        <v>14</v>
      </c>
      <c r="KN38" s="159" t="s">
        <v>6</v>
      </c>
      <c r="KO38" s="182" t="s">
        <v>5</v>
      </c>
      <c r="KP38" s="322">
        <f t="shared" si="63"/>
        <v>41.861871110443204</v>
      </c>
      <c r="KR38" s="329" t="s">
        <v>171</v>
      </c>
      <c r="KS38" s="159" t="s">
        <v>10</v>
      </c>
      <c r="KT38" s="170" t="s">
        <v>9</v>
      </c>
      <c r="KU38" s="254" t="s">
        <v>11</v>
      </c>
      <c r="KV38" s="166" t="s">
        <v>4</v>
      </c>
      <c r="KW38" s="204" t="s">
        <v>193</v>
      </c>
      <c r="KX38" s="240" t="s">
        <v>6</v>
      </c>
      <c r="KY38" s="240" t="s">
        <v>15</v>
      </c>
      <c r="KZ38" s="240" t="s">
        <v>6</v>
      </c>
      <c r="LA38" s="158" t="s">
        <v>15</v>
      </c>
      <c r="LB38" s="166" t="s">
        <v>9</v>
      </c>
      <c r="LC38" s="159" t="s">
        <v>185</v>
      </c>
      <c r="LD38" s="159" t="s">
        <v>6</v>
      </c>
      <c r="LE38" s="159" t="s">
        <v>8</v>
      </c>
      <c r="LF38" s="166" t="s">
        <v>15</v>
      </c>
      <c r="LG38" s="113" t="s">
        <v>228</v>
      </c>
      <c r="LH38" s="358">
        <v>25</v>
      </c>
      <c r="LW38" s="369">
        <v>92</v>
      </c>
      <c r="LX38" s="317" t="s">
        <v>171</v>
      </c>
      <c r="LY38" s="378" t="s">
        <v>169</v>
      </c>
      <c r="LZ38" s="306">
        <f t="shared" si="64"/>
        <v>20</v>
      </c>
      <c r="MA38" s="306">
        <f t="shared" si="65"/>
        <v>13</v>
      </c>
      <c r="MB38" s="306">
        <f t="shared" si="66"/>
        <v>16</v>
      </c>
      <c r="MC38" s="306">
        <f t="shared" si="67"/>
        <v>28</v>
      </c>
      <c r="MD38" s="306">
        <f t="shared" si="68"/>
        <v>17</v>
      </c>
      <c r="ME38" s="306">
        <f t="shared" si="69"/>
        <v>21</v>
      </c>
      <c r="MF38" s="306">
        <f t="shared" si="70"/>
        <v>19</v>
      </c>
      <c r="MG38" s="306">
        <f t="shared" si="71"/>
        <v>23</v>
      </c>
      <c r="MH38" s="306">
        <f t="shared" si="72"/>
        <v>18</v>
      </c>
      <c r="MI38" s="306">
        <f t="shared" si="73"/>
        <v>9</v>
      </c>
      <c r="MJ38" s="306">
        <f t="shared" si="74"/>
        <v>18</v>
      </c>
      <c r="MK38" s="306">
        <f t="shared" si="75"/>
        <v>21</v>
      </c>
      <c r="ML38" s="306">
        <f t="shared" si="76"/>
        <v>17</v>
      </c>
      <c r="MM38" s="306">
        <f t="shared" si="77"/>
        <v>18</v>
      </c>
      <c r="MN38" s="306">
        <f t="shared" si="78"/>
        <v>18</v>
      </c>
      <c r="MO38" s="306">
        <f t="shared" si="79"/>
        <v>11</v>
      </c>
      <c r="MP38" s="306">
        <f t="shared" si="80"/>
        <v>7</v>
      </c>
      <c r="MQ38" s="306">
        <f t="shared" si="81"/>
        <v>21</v>
      </c>
      <c r="MR38" s="306">
        <f t="shared" si="82"/>
        <v>22</v>
      </c>
      <c r="MS38" s="306">
        <f t="shared" si="83"/>
        <v>25</v>
      </c>
      <c r="MT38" s="306">
        <f t="shared" si="84"/>
        <v>26</v>
      </c>
      <c r="MU38" s="306">
        <f t="shared" si="85"/>
        <v>28</v>
      </c>
      <c r="MV38" s="306">
        <f t="shared" si="86"/>
        <v>23</v>
      </c>
      <c r="MY38" s="306">
        <f t="shared" si="87"/>
        <v>25</v>
      </c>
      <c r="MZ38" s="306">
        <f t="shared" si="88"/>
        <v>29</v>
      </c>
      <c r="NA38" s="306">
        <f t="shared" si="89"/>
        <v>2</v>
      </c>
      <c r="NB38" s="306">
        <f t="shared" si="90"/>
        <v>17</v>
      </c>
      <c r="NC38" s="306">
        <f t="shared" si="91"/>
        <v>16</v>
      </c>
      <c r="ND38" s="306">
        <f t="shared" si="92"/>
        <v>28</v>
      </c>
      <c r="NE38" s="306">
        <f t="shared" si="93"/>
        <v>29</v>
      </c>
      <c r="NF38" s="306">
        <f t="shared" si="94"/>
        <v>29</v>
      </c>
      <c r="NG38" s="306">
        <f t="shared" si="95"/>
        <v>13</v>
      </c>
      <c r="NH38" s="306">
        <f t="shared" si="96"/>
        <v>26</v>
      </c>
      <c r="NI38" s="306">
        <f t="shared" si="97"/>
        <v>14</v>
      </c>
      <c r="NJ38" s="306">
        <f t="shared" si="98"/>
        <v>13</v>
      </c>
      <c r="NK38" s="306">
        <f t="shared" si="99"/>
        <v>11</v>
      </c>
      <c r="NL38" s="306">
        <f t="shared" si="100"/>
        <v>26</v>
      </c>
      <c r="NM38" s="306">
        <f t="shared" si="100"/>
        <v>15</v>
      </c>
      <c r="NN38" s="306">
        <f t="shared" si="101"/>
        <v>0</v>
      </c>
      <c r="NO38" s="306">
        <f t="shared" si="102"/>
        <v>0</v>
      </c>
      <c r="NU38" s="378" t="s">
        <v>169</v>
      </c>
      <c r="NV38" s="357"/>
      <c r="NX38" s="246" t="s">
        <v>7</v>
      </c>
      <c r="NY38" s="246" t="s">
        <v>43</v>
      </c>
      <c r="NZ38" s="246" t="s">
        <v>3</v>
      </c>
      <c r="OA38" s="246" t="s">
        <v>20</v>
      </c>
      <c r="OB38" s="372" t="s">
        <v>188</v>
      </c>
      <c r="OC38" s="230" t="s">
        <v>8</v>
      </c>
      <c r="OD38" s="230" t="s">
        <v>7</v>
      </c>
      <c r="OE38" s="230" t="s">
        <v>8</v>
      </c>
      <c r="OF38" s="371" t="s">
        <v>189</v>
      </c>
      <c r="OG38" s="372" t="s">
        <v>190</v>
      </c>
      <c r="OH38" s="246" t="s">
        <v>43</v>
      </c>
      <c r="OI38" s="246" t="s">
        <v>20</v>
      </c>
      <c r="OJ38" s="159" t="s">
        <v>12</v>
      </c>
      <c r="OK38" s="159" t="s">
        <v>185</v>
      </c>
      <c r="OL38" s="246" t="s">
        <v>4</v>
      </c>
      <c r="OM38" s="372" t="s">
        <v>191</v>
      </c>
      <c r="ON38" s="246" t="s">
        <v>7</v>
      </c>
      <c r="OO38" s="225" t="s">
        <v>187</v>
      </c>
      <c r="OP38" s="246" t="s">
        <v>43</v>
      </c>
      <c r="OQ38" s="246" t="s">
        <v>12</v>
      </c>
      <c r="OR38" s="159" t="s">
        <v>14</v>
      </c>
      <c r="OS38" s="159" t="s">
        <v>6</v>
      </c>
      <c r="OT38" s="246" t="s">
        <v>5</v>
      </c>
      <c r="OV38" s="317" t="s">
        <v>171</v>
      </c>
      <c r="OW38" s="246" t="s">
        <v>10</v>
      </c>
      <c r="OX38" s="246" t="s">
        <v>9</v>
      </c>
      <c r="OY38" s="163" t="s">
        <v>11</v>
      </c>
      <c r="OZ38" s="163" t="s">
        <v>4</v>
      </c>
      <c r="PA38" s="225" t="s">
        <v>193</v>
      </c>
      <c r="PB38" s="246" t="s">
        <v>6</v>
      </c>
      <c r="PC38" s="246" t="s">
        <v>15</v>
      </c>
      <c r="PD38" s="246" t="s">
        <v>6</v>
      </c>
      <c r="PE38" s="246" t="s">
        <v>15</v>
      </c>
      <c r="PF38" s="246" t="s">
        <v>9</v>
      </c>
      <c r="PG38" s="246" t="s">
        <v>185</v>
      </c>
      <c r="PH38" s="246" t="s">
        <v>6</v>
      </c>
      <c r="PI38" s="246" t="s">
        <v>8</v>
      </c>
      <c r="PJ38" s="246" t="s">
        <v>15</v>
      </c>
      <c r="PK38" s="373" t="s">
        <v>228</v>
      </c>
      <c r="PM38"/>
      <c r="PN38"/>
      <c r="PO38"/>
      <c r="PP38"/>
      <c r="PQ38"/>
      <c r="PR38"/>
      <c r="PS38"/>
      <c r="PT38"/>
      <c r="QN38" s="357"/>
      <c r="QO38" s="66" t="s">
        <v>118</v>
      </c>
      <c r="QP38" s="204" t="s">
        <v>195</v>
      </c>
      <c r="QQ38" s="230" t="s">
        <v>196</v>
      </c>
      <c r="QR38" s="166" t="s">
        <v>14</v>
      </c>
      <c r="QS38" s="318" t="s">
        <v>43</v>
      </c>
      <c r="QT38" s="205" t="s">
        <v>9</v>
      </c>
      <c r="QU38" s="182" t="s">
        <v>185</v>
      </c>
      <c r="QV38" s="318" t="s">
        <v>43</v>
      </c>
      <c r="QW38" s="131" t="s">
        <v>22</v>
      </c>
      <c r="QX38" s="216" t="s">
        <v>198</v>
      </c>
      <c r="QY38" s="246" t="s">
        <v>8</v>
      </c>
      <c r="QZ38" s="166" t="s">
        <v>11</v>
      </c>
      <c r="RA38" s="221" t="s">
        <v>2</v>
      </c>
      <c r="RB38" s="246" t="s">
        <v>43</v>
      </c>
      <c r="RC38" s="182" t="s">
        <v>8</v>
      </c>
      <c r="RD38" s="199" t="s">
        <v>2</v>
      </c>
      <c r="RE38" s="254" t="s">
        <v>1</v>
      </c>
      <c r="RF38" s="159" t="s">
        <v>7</v>
      </c>
      <c r="RG38" s="159" t="s">
        <v>8</v>
      </c>
      <c r="RH38" s="225" t="s">
        <v>206</v>
      </c>
      <c r="RI38" s="246" t="s">
        <v>43</v>
      </c>
      <c r="RJ38" s="125" t="s">
        <v>11</v>
      </c>
      <c r="RK38" s="182" t="s">
        <v>2</v>
      </c>
      <c r="RL38" s="141" t="s">
        <v>12</v>
      </c>
      <c r="RM38" s="246" t="s">
        <v>43</v>
      </c>
      <c r="RN38" s="324" t="s">
        <v>200</v>
      </c>
      <c r="RO38" s="124" t="s">
        <v>201</v>
      </c>
      <c r="RP38" s="182" t="s">
        <v>14</v>
      </c>
      <c r="RQ38" s="254" t="s">
        <v>10</v>
      </c>
      <c r="RR38" s="246" t="s">
        <v>43</v>
      </c>
      <c r="RS38" s="159" t="s">
        <v>10</v>
      </c>
      <c r="RT38" s="235" t="s">
        <v>21</v>
      </c>
      <c r="RU38" s="246" t="s">
        <v>43</v>
      </c>
      <c r="RV38" s="182" t="s">
        <v>7</v>
      </c>
      <c r="RW38" s="182" t="s">
        <v>7</v>
      </c>
      <c r="RX38" s="318" t="s">
        <v>43</v>
      </c>
      <c r="RY38" s="254" t="s">
        <v>14</v>
      </c>
      <c r="RZ38" s="159" t="s">
        <v>185</v>
      </c>
      <c r="SA38" s="225" t="s">
        <v>258</v>
      </c>
      <c r="SB38" s="221" t="s">
        <v>1</v>
      </c>
      <c r="SC38" s="176" t="s">
        <v>1</v>
      </c>
      <c r="SD38" s="182" t="s">
        <v>10</v>
      </c>
      <c r="SE38" s="159" t="s">
        <v>14</v>
      </c>
      <c r="SF38" s="176" t="s">
        <v>7</v>
      </c>
      <c r="SG38" s="246" t="s">
        <v>43</v>
      </c>
      <c r="SH38" s="254" t="s">
        <v>15</v>
      </c>
      <c r="SI38" s="131" t="s">
        <v>5</v>
      </c>
      <c r="SJ38" s="221" t="s">
        <v>261</v>
      </c>
      <c r="SK38" s="322">
        <f t="shared" si="103"/>
        <v>91.592427166016193</v>
      </c>
      <c r="SM38" s="362">
        <v>25</v>
      </c>
      <c r="SO38"/>
      <c r="SP38"/>
      <c r="TP38" s="357"/>
      <c r="TQ38" s="66" t="s">
        <v>118</v>
      </c>
      <c r="TR38" s="306">
        <f t="shared" si="104"/>
        <v>31</v>
      </c>
      <c r="TS38" s="306">
        <f t="shared" si="105"/>
        <v>9</v>
      </c>
      <c r="TT38" s="306">
        <f t="shared" si="106"/>
        <v>20</v>
      </c>
      <c r="TU38" s="306">
        <f t="shared" si="107"/>
        <v>18</v>
      </c>
      <c r="TV38" s="306">
        <f t="shared" si="108"/>
        <v>5</v>
      </c>
      <c r="TW38" s="306">
        <f t="shared" si="109"/>
        <v>24</v>
      </c>
      <c r="TX38" s="306">
        <f t="shared" si="110"/>
        <v>11</v>
      </c>
      <c r="TY38" s="306">
        <f t="shared" si="111"/>
        <v>33</v>
      </c>
      <c r="TZ38" s="306">
        <f t="shared" si="112"/>
        <v>33</v>
      </c>
      <c r="UA38" s="306">
        <f t="shared" si="113"/>
        <v>24</v>
      </c>
      <c r="UB38" s="306">
        <f t="shared" si="114"/>
        <v>19</v>
      </c>
      <c r="UC38" s="306">
        <f t="shared" si="115"/>
        <v>23</v>
      </c>
      <c r="UD38" s="306">
        <f t="shared" si="116"/>
        <v>27</v>
      </c>
      <c r="UE38" s="306">
        <f t="shared" si="117"/>
        <v>26</v>
      </c>
      <c r="UF38" s="306">
        <f t="shared" si="118"/>
        <v>24</v>
      </c>
      <c r="UG38" s="306">
        <f t="shared" si="119"/>
        <v>8</v>
      </c>
      <c r="UH38" s="306">
        <f t="shared" si="120"/>
        <v>28</v>
      </c>
      <c r="UI38" s="306">
        <f t="shared" si="121"/>
        <v>32</v>
      </c>
      <c r="UJ38" s="306">
        <f t="shared" si="122"/>
        <v>9</v>
      </c>
      <c r="UK38" s="306">
        <f t="shared" si="123"/>
        <v>31</v>
      </c>
      <c r="UL38" s="306">
        <f t="shared" si="124"/>
        <v>26</v>
      </c>
      <c r="UM38" s="306">
        <f t="shared" si="125"/>
        <v>28</v>
      </c>
      <c r="UN38" s="306">
        <f t="shared" si="126"/>
        <v>10</v>
      </c>
      <c r="UO38" s="306">
        <f t="shared" si="127"/>
        <v>23</v>
      </c>
      <c r="UP38" s="306">
        <f t="shared" si="128"/>
        <v>11</v>
      </c>
      <c r="UQ38" s="306">
        <f t="shared" si="129"/>
        <v>30</v>
      </c>
      <c r="UR38" s="306">
        <f t="shared" si="130"/>
        <v>16</v>
      </c>
      <c r="US38" s="306">
        <f t="shared" si="131"/>
        <v>4</v>
      </c>
      <c r="UT38" s="306">
        <f t="shared" si="132"/>
        <v>30</v>
      </c>
      <c r="UU38" s="306">
        <f t="shared" si="133"/>
        <v>22</v>
      </c>
      <c r="UV38" s="306">
        <f t="shared" si="134"/>
        <v>31</v>
      </c>
      <c r="UW38" s="306">
        <f t="shared" si="135"/>
        <v>33</v>
      </c>
      <c r="UX38" s="306">
        <f t="shared" si="136"/>
        <v>32</v>
      </c>
      <c r="UY38" s="306">
        <f t="shared" si="137"/>
        <v>17</v>
      </c>
      <c r="UZ38" s="306">
        <f t="shared" si="138"/>
        <v>11</v>
      </c>
      <c r="VA38" s="306">
        <f t="shared" si="139"/>
        <v>8</v>
      </c>
      <c r="VB38" s="306">
        <f t="shared" si="140"/>
        <v>25</v>
      </c>
      <c r="VC38" s="306">
        <f t="shared" si="141"/>
        <v>5</v>
      </c>
      <c r="VD38" s="306">
        <f t="shared" si="142"/>
        <v>23</v>
      </c>
      <c r="VE38" s="306">
        <f t="shared" si="143"/>
        <v>26</v>
      </c>
      <c r="VF38" s="306">
        <f t="shared" si="144"/>
        <v>17</v>
      </c>
      <c r="VG38" s="306">
        <f t="shared" si="145"/>
        <v>23</v>
      </c>
      <c r="VH38" s="306">
        <f t="shared" si="146"/>
        <v>29</v>
      </c>
      <c r="VI38" s="306">
        <f t="shared" si="147"/>
        <v>28</v>
      </c>
      <c r="VJ38" s="306">
        <f t="shared" si="148"/>
        <v>30</v>
      </c>
      <c r="VK38" s="306">
        <f t="shared" si="149"/>
        <v>32</v>
      </c>
      <c r="VL38" s="306">
        <f t="shared" si="150"/>
        <v>25</v>
      </c>
      <c r="VN38" s="306">
        <f t="shared" si="151"/>
        <v>0</v>
      </c>
      <c r="WR38" s="357"/>
      <c r="WS38" s="66" t="s">
        <v>118</v>
      </c>
      <c r="WT38" s="225" t="s">
        <v>195</v>
      </c>
      <c r="WU38" s="246" t="s">
        <v>196</v>
      </c>
      <c r="WV38" s="246" t="s">
        <v>14</v>
      </c>
      <c r="WW38" s="318" t="s">
        <v>43</v>
      </c>
      <c r="WX38" s="246" t="s">
        <v>9</v>
      </c>
      <c r="WY38" s="246" t="s">
        <v>185</v>
      </c>
      <c r="WZ38" s="318" t="s">
        <v>43</v>
      </c>
      <c r="XA38" s="246" t="s">
        <v>22</v>
      </c>
      <c r="XB38" s="225" t="s">
        <v>198</v>
      </c>
      <c r="XC38" s="240" t="s">
        <v>8</v>
      </c>
      <c r="XD38" s="240" t="s">
        <v>11</v>
      </c>
      <c r="XE38" s="240" t="s">
        <v>2</v>
      </c>
      <c r="XF38" s="246" t="s">
        <v>43</v>
      </c>
      <c r="XG38" s="163" t="s">
        <v>8</v>
      </c>
      <c r="XH38" s="163" t="s">
        <v>2</v>
      </c>
      <c r="XI38" s="159" t="s">
        <v>1</v>
      </c>
      <c r="XJ38" s="159" t="s">
        <v>7</v>
      </c>
      <c r="XK38" s="246" t="s">
        <v>8</v>
      </c>
      <c r="XL38" s="204" t="s">
        <v>206</v>
      </c>
      <c r="XM38" s="246" t="s">
        <v>43</v>
      </c>
      <c r="XN38" s="159" t="s">
        <v>11</v>
      </c>
      <c r="XO38" s="159" t="s">
        <v>2</v>
      </c>
      <c r="XP38" s="246" t="s">
        <v>12</v>
      </c>
      <c r="XQ38" s="246" t="s">
        <v>43</v>
      </c>
      <c r="XR38" s="337" t="s">
        <v>200</v>
      </c>
      <c r="XS38" s="225" t="s">
        <v>201</v>
      </c>
      <c r="XT38" s="240" t="s">
        <v>14</v>
      </c>
      <c r="XU38" s="240" t="s">
        <v>10</v>
      </c>
      <c r="XV38" s="246" t="s">
        <v>43</v>
      </c>
      <c r="XW38" s="246" t="s">
        <v>10</v>
      </c>
      <c r="XX38" s="225" t="s">
        <v>21</v>
      </c>
      <c r="XY38" s="246" t="s">
        <v>43</v>
      </c>
      <c r="XZ38" s="166" t="s">
        <v>7</v>
      </c>
      <c r="YA38" s="166" t="s">
        <v>7</v>
      </c>
      <c r="YB38" s="318" t="s">
        <v>43</v>
      </c>
      <c r="YC38" s="246" t="s">
        <v>14</v>
      </c>
      <c r="YD38" s="246" t="s">
        <v>185</v>
      </c>
      <c r="YE38" s="225" t="s">
        <v>258</v>
      </c>
      <c r="YF38" s="246" t="s">
        <v>1</v>
      </c>
      <c r="YG38" s="246" t="s">
        <v>1</v>
      </c>
      <c r="YH38" s="246" t="s">
        <v>10</v>
      </c>
      <c r="YI38" s="246" t="s">
        <v>14</v>
      </c>
      <c r="YJ38" s="159" t="s">
        <v>7</v>
      </c>
      <c r="YK38" s="159" t="s">
        <v>43</v>
      </c>
      <c r="YL38" s="159" t="s">
        <v>15</v>
      </c>
      <c r="YM38" s="246" t="s">
        <v>5</v>
      </c>
      <c r="YN38" s="246" t="s">
        <v>261</v>
      </c>
      <c r="AFZ38" s="307"/>
    </row>
    <row r="39" spans="1:858" s="306" customFormat="1" ht="21" x14ac:dyDescent="0.35">
      <c r="A39" s="70">
        <v>30</v>
      </c>
      <c r="B39" s="305"/>
      <c r="C39" s="45" t="s">
        <v>122</v>
      </c>
      <c r="D39" s="45" t="s">
        <v>123</v>
      </c>
      <c r="E39" s="305"/>
      <c r="F39" s="128">
        <v>62.770509901651224</v>
      </c>
      <c r="X39" s="355"/>
      <c r="AA39" s="58" t="s">
        <v>56</v>
      </c>
      <c r="AB39" s="305" t="s">
        <v>25</v>
      </c>
      <c r="AC39" s="183" t="s">
        <v>1</v>
      </c>
      <c r="AD39" s="147" t="s">
        <v>2</v>
      </c>
      <c r="AE39" s="132" t="s">
        <v>3</v>
      </c>
      <c r="AF39" s="203" t="s">
        <v>4</v>
      </c>
      <c r="AG39" s="258" t="s">
        <v>5</v>
      </c>
      <c r="AH39" s="196" t="s">
        <v>6</v>
      </c>
      <c r="AI39" s="253" t="s">
        <v>2</v>
      </c>
      <c r="AJ39" s="253" t="s">
        <v>2</v>
      </c>
      <c r="AK39" s="147" t="s">
        <v>10</v>
      </c>
      <c r="AL39" s="157" t="s">
        <v>2</v>
      </c>
      <c r="AM39" s="217" t="s">
        <v>24</v>
      </c>
      <c r="AN39" s="336" t="s">
        <v>246</v>
      </c>
      <c r="AO39" s="183" t="s">
        <v>3</v>
      </c>
      <c r="AP39" s="224" t="s">
        <v>247</v>
      </c>
      <c r="AQ39" s="243" t="s">
        <v>19</v>
      </c>
      <c r="AR39" s="318" t="s">
        <v>43</v>
      </c>
      <c r="AS39" s="146" t="s">
        <v>9</v>
      </c>
      <c r="AT39" s="196" t="s">
        <v>11</v>
      </c>
      <c r="AU39" s="150" t="s">
        <v>20</v>
      </c>
      <c r="AV39" s="147" t="s">
        <v>7</v>
      </c>
      <c r="AW39" s="147" t="s">
        <v>5</v>
      </c>
      <c r="AX39" s="229" t="s">
        <v>43</v>
      </c>
      <c r="AY39" s="229" t="s">
        <v>43</v>
      </c>
      <c r="AZ39" s="146" t="s">
        <v>15</v>
      </c>
      <c r="BA39" s="146" t="s">
        <v>20</v>
      </c>
      <c r="BB39" s="146" t="s">
        <v>6</v>
      </c>
      <c r="BC39" s="168" t="s">
        <v>21</v>
      </c>
      <c r="BD39" s="224" t="s">
        <v>244</v>
      </c>
      <c r="BE39" s="318" t="s">
        <v>43</v>
      </c>
      <c r="BF39" s="318" t="s">
        <v>43</v>
      </c>
      <c r="BG39" s="253" t="s">
        <v>7</v>
      </c>
      <c r="BH39" s="318" t="s">
        <v>43</v>
      </c>
      <c r="BI39" s="183" t="s">
        <v>14</v>
      </c>
      <c r="BJ39" s="183" t="s">
        <v>5</v>
      </c>
      <c r="BK39" s="183" t="s">
        <v>11</v>
      </c>
      <c r="BL39" s="318" t="s">
        <v>43</v>
      </c>
      <c r="BM39" s="192" t="s">
        <v>5</v>
      </c>
      <c r="BN39" s="192" t="s">
        <v>12</v>
      </c>
      <c r="BO39" s="309"/>
      <c r="BP39" s="319">
        <f t="shared" si="59"/>
        <v>22466.032376025196</v>
      </c>
      <c r="BQ39" s="320" t="s">
        <v>58</v>
      </c>
      <c r="BR39" s="193" t="s">
        <v>8</v>
      </c>
      <c r="BS39" s="268" t="s">
        <v>15</v>
      </c>
      <c r="BT39" s="269" t="s">
        <v>20</v>
      </c>
      <c r="BU39" s="227" t="s">
        <v>43</v>
      </c>
      <c r="BV39" s="196" t="s">
        <v>20</v>
      </c>
      <c r="BW39" s="161" t="s">
        <v>46</v>
      </c>
      <c r="BX39" s="212" t="s">
        <v>47</v>
      </c>
      <c r="BY39" s="241" t="s">
        <v>48</v>
      </c>
      <c r="BZ39" s="177" t="s">
        <v>8</v>
      </c>
      <c r="CA39" s="227" t="s">
        <v>43</v>
      </c>
      <c r="CB39" s="227" t="s">
        <v>43</v>
      </c>
      <c r="CC39" s="193" t="s">
        <v>6</v>
      </c>
      <c r="CD39" s="143" t="s">
        <v>45</v>
      </c>
      <c r="CE39" s="193" t="s">
        <v>6</v>
      </c>
      <c r="CF39" s="208" t="s">
        <v>22</v>
      </c>
      <c r="CG39" s="193" t="s">
        <v>10</v>
      </c>
      <c r="CH39" s="193" t="s">
        <v>20</v>
      </c>
      <c r="CI39" s="193" t="s">
        <v>10</v>
      </c>
      <c r="CJ39" s="70">
        <v>64</v>
      </c>
      <c r="DG39" s="357"/>
      <c r="DI39" s="58" t="s">
        <v>56</v>
      </c>
      <c r="DJ39" s="305" t="s">
        <v>25</v>
      </c>
      <c r="DK39" s="363">
        <f t="shared" si="0"/>
        <v>7</v>
      </c>
      <c r="DL39" s="363">
        <f t="shared" si="1"/>
        <v>5</v>
      </c>
      <c r="DM39" s="363">
        <f t="shared" si="2"/>
        <v>7</v>
      </c>
      <c r="DN39" s="363">
        <f t="shared" si="3"/>
        <v>5</v>
      </c>
      <c r="DO39" s="363">
        <f t="shared" si="4"/>
        <v>7</v>
      </c>
      <c r="DP39" s="363">
        <f t="shared" si="5"/>
        <v>5</v>
      </c>
      <c r="DQ39" s="363">
        <f t="shared" si="6"/>
        <v>3</v>
      </c>
      <c r="DR39" s="363">
        <f t="shared" si="7"/>
        <v>7</v>
      </c>
      <c r="DS39" s="363">
        <f t="shared" si="8"/>
        <v>5</v>
      </c>
      <c r="DT39" s="363">
        <f t="shared" si="9"/>
        <v>5</v>
      </c>
      <c r="DU39" s="363">
        <f t="shared" si="10"/>
        <v>7</v>
      </c>
      <c r="DV39" s="363">
        <f t="shared" si="11"/>
        <v>7</v>
      </c>
      <c r="DW39" s="363">
        <f t="shared" si="12"/>
        <v>7</v>
      </c>
      <c r="DX39" s="363">
        <f t="shared" si="13"/>
        <v>0</v>
      </c>
      <c r="DY39" s="363">
        <f t="shared" si="14"/>
        <v>0</v>
      </c>
      <c r="DZ39" s="363">
        <f t="shared" si="15"/>
        <v>4</v>
      </c>
      <c r="EA39" s="363">
        <f t="shared" si="16"/>
        <v>7</v>
      </c>
      <c r="EB39" s="363">
        <f t="shared" si="17"/>
        <v>3</v>
      </c>
      <c r="EC39" s="363">
        <f t="shared" si="18"/>
        <v>7</v>
      </c>
      <c r="ED39" s="363">
        <f t="shared" si="19"/>
        <v>7</v>
      </c>
      <c r="EE39" s="363">
        <f t="shared" si="20"/>
        <v>2</v>
      </c>
      <c r="EF39" s="363">
        <f t="shared" si="21"/>
        <v>5</v>
      </c>
      <c r="EG39" s="363">
        <f t="shared" si="22"/>
        <v>5</v>
      </c>
      <c r="EH39" s="363">
        <f t="shared" si="23"/>
        <v>5</v>
      </c>
      <c r="EI39" s="363">
        <f t="shared" si="24"/>
        <v>5</v>
      </c>
      <c r="EJ39" s="363">
        <f t="shared" si="25"/>
        <v>5</v>
      </c>
      <c r="EK39" s="363">
        <f t="shared" si="26"/>
        <v>5</v>
      </c>
      <c r="EL39" s="363">
        <f t="shared" si="27"/>
        <v>0</v>
      </c>
      <c r="EM39" s="363">
        <f t="shared" si="28"/>
        <v>0</v>
      </c>
      <c r="EN39" s="363">
        <f t="shared" si="29"/>
        <v>3</v>
      </c>
      <c r="EO39" s="363">
        <f t="shared" si="30"/>
        <v>5</v>
      </c>
      <c r="EP39" s="363">
        <f t="shared" si="31"/>
        <v>2</v>
      </c>
      <c r="EQ39" s="363">
        <f t="shared" si="32"/>
        <v>6</v>
      </c>
      <c r="ER39" s="363">
        <f t="shared" si="33"/>
        <v>5</v>
      </c>
      <c r="ES39" s="363">
        <f t="shared" si="34"/>
        <v>7</v>
      </c>
      <c r="ET39" s="363">
        <f t="shared" si="35"/>
        <v>0</v>
      </c>
      <c r="EU39" s="363">
        <f t="shared" si="36"/>
        <v>7</v>
      </c>
      <c r="EV39" s="363">
        <f t="shared" si="37"/>
        <v>0</v>
      </c>
      <c r="EW39" s="364" t="s">
        <v>58</v>
      </c>
      <c r="EX39" s="363">
        <f t="shared" si="38"/>
        <v>1</v>
      </c>
      <c r="EY39" s="363">
        <f t="shared" si="39"/>
        <v>7</v>
      </c>
      <c r="EZ39" s="363">
        <f t="shared" si="40"/>
        <v>2</v>
      </c>
      <c r="FA39" s="363">
        <f t="shared" si="41"/>
        <v>7</v>
      </c>
      <c r="FB39" s="363">
        <f t="shared" si="42"/>
        <v>7</v>
      </c>
      <c r="FC39" s="363">
        <f t="shared" si="43"/>
        <v>0</v>
      </c>
      <c r="FD39" s="363">
        <f t="shared" si="44"/>
        <v>0</v>
      </c>
      <c r="FE39" s="363">
        <f t="shared" si="45"/>
        <v>0</v>
      </c>
      <c r="FF39" s="363">
        <f t="shared" si="46"/>
        <v>7</v>
      </c>
      <c r="FG39" s="363">
        <f t="shared" si="47"/>
        <v>7</v>
      </c>
      <c r="FH39" s="363">
        <f t="shared" si="48"/>
        <v>0</v>
      </c>
      <c r="FI39" s="363">
        <f t="shared" si="49"/>
        <v>0</v>
      </c>
      <c r="FJ39" s="363">
        <f t="shared" si="50"/>
        <v>7</v>
      </c>
      <c r="FK39" s="363">
        <f t="shared" si="51"/>
        <v>0</v>
      </c>
      <c r="FL39" s="363">
        <f t="shared" si="52"/>
        <v>1</v>
      </c>
      <c r="FM39" s="363">
        <f t="shared" si="53"/>
        <v>7</v>
      </c>
      <c r="FN39" s="363">
        <f t="shared" si="54"/>
        <v>0</v>
      </c>
      <c r="FO39" s="363">
        <f t="shared" si="55"/>
        <v>7</v>
      </c>
      <c r="FP39" s="363">
        <f t="shared" si="60"/>
        <v>6</v>
      </c>
      <c r="FQ39" s="363">
        <f t="shared" si="61"/>
        <v>7</v>
      </c>
      <c r="FR39" s="309">
        <f t="shared" si="62"/>
        <v>13</v>
      </c>
      <c r="GM39" s="357"/>
      <c r="GO39" s="58" t="s">
        <v>56</v>
      </c>
      <c r="GP39" s="305" t="s">
        <v>25</v>
      </c>
      <c r="GQ39" s="244" t="s">
        <v>1</v>
      </c>
      <c r="GR39" s="244" t="s">
        <v>2</v>
      </c>
      <c r="GS39" s="244" t="s">
        <v>3</v>
      </c>
      <c r="GT39" s="244" t="s">
        <v>4</v>
      </c>
      <c r="GU39" s="244" t="s">
        <v>5</v>
      </c>
      <c r="GV39" s="244" t="s">
        <v>6</v>
      </c>
      <c r="GW39" s="244" t="s">
        <v>2</v>
      </c>
      <c r="GX39" s="244" t="s">
        <v>2</v>
      </c>
      <c r="GY39" s="244" t="s">
        <v>10</v>
      </c>
      <c r="GZ39" s="223" t="s">
        <v>2</v>
      </c>
      <c r="HA39" s="366" t="s">
        <v>24</v>
      </c>
      <c r="HB39" s="380" t="s">
        <v>323</v>
      </c>
      <c r="HC39" s="244" t="s">
        <v>3</v>
      </c>
      <c r="HD39" s="366" t="s">
        <v>324</v>
      </c>
      <c r="HE39" s="366" t="s">
        <v>19</v>
      </c>
      <c r="HF39" s="318" t="s">
        <v>43</v>
      </c>
      <c r="HG39" s="244" t="s">
        <v>9</v>
      </c>
      <c r="HH39" s="244" t="s">
        <v>11</v>
      </c>
      <c r="HI39" s="244" t="s">
        <v>20</v>
      </c>
      <c r="HJ39" s="244" t="s">
        <v>7</v>
      </c>
      <c r="HK39" s="244" t="s">
        <v>5</v>
      </c>
      <c r="HL39" s="244" t="s">
        <v>43</v>
      </c>
      <c r="HM39" s="244" t="s">
        <v>43</v>
      </c>
      <c r="HN39" s="244" t="s">
        <v>15</v>
      </c>
      <c r="HO39" s="244" t="s">
        <v>20</v>
      </c>
      <c r="HP39" s="244" t="s">
        <v>6</v>
      </c>
      <c r="HQ39" s="366" t="s">
        <v>21</v>
      </c>
      <c r="HR39" s="366" t="s">
        <v>318</v>
      </c>
      <c r="HS39" s="318" t="s">
        <v>43</v>
      </c>
      <c r="HT39" s="318" t="s">
        <v>43</v>
      </c>
      <c r="HU39" s="244" t="s">
        <v>7</v>
      </c>
      <c r="HV39" s="318" t="s">
        <v>43</v>
      </c>
      <c r="HW39" s="244" t="s">
        <v>14</v>
      </c>
      <c r="HX39" s="244" t="s">
        <v>5</v>
      </c>
      <c r="HY39" s="244" t="s">
        <v>11</v>
      </c>
      <c r="HZ39" s="318" t="s">
        <v>43</v>
      </c>
      <c r="IA39" s="244" t="s">
        <v>5</v>
      </c>
      <c r="IB39" s="244" t="s">
        <v>12</v>
      </c>
      <c r="IC39" s="364" t="s">
        <v>58</v>
      </c>
      <c r="ID39" s="173" t="s">
        <v>8</v>
      </c>
      <c r="IE39" s="173" t="s">
        <v>15</v>
      </c>
      <c r="IF39" s="173" t="s">
        <v>20</v>
      </c>
      <c r="IG39" s="173" t="s">
        <v>43</v>
      </c>
      <c r="IH39" s="244" t="s">
        <v>20</v>
      </c>
      <c r="II39" s="173" t="s">
        <v>46</v>
      </c>
      <c r="IJ39" s="367" t="s">
        <v>47</v>
      </c>
      <c r="IK39" s="368" t="s">
        <v>48</v>
      </c>
      <c r="IL39" s="173" t="s">
        <v>8</v>
      </c>
      <c r="IM39" s="173" t="s">
        <v>43</v>
      </c>
      <c r="IN39" s="173" t="s">
        <v>43</v>
      </c>
      <c r="IO39" s="173" t="s">
        <v>6</v>
      </c>
      <c r="IP39" s="173" t="s">
        <v>45</v>
      </c>
      <c r="IQ39" s="173" t="s">
        <v>6</v>
      </c>
      <c r="IR39" s="173" t="s">
        <v>22</v>
      </c>
      <c r="IS39" s="173" t="s">
        <v>10</v>
      </c>
      <c r="IT39" s="173" t="s">
        <v>20</v>
      </c>
      <c r="IU39" s="173" t="s">
        <v>10</v>
      </c>
      <c r="JN39" s="357"/>
      <c r="JO39" s="369">
        <v>93</v>
      </c>
      <c r="JP39" s="305" t="s">
        <v>135</v>
      </c>
      <c r="JQ39" s="328" t="s">
        <v>172</v>
      </c>
      <c r="JR39" s="67" t="s">
        <v>173</v>
      </c>
      <c r="JS39" s="254" t="s">
        <v>6</v>
      </c>
      <c r="JT39" s="254" t="s">
        <v>8</v>
      </c>
      <c r="JU39" s="205" t="s">
        <v>3</v>
      </c>
      <c r="JV39" s="155" t="s">
        <v>20</v>
      </c>
      <c r="JW39" s="112" t="s">
        <v>188</v>
      </c>
      <c r="JX39" s="254" t="s">
        <v>8</v>
      </c>
      <c r="JY39" s="221" t="s">
        <v>7</v>
      </c>
      <c r="JZ39" s="159" t="s">
        <v>8</v>
      </c>
      <c r="KA39" s="126" t="s">
        <v>184</v>
      </c>
      <c r="KB39" s="129" t="s">
        <v>43</v>
      </c>
      <c r="KC39" s="254" t="s">
        <v>20</v>
      </c>
      <c r="KD39" s="163" t="s">
        <v>20</v>
      </c>
      <c r="KE39" s="182" t="s">
        <v>12</v>
      </c>
      <c r="KF39" s="254" t="s">
        <v>20</v>
      </c>
      <c r="KG39" s="176" t="s">
        <v>12</v>
      </c>
      <c r="KH39" s="118" t="s">
        <v>186</v>
      </c>
      <c r="KI39" s="246" t="s">
        <v>43</v>
      </c>
      <c r="KJ39" s="190" t="s">
        <v>187</v>
      </c>
      <c r="KK39" s="246" t="s">
        <v>43</v>
      </c>
      <c r="KL39" s="159" t="s">
        <v>12</v>
      </c>
      <c r="KM39" s="159" t="s">
        <v>14</v>
      </c>
      <c r="KN39" s="159" t="s">
        <v>6</v>
      </c>
      <c r="KO39" s="182" t="s">
        <v>5</v>
      </c>
      <c r="KP39" s="322">
        <f t="shared" si="63"/>
        <v>184.27545401876318</v>
      </c>
      <c r="KR39" s="329" t="s">
        <v>135</v>
      </c>
      <c r="KS39" s="159" t="s">
        <v>10</v>
      </c>
      <c r="KT39" s="170" t="s">
        <v>9</v>
      </c>
      <c r="KU39" s="221" t="s">
        <v>20</v>
      </c>
      <c r="KV39" s="166" t="s">
        <v>4</v>
      </c>
      <c r="KW39" s="204" t="s">
        <v>193</v>
      </c>
      <c r="KX39" s="240" t="s">
        <v>6</v>
      </c>
      <c r="KY39" s="240" t="s">
        <v>15</v>
      </c>
      <c r="KZ39" s="240" t="s">
        <v>6</v>
      </c>
      <c r="LA39" s="158" t="s">
        <v>15</v>
      </c>
      <c r="LB39" s="166" t="s">
        <v>9</v>
      </c>
      <c r="LC39" s="159" t="s">
        <v>185</v>
      </c>
      <c r="LD39" s="159" t="s">
        <v>6</v>
      </c>
      <c r="LE39" s="159" t="s">
        <v>8</v>
      </c>
      <c r="LF39" s="166" t="s">
        <v>15</v>
      </c>
      <c r="LG39" s="113" t="s">
        <v>228</v>
      </c>
      <c r="LH39" s="358">
        <v>26</v>
      </c>
      <c r="LW39" s="369">
        <v>93</v>
      </c>
      <c r="LX39" s="317" t="s">
        <v>135</v>
      </c>
      <c r="LY39" s="370" t="s">
        <v>172</v>
      </c>
      <c r="LZ39" s="306">
        <f t="shared" si="64"/>
        <v>10</v>
      </c>
      <c r="MA39" s="306">
        <f t="shared" si="65"/>
        <v>10</v>
      </c>
      <c r="MB39" s="306">
        <f t="shared" si="66"/>
        <v>16</v>
      </c>
      <c r="MC39" s="306">
        <f t="shared" si="67"/>
        <v>28</v>
      </c>
      <c r="MD39" s="306">
        <f t="shared" si="68"/>
        <v>17</v>
      </c>
      <c r="ME39" s="306">
        <f t="shared" si="69"/>
        <v>21</v>
      </c>
      <c r="MF39" s="306">
        <f t="shared" si="70"/>
        <v>19</v>
      </c>
      <c r="MG39" s="306">
        <f t="shared" si="71"/>
        <v>23</v>
      </c>
      <c r="MH39" s="306">
        <f t="shared" si="72"/>
        <v>12</v>
      </c>
      <c r="MI39" s="306">
        <f t="shared" si="73"/>
        <v>12</v>
      </c>
      <c r="MJ39" s="306">
        <f t="shared" si="74"/>
        <v>3</v>
      </c>
      <c r="MK39" s="306">
        <f t="shared" si="75"/>
        <v>21</v>
      </c>
      <c r="ML39" s="306">
        <f t="shared" si="76"/>
        <v>17</v>
      </c>
      <c r="MM39" s="306">
        <f t="shared" si="77"/>
        <v>10</v>
      </c>
      <c r="MN39" s="306">
        <f t="shared" si="78"/>
        <v>4</v>
      </c>
      <c r="MO39" s="306">
        <f t="shared" si="79"/>
        <v>19</v>
      </c>
      <c r="MP39" s="306">
        <f t="shared" si="80"/>
        <v>19</v>
      </c>
      <c r="MQ39" s="306">
        <f t="shared" si="81"/>
        <v>21</v>
      </c>
      <c r="MR39" s="306">
        <f t="shared" si="82"/>
        <v>22</v>
      </c>
      <c r="MS39" s="306">
        <f t="shared" si="83"/>
        <v>25</v>
      </c>
      <c r="MT39" s="306">
        <f t="shared" si="84"/>
        <v>26</v>
      </c>
      <c r="MU39" s="306">
        <f t="shared" si="85"/>
        <v>28</v>
      </c>
      <c r="MV39" s="306">
        <f t="shared" si="86"/>
        <v>23</v>
      </c>
      <c r="MY39" s="306">
        <f t="shared" si="87"/>
        <v>25</v>
      </c>
      <c r="MZ39" s="306">
        <f t="shared" si="88"/>
        <v>29</v>
      </c>
      <c r="NA39" s="306">
        <f t="shared" si="89"/>
        <v>28</v>
      </c>
      <c r="NB39" s="306">
        <f t="shared" si="90"/>
        <v>17</v>
      </c>
      <c r="NC39" s="306">
        <f t="shared" si="91"/>
        <v>16</v>
      </c>
      <c r="ND39" s="306">
        <f t="shared" si="92"/>
        <v>28</v>
      </c>
      <c r="NE39" s="306">
        <f t="shared" si="93"/>
        <v>29</v>
      </c>
      <c r="NF39" s="306">
        <f t="shared" si="94"/>
        <v>29</v>
      </c>
      <c r="NG39" s="306">
        <f t="shared" si="95"/>
        <v>13</v>
      </c>
      <c r="NH39" s="306">
        <f t="shared" si="96"/>
        <v>26</v>
      </c>
      <c r="NI39" s="306">
        <f t="shared" si="97"/>
        <v>14</v>
      </c>
      <c r="NJ39" s="306">
        <f t="shared" si="98"/>
        <v>13</v>
      </c>
      <c r="NK39" s="306">
        <f t="shared" si="99"/>
        <v>11</v>
      </c>
      <c r="NL39" s="306">
        <f t="shared" si="100"/>
        <v>26</v>
      </c>
      <c r="NM39" s="306">
        <f t="shared" si="100"/>
        <v>15</v>
      </c>
      <c r="NN39" s="306">
        <f t="shared" si="101"/>
        <v>0</v>
      </c>
      <c r="NO39" s="306">
        <f t="shared" si="102"/>
        <v>0</v>
      </c>
      <c r="NU39" s="370" t="s">
        <v>172</v>
      </c>
      <c r="NV39" s="357"/>
      <c r="NX39" s="230" t="s">
        <v>6</v>
      </c>
      <c r="NY39" s="230" t="s">
        <v>8</v>
      </c>
      <c r="NZ39" s="230" t="s">
        <v>3</v>
      </c>
      <c r="OA39" s="246" t="s">
        <v>20</v>
      </c>
      <c r="OB39" s="372" t="s">
        <v>188</v>
      </c>
      <c r="OC39" s="230" t="s">
        <v>8</v>
      </c>
      <c r="OD39" s="230" t="s">
        <v>7</v>
      </c>
      <c r="OE39" s="230" t="s">
        <v>8</v>
      </c>
      <c r="OF39" s="371" t="s">
        <v>184</v>
      </c>
      <c r="OG39" s="129" t="s">
        <v>43</v>
      </c>
      <c r="OH39" s="246" t="s">
        <v>20</v>
      </c>
      <c r="OI39" s="246" t="s">
        <v>20</v>
      </c>
      <c r="OJ39" s="246" t="s">
        <v>12</v>
      </c>
      <c r="OK39" s="246" t="s">
        <v>20</v>
      </c>
      <c r="OL39" s="246" t="s">
        <v>12</v>
      </c>
      <c r="OM39" s="372" t="s">
        <v>186</v>
      </c>
      <c r="ON39" s="246" t="s">
        <v>43</v>
      </c>
      <c r="OO39" s="225" t="s">
        <v>187</v>
      </c>
      <c r="OP39" s="246" t="s">
        <v>43</v>
      </c>
      <c r="OQ39" s="246" t="s">
        <v>12</v>
      </c>
      <c r="OR39" s="159" t="s">
        <v>14</v>
      </c>
      <c r="OS39" s="159" t="s">
        <v>6</v>
      </c>
      <c r="OT39" s="246" t="s">
        <v>5</v>
      </c>
      <c r="OV39" s="370" t="s">
        <v>135</v>
      </c>
      <c r="OW39" s="246" t="s">
        <v>10</v>
      </c>
      <c r="OX39" s="246" t="s">
        <v>9</v>
      </c>
      <c r="OY39" s="159" t="s">
        <v>20</v>
      </c>
      <c r="OZ39" s="159" t="s">
        <v>4</v>
      </c>
      <c r="PA39" s="225" t="s">
        <v>193</v>
      </c>
      <c r="PB39" s="246" t="s">
        <v>6</v>
      </c>
      <c r="PC39" s="246" t="s">
        <v>15</v>
      </c>
      <c r="PD39" s="246" t="s">
        <v>6</v>
      </c>
      <c r="PE39" s="246" t="s">
        <v>15</v>
      </c>
      <c r="PF39" s="246" t="s">
        <v>9</v>
      </c>
      <c r="PG39" s="246" t="s">
        <v>185</v>
      </c>
      <c r="PH39" s="246" t="s">
        <v>6</v>
      </c>
      <c r="PI39" s="246" t="s">
        <v>8</v>
      </c>
      <c r="PJ39" s="246" t="s">
        <v>15</v>
      </c>
      <c r="PK39" s="373" t="s">
        <v>228</v>
      </c>
      <c r="PM39"/>
      <c r="PN39"/>
      <c r="PO39"/>
      <c r="PP39"/>
      <c r="PQ39"/>
      <c r="PR39"/>
      <c r="PS39"/>
      <c r="PT39"/>
      <c r="QN39" s="357"/>
      <c r="QO39" s="66" t="s">
        <v>120</v>
      </c>
      <c r="QP39" s="204" t="s">
        <v>195</v>
      </c>
      <c r="QQ39" s="230" t="s">
        <v>196</v>
      </c>
      <c r="QR39" s="166" t="s">
        <v>14</v>
      </c>
      <c r="QS39" s="318" t="s">
        <v>43</v>
      </c>
      <c r="QT39" s="205" t="s">
        <v>9</v>
      </c>
      <c r="QU39" s="182" t="s">
        <v>185</v>
      </c>
      <c r="QV39" s="318" t="s">
        <v>43</v>
      </c>
      <c r="QW39" s="131" t="s">
        <v>22</v>
      </c>
      <c r="QX39" s="216" t="s">
        <v>198</v>
      </c>
      <c r="QY39" s="246" t="s">
        <v>8</v>
      </c>
      <c r="QZ39" s="166" t="s">
        <v>11</v>
      </c>
      <c r="RA39" s="221" t="s">
        <v>2</v>
      </c>
      <c r="RB39" s="246" t="s">
        <v>43</v>
      </c>
      <c r="RC39" s="182" t="s">
        <v>8</v>
      </c>
      <c r="RD39" s="199" t="s">
        <v>2</v>
      </c>
      <c r="RE39" s="254" t="s">
        <v>1</v>
      </c>
      <c r="RF39" s="159" t="s">
        <v>7</v>
      </c>
      <c r="RG39" s="159" t="s">
        <v>8</v>
      </c>
      <c r="RH39" s="225" t="s">
        <v>206</v>
      </c>
      <c r="RI39" s="246" t="s">
        <v>43</v>
      </c>
      <c r="RJ39" s="125" t="s">
        <v>11</v>
      </c>
      <c r="RK39" s="182" t="s">
        <v>2</v>
      </c>
      <c r="RL39" s="141" t="s">
        <v>12</v>
      </c>
      <c r="RM39" s="246" t="s">
        <v>43</v>
      </c>
      <c r="RN39" s="324" t="s">
        <v>200</v>
      </c>
      <c r="RO39" s="124" t="s">
        <v>201</v>
      </c>
      <c r="RP39" s="182" t="s">
        <v>14</v>
      </c>
      <c r="RQ39" s="254" t="s">
        <v>10</v>
      </c>
      <c r="RR39" s="246" t="s">
        <v>43</v>
      </c>
      <c r="RS39" s="159" t="s">
        <v>10</v>
      </c>
      <c r="RT39" s="235" t="s">
        <v>21</v>
      </c>
      <c r="RU39" s="246" t="s">
        <v>43</v>
      </c>
      <c r="RV39" s="182" t="s">
        <v>7</v>
      </c>
      <c r="RW39" s="240" t="s">
        <v>3</v>
      </c>
      <c r="RX39" s="318" t="s">
        <v>43</v>
      </c>
      <c r="RY39" s="254" t="s">
        <v>14</v>
      </c>
      <c r="RZ39" s="159" t="s">
        <v>185</v>
      </c>
      <c r="SA39" s="225" t="s">
        <v>258</v>
      </c>
      <c r="SB39" s="221" t="s">
        <v>1</v>
      </c>
      <c r="SC39" s="176" t="s">
        <v>1</v>
      </c>
      <c r="SD39" s="182" t="s">
        <v>10</v>
      </c>
      <c r="SE39" s="159" t="s">
        <v>14</v>
      </c>
      <c r="SF39" s="176" t="s">
        <v>7</v>
      </c>
      <c r="SG39" s="246" t="s">
        <v>43</v>
      </c>
      <c r="SH39" s="254" t="s">
        <v>15</v>
      </c>
      <c r="SI39" s="131" t="s">
        <v>5</v>
      </c>
      <c r="SJ39" s="221" t="s">
        <v>261</v>
      </c>
      <c r="SK39" s="322">
        <f t="shared" si="103"/>
        <v>112.50769015877918</v>
      </c>
      <c r="SM39" s="362">
        <v>26</v>
      </c>
      <c r="SO39"/>
      <c r="SP39"/>
      <c r="TP39" s="357"/>
      <c r="TQ39" s="66" t="s">
        <v>120</v>
      </c>
      <c r="TR39" s="306">
        <f t="shared" si="104"/>
        <v>31</v>
      </c>
      <c r="TS39" s="306">
        <f t="shared" si="105"/>
        <v>9</v>
      </c>
      <c r="TT39" s="306">
        <f t="shared" si="106"/>
        <v>20</v>
      </c>
      <c r="TU39" s="306">
        <f t="shared" si="107"/>
        <v>18</v>
      </c>
      <c r="TV39" s="306">
        <f t="shared" si="108"/>
        <v>5</v>
      </c>
      <c r="TW39" s="306">
        <f t="shared" si="109"/>
        <v>24</v>
      </c>
      <c r="TX39" s="306">
        <f t="shared" si="110"/>
        <v>11</v>
      </c>
      <c r="TY39" s="306">
        <f t="shared" si="111"/>
        <v>33</v>
      </c>
      <c r="TZ39" s="306">
        <f t="shared" si="112"/>
        <v>33</v>
      </c>
      <c r="UA39" s="306">
        <f t="shared" si="113"/>
        <v>24</v>
      </c>
      <c r="UB39" s="306">
        <f t="shared" si="114"/>
        <v>19</v>
      </c>
      <c r="UC39" s="306">
        <f t="shared" si="115"/>
        <v>23</v>
      </c>
      <c r="UD39" s="306">
        <f t="shared" si="116"/>
        <v>27</v>
      </c>
      <c r="UE39" s="306">
        <f t="shared" si="117"/>
        <v>26</v>
      </c>
      <c r="UF39" s="306">
        <f t="shared" si="118"/>
        <v>24</v>
      </c>
      <c r="UG39" s="306">
        <f t="shared" si="119"/>
        <v>8</v>
      </c>
      <c r="UH39" s="306">
        <f t="shared" si="120"/>
        <v>28</v>
      </c>
      <c r="UI39" s="306">
        <f t="shared" si="121"/>
        <v>32</v>
      </c>
      <c r="UJ39" s="306">
        <f t="shared" si="122"/>
        <v>9</v>
      </c>
      <c r="UK39" s="306">
        <f t="shared" si="123"/>
        <v>31</v>
      </c>
      <c r="UL39" s="306">
        <f t="shared" si="124"/>
        <v>26</v>
      </c>
      <c r="UM39" s="306">
        <f t="shared" si="125"/>
        <v>28</v>
      </c>
      <c r="UN39" s="306">
        <f t="shared" si="126"/>
        <v>10</v>
      </c>
      <c r="UO39" s="306">
        <f t="shared" si="127"/>
        <v>23</v>
      </c>
      <c r="UP39" s="306">
        <f t="shared" si="128"/>
        <v>11</v>
      </c>
      <c r="UQ39" s="306">
        <f t="shared" si="129"/>
        <v>30</v>
      </c>
      <c r="UR39" s="306">
        <f t="shared" si="130"/>
        <v>16</v>
      </c>
      <c r="US39" s="306">
        <f t="shared" si="131"/>
        <v>4</v>
      </c>
      <c r="UT39" s="306">
        <f t="shared" si="132"/>
        <v>30</v>
      </c>
      <c r="UU39" s="306">
        <f t="shared" si="133"/>
        <v>22</v>
      </c>
      <c r="UV39" s="306">
        <f t="shared" si="134"/>
        <v>31</v>
      </c>
      <c r="UW39" s="306">
        <f t="shared" si="135"/>
        <v>33</v>
      </c>
      <c r="UX39" s="306">
        <f t="shared" si="136"/>
        <v>32</v>
      </c>
      <c r="UY39" s="306">
        <f t="shared" si="137"/>
        <v>19</v>
      </c>
      <c r="UZ39" s="306">
        <f t="shared" si="138"/>
        <v>11</v>
      </c>
      <c r="VA39" s="306">
        <f t="shared" si="139"/>
        <v>8</v>
      </c>
      <c r="VB39" s="306">
        <f t="shared" si="140"/>
        <v>25</v>
      </c>
      <c r="VC39" s="306">
        <f t="shared" si="141"/>
        <v>5</v>
      </c>
      <c r="VD39" s="306">
        <f t="shared" si="142"/>
        <v>23</v>
      </c>
      <c r="VE39" s="306">
        <f t="shared" si="143"/>
        <v>26</v>
      </c>
      <c r="VF39" s="306">
        <f t="shared" si="144"/>
        <v>17</v>
      </c>
      <c r="VG39" s="306">
        <f t="shared" si="145"/>
        <v>23</v>
      </c>
      <c r="VH39" s="306">
        <f t="shared" si="146"/>
        <v>29</v>
      </c>
      <c r="VI39" s="306">
        <f t="shared" si="147"/>
        <v>28</v>
      </c>
      <c r="VJ39" s="306">
        <f t="shared" si="148"/>
        <v>30</v>
      </c>
      <c r="VK39" s="306">
        <f t="shared" si="149"/>
        <v>32</v>
      </c>
      <c r="VL39" s="306">
        <f t="shared" si="150"/>
        <v>25</v>
      </c>
      <c r="VN39" s="306">
        <f t="shared" si="151"/>
        <v>0</v>
      </c>
      <c r="WR39" s="357"/>
      <c r="WS39" s="66" t="s">
        <v>120</v>
      </c>
      <c r="WT39" s="225" t="s">
        <v>195</v>
      </c>
      <c r="WU39" s="246" t="s">
        <v>196</v>
      </c>
      <c r="WV39" s="246" t="s">
        <v>14</v>
      </c>
      <c r="WW39" s="318" t="s">
        <v>43</v>
      </c>
      <c r="WX39" s="246" t="s">
        <v>9</v>
      </c>
      <c r="WY39" s="246" t="s">
        <v>185</v>
      </c>
      <c r="WZ39" s="318" t="s">
        <v>43</v>
      </c>
      <c r="XA39" s="246" t="s">
        <v>22</v>
      </c>
      <c r="XB39" s="225" t="s">
        <v>198</v>
      </c>
      <c r="XC39" s="240" t="s">
        <v>8</v>
      </c>
      <c r="XD39" s="240" t="s">
        <v>11</v>
      </c>
      <c r="XE39" s="240" t="s">
        <v>2</v>
      </c>
      <c r="XF39" s="246" t="s">
        <v>43</v>
      </c>
      <c r="XG39" s="163" t="s">
        <v>8</v>
      </c>
      <c r="XH39" s="163" t="s">
        <v>2</v>
      </c>
      <c r="XI39" s="159" t="s">
        <v>1</v>
      </c>
      <c r="XJ39" s="159" t="s">
        <v>7</v>
      </c>
      <c r="XK39" s="246" t="s">
        <v>8</v>
      </c>
      <c r="XL39" s="204" t="s">
        <v>206</v>
      </c>
      <c r="XM39" s="246" t="s">
        <v>43</v>
      </c>
      <c r="XN39" s="159" t="s">
        <v>11</v>
      </c>
      <c r="XO39" s="159" t="s">
        <v>2</v>
      </c>
      <c r="XP39" s="246" t="s">
        <v>12</v>
      </c>
      <c r="XQ39" s="246" t="s">
        <v>43</v>
      </c>
      <c r="XR39" s="337" t="s">
        <v>200</v>
      </c>
      <c r="XS39" s="225" t="s">
        <v>201</v>
      </c>
      <c r="XT39" s="240" t="s">
        <v>14</v>
      </c>
      <c r="XU39" s="240" t="s">
        <v>10</v>
      </c>
      <c r="XV39" s="246" t="s">
        <v>43</v>
      </c>
      <c r="XW39" s="159" t="s">
        <v>10</v>
      </c>
      <c r="XX39" s="225" t="s">
        <v>21</v>
      </c>
      <c r="XY39" s="246" t="s">
        <v>43</v>
      </c>
      <c r="XZ39" s="240" t="s">
        <v>7</v>
      </c>
      <c r="YA39" s="240" t="s">
        <v>3</v>
      </c>
      <c r="YB39" s="318" t="s">
        <v>43</v>
      </c>
      <c r="YC39" s="246" t="s">
        <v>14</v>
      </c>
      <c r="YD39" s="246" t="s">
        <v>185</v>
      </c>
      <c r="YE39" s="225" t="s">
        <v>258</v>
      </c>
      <c r="YF39" s="246" t="s">
        <v>1</v>
      </c>
      <c r="YG39" s="246" t="s">
        <v>1</v>
      </c>
      <c r="YH39" s="246" t="s">
        <v>10</v>
      </c>
      <c r="YI39" s="246" t="s">
        <v>14</v>
      </c>
      <c r="YJ39" s="159" t="s">
        <v>7</v>
      </c>
      <c r="YK39" s="159" t="s">
        <v>43</v>
      </c>
      <c r="YL39" s="159" t="s">
        <v>15</v>
      </c>
      <c r="YM39" s="246" t="s">
        <v>5</v>
      </c>
      <c r="YN39" s="246" t="s">
        <v>261</v>
      </c>
      <c r="AFZ39" s="307"/>
    </row>
    <row r="40" spans="1:858" s="306" customFormat="1" ht="21" x14ac:dyDescent="0.35">
      <c r="A40" s="70">
        <v>31</v>
      </c>
      <c r="B40" s="305"/>
      <c r="C40" s="45" t="s">
        <v>124</v>
      </c>
      <c r="D40" s="45" t="s">
        <v>123</v>
      </c>
      <c r="E40" s="305"/>
      <c r="F40" s="128">
        <v>90.079262401036203</v>
      </c>
      <c r="X40" s="355"/>
      <c r="AA40" s="58" t="s">
        <v>56</v>
      </c>
      <c r="AB40" s="305" t="s">
        <v>25</v>
      </c>
      <c r="AC40" s="183" t="s">
        <v>1</v>
      </c>
      <c r="AD40" s="147" t="s">
        <v>2</v>
      </c>
      <c r="AE40" s="132" t="s">
        <v>3</v>
      </c>
      <c r="AF40" s="203" t="s">
        <v>4</v>
      </c>
      <c r="AG40" s="258" t="s">
        <v>5</v>
      </c>
      <c r="AH40" s="196" t="s">
        <v>6</v>
      </c>
      <c r="AI40" s="253" t="s">
        <v>2</v>
      </c>
      <c r="AJ40" s="253" t="s">
        <v>2</v>
      </c>
      <c r="AK40" s="147" t="s">
        <v>10</v>
      </c>
      <c r="AL40" s="157" t="s">
        <v>2</v>
      </c>
      <c r="AM40" s="217" t="s">
        <v>24</v>
      </c>
      <c r="AN40" s="336" t="s">
        <v>246</v>
      </c>
      <c r="AO40" s="183" t="s">
        <v>3</v>
      </c>
      <c r="AP40" s="224" t="s">
        <v>247</v>
      </c>
      <c r="AQ40" s="243" t="s">
        <v>19</v>
      </c>
      <c r="AR40" s="318" t="s">
        <v>43</v>
      </c>
      <c r="AS40" s="146" t="s">
        <v>9</v>
      </c>
      <c r="AT40" s="196" t="s">
        <v>11</v>
      </c>
      <c r="AU40" s="150" t="s">
        <v>20</v>
      </c>
      <c r="AV40" s="147" t="s">
        <v>7</v>
      </c>
      <c r="AW40" s="147" t="s">
        <v>5</v>
      </c>
      <c r="AX40" s="229" t="s">
        <v>43</v>
      </c>
      <c r="AY40" s="229" t="s">
        <v>43</v>
      </c>
      <c r="AZ40" s="146" t="s">
        <v>15</v>
      </c>
      <c r="BA40" s="146" t="s">
        <v>20</v>
      </c>
      <c r="BB40" s="146" t="s">
        <v>6</v>
      </c>
      <c r="BC40" s="168" t="s">
        <v>21</v>
      </c>
      <c r="BD40" s="224" t="s">
        <v>244</v>
      </c>
      <c r="BE40" s="318" t="s">
        <v>43</v>
      </c>
      <c r="BF40" s="318" t="s">
        <v>43</v>
      </c>
      <c r="BG40" s="253" t="s">
        <v>7</v>
      </c>
      <c r="BH40" s="318" t="s">
        <v>43</v>
      </c>
      <c r="BI40" s="183" t="s">
        <v>14</v>
      </c>
      <c r="BJ40" s="183" t="s">
        <v>5</v>
      </c>
      <c r="BK40" s="183" t="s">
        <v>11</v>
      </c>
      <c r="BL40" s="318" t="s">
        <v>43</v>
      </c>
      <c r="BM40" s="192" t="s">
        <v>5</v>
      </c>
      <c r="BN40" s="192" t="s">
        <v>12</v>
      </c>
      <c r="BO40" s="309"/>
      <c r="BP40" s="319">
        <f t="shared" si="59"/>
        <v>20371.58562007557</v>
      </c>
      <c r="BQ40" s="320" t="s">
        <v>59</v>
      </c>
      <c r="BR40" s="143" t="s">
        <v>2</v>
      </c>
      <c r="BS40" s="227" t="s">
        <v>43</v>
      </c>
      <c r="BT40" s="269" t="s">
        <v>20</v>
      </c>
      <c r="BU40" s="227" t="s">
        <v>43</v>
      </c>
      <c r="BV40" s="196" t="s">
        <v>20</v>
      </c>
      <c r="BW40" s="161" t="s">
        <v>46</v>
      </c>
      <c r="BX40" s="235" t="s">
        <v>252</v>
      </c>
      <c r="BY40" s="241" t="s">
        <v>48</v>
      </c>
      <c r="BZ40" s="177" t="s">
        <v>8</v>
      </c>
      <c r="CA40" s="161" t="s">
        <v>5</v>
      </c>
      <c r="CB40" s="177" t="s">
        <v>8</v>
      </c>
      <c r="CC40" s="193" t="s">
        <v>6</v>
      </c>
      <c r="CD40" s="143" t="s">
        <v>45</v>
      </c>
      <c r="CE40" s="227" t="s">
        <v>43</v>
      </c>
      <c r="CF40" s="208" t="s">
        <v>22</v>
      </c>
      <c r="CG40" s="193" t="s">
        <v>10</v>
      </c>
      <c r="CH40" s="193" t="s">
        <v>20</v>
      </c>
      <c r="CI40" s="318" t="s">
        <v>43</v>
      </c>
      <c r="CJ40" s="70">
        <v>65</v>
      </c>
      <c r="DG40" s="357"/>
      <c r="DI40" s="58" t="s">
        <v>56</v>
      </c>
      <c r="DJ40" s="305" t="s">
        <v>25</v>
      </c>
      <c r="DK40" s="363">
        <f t="shared" si="0"/>
        <v>7</v>
      </c>
      <c r="DL40" s="363">
        <f t="shared" si="1"/>
        <v>5</v>
      </c>
      <c r="DM40" s="363">
        <f t="shared" si="2"/>
        <v>7</v>
      </c>
      <c r="DN40" s="363">
        <f t="shared" si="3"/>
        <v>5</v>
      </c>
      <c r="DO40" s="363">
        <f t="shared" si="4"/>
        <v>7</v>
      </c>
      <c r="DP40" s="363">
        <f t="shared" si="5"/>
        <v>5</v>
      </c>
      <c r="DQ40" s="363">
        <f t="shared" si="6"/>
        <v>3</v>
      </c>
      <c r="DR40" s="363">
        <f t="shared" si="7"/>
        <v>7</v>
      </c>
      <c r="DS40" s="363">
        <f t="shared" si="8"/>
        <v>5</v>
      </c>
      <c r="DT40" s="363">
        <f t="shared" si="9"/>
        <v>5</v>
      </c>
      <c r="DU40" s="363">
        <f t="shared" si="10"/>
        <v>7</v>
      </c>
      <c r="DV40" s="363">
        <f t="shared" si="11"/>
        <v>7</v>
      </c>
      <c r="DW40" s="363">
        <f t="shared" si="12"/>
        <v>7</v>
      </c>
      <c r="DX40" s="363">
        <f t="shared" si="13"/>
        <v>0</v>
      </c>
      <c r="DY40" s="363">
        <f t="shared" si="14"/>
        <v>0</v>
      </c>
      <c r="DZ40" s="363">
        <f t="shared" si="15"/>
        <v>4</v>
      </c>
      <c r="EA40" s="363">
        <f t="shared" si="16"/>
        <v>7</v>
      </c>
      <c r="EB40" s="363">
        <f t="shared" si="17"/>
        <v>3</v>
      </c>
      <c r="EC40" s="363">
        <f t="shared" si="18"/>
        <v>7</v>
      </c>
      <c r="ED40" s="363">
        <f t="shared" si="19"/>
        <v>7</v>
      </c>
      <c r="EE40" s="363">
        <f t="shared" si="20"/>
        <v>2</v>
      </c>
      <c r="EF40" s="363">
        <f t="shared" si="21"/>
        <v>5</v>
      </c>
      <c r="EG40" s="363">
        <f t="shared" si="22"/>
        <v>5</v>
      </c>
      <c r="EH40" s="363">
        <f t="shared" si="23"/>
        <v>5</v>
      </c>
      <c r="EI40" s="363">
        <f t="shared" si="24"/>
        <v>5</v>
      </c>
      <c r="EJ40" s="363">
        <f t="shared" si="25"/>
        <v>5</v>
      </c>
      <c r="EK40" s="363">
        <f t="shared" si="26"/>
        <v>5</v>
      </c>
      <c r="EL40" s="363">
        <f t="shared" si="27"/>
        <v>0</v>
      </c>
      <c r="EM40" s="363">
        <f t="shared" si="28"/>
        <v>0</v>
      </c>
      <c r="EN40" s="363">
        <f t="shared" si="29"/>
        <v>3</v>
      </c>
      <c r="EO40" s="363">
        <f t="shared" si="30"/>
        <v>5</v>
      </c>
      <c r="EP40" s="363">
        <f t="shared" si="31"/>
        <v>2</v>
      </c>
      <c r="EQ40" s="363">
        <f t="shared" si="32"/>
        <v>6</v>
      </c>
      <c r="ER40" s="363">
        <f t="shared" si="33"/>
        <v>5</v>
      </c>
      <c r="ES40" s="363">
        <f t="shared" si="34"/>
        <v>7</v>
      </c>
      <c r="ET40" s="363">
        <f t="shared" si="35"/>
        <v>0</v>
      </c>
      <c r="EU40" s="363">
        <f t="shared" si="36"/>
        <v>7</v>
      </c>
      <c r="EV40" s="363">
        <f t="shared" si="37"/>
        <v>0</v>
      </c>
      <c r="EW40" s="374" t="s">
        <v>59</v>
      </c>
      <c r="EX40" s="363">
        <f t="shared" si="38"/>
        <v>6</v>
      </c>
      <c r="EY40" s="363">
        <f t="shared" si="39"/>
        <v>0</v>
      </c>
      <c r="EZ40" s="363">
        <f t="shared" si="40"/>
        <v>2</v>
      </c>
      <c r="FA40" s="363">
        <f t="shared" si="41"/>
        <v>7</v>
      </c>
      <c r="FB40" s="363">
        <f t="shared" si="42"/>
        <v>7</v>
      </c>
      <c r="FC40" s="363">
        <f t="shared" si="43"/>
        <v>0</v>
      </c>
      <c r="FD40" s="363">
        <f t="shared" si="44"/>
        <v>0</v>
      </c>
      <c r="FE40" s="363">
        <f t="shared" si="45"/>
        <v>0</v>
      </c>
      <c r="FF40" s="363">
        <f t="shared" si="46"/>
        <v>7</v>
      </c>
      <c r="FG40" s="363">
        <f t="shared" si="47"/>
        <v>0</v>
      </c>
      <c r="FH40" s="363">
        <f t="shared" si="48"/>
        <v>7</v>
      </c>
      <c r="FI40" s="363">
        <f t="shared" si="49"/>
        <v>0</v>
      </c>
      <c r="FJ40" s="363">
        <f t="shared" si="50"/>
        <v>7</v>
      </c>
      <c r="FK40" s="363">
        <f t="shared" si="51"/>
        <v>7</v>
      </c>
      <c r="FL40" s="363">
        <f t="shared" si="52"/>
        <v>1</v>
      </c>
      <c r="FM40" s="363">
        <f t="shared" si="53"/>
        <v>7</v>
      </c>
      <c r="FN40" s="363">
        <f t="shared" si="54"/>
        <v>0</v>
      </c>
      <c r="FO40" s="363">
        <f t="shared" si="55"/>
        <v>0</v>
      </c>
      <c r="FP40" s="363">
        <f t="shared" si="60"/>
        <v>6</v>
      </c>
      <c r="FQ40" s="363">
        <f t="shared" si="61"/>
        <v>8</v>
      </c>
      <c r="FR40" s="309">
        <f t="shared" si="62"/>
        <v>14</v>
      </c>
      <c r="GM40" s="357"/>
      <c r="GO40" s="58" t="s">
        <v>56</v>
      </c>
      <c r="GP40" s="305" t="s">
        <v>25</v>
      </c>
      <c r="GQ40" s="244" t="s">
        <v>1</v>
      </c>
      <c r="GR40" s="244" t="s">
        <v>2</v>
      </c>
      <c r="GS40" s="244" t="s">
        <v>3</v>
      </c>
      <c r="GT40" s="244" t="s">
        <v>4</v>
      </c>
      <c r="GU40" s="244" t="s">
        <v>5</v>
      </c>
      <c r="GV40" s="244" t="s">
        <v>6</v>
      </c>
      <c r="GW40" s="244" t="s">
        <v>2</v>
      </c>
      <c r="GX40" s="244" t="s">
        <v>2</v>
      </c>
      <c r="GY40" s="244" t="s">
        <v>10</v>
      </c>
      <c r="GZ40" s="223" t="s">
        <v>2</v>
      </c>
      <c r="HA40" s="366" t="s">
        <v>24</v>
      </c>
      <c r="HB40" s="380" t="s">
        <v>323</v>
      </c>
      <c r="HC40" s="244" t="s">
        <v>3</v>
      </c>
      <c r="HD40" s="366" t="s">
        <v>324</v>
      </c>
      <c r="HE40" s="366" t="s">
        <v>19</v>
      </c>
      <c r="HF40" s="318" t="s">
        <v>43</v>
      </c>
      <c r="HG40" s="244" t="s">
        <v>9</v>
      </c>
      <c r="HH40" s="244" t="s">
        <v>11</v>
      </c>
      <c r="HI40" s="244" t="s">
        <v>20</v>
      </c>
      <c r="HJ40" s="244" t="s">
        <v>7</v>
      </c>
      <c r="HK40" s="244" t="s">
        <v>5</v>
      </c>
      <c r="HL40" s="244" t="s">
        <v>43</v>
      </c>
      <c r="HM40" s="244" t="s">
        <v>43</v>
      </c>
      <c r="HN40" s="244" t="s">
        <v>15</v>
      </c>
      <c r="HO40" s="244" t="s">
        <v>20</v>
      </c>
      <c r="HP40" s="244" t="s">
        <v>6</v>
      </c>
      <c r="HQ40" s="366" t="s">
        <v>21</v>
      </c>
      <c r="HR40" s="366" t="s">
        <v>318</v>
      </c>
      <c r="HS40" s="318" t="s">
        <v>43</v>
      </c>
      <c r="HT40" s="318" t="s">
        <v>43</v>
      </c>
      <c r="HU40" s="244" t="s">
        <v>7</v>
      </c>
      <c r="HV40" s="318" t="s">
        <v>43</v>
      </c>
      <c r="HW40" s="244" t="s">
        <v>14</v>
      </c>
      <c r="HX40" s="244" t="s">
        <v>5</v>
      </c>
      <c r="HY40" s="244" t="s">
        <v>11</v>
      </c>
      <c r="HZ40" s="318" t="s">
        <v>43</v>
      </c>
      <c r="IA40" s="244" t="s">
        <v>5</v>
      </c>
      <c r="IB40" s="244" t="s">
        <v>12</v>
      </c>
      <c r="IC40" s="374" t="s">
        <v>59</v>
      </c>
      <c r="ID40" s="173" t="s">
        <v>2</v>
      </c>
      <c r="IE40" s="173" t="s">
        <v>43</v>
      </c>
      <c r="IF40" s="173" t="s">
        <v>20</v>
      </c>
      <c r="IG40" s="173" t="s">
        <v>43</v>
      </c>
      <c r="IH40" s="244" t="s">
        <v>20</v>
      </c>
      <c r="II40" s="173" t="s">
        <v>46</v>
      </c>
      <c r="IJ40" s="367" t="s">
        <v>320</v>
      </c>
      <c r="IK40" s="368" t="s">
        <v>48</v>
      </c>
      <c r="IL40" s="173" t="s">
        <v>8</v>
      </c>
      <c r="IM40" s="173" t="s">
        <v>5</v>
      </c>
      <c r="IN40" s="173" t="s">
        <v>8</v>
      </c>
      <c r="IO40" s="173" t="s">
        <v>6</v>
      </c>
      <c r="IP40" s="173" t="s">
        <v>45</v>
      </c>
      <c r="IQ40" s="173" t="s">
        <v>43</v>
      </c>
      <c r="IR40" s="173" t="s">
        <v>22</v>
      </c>
      <c r="IS40" s="173" t="s">
        <v>10</v>
      </c>
      <c r="IT40" s="173" t="s">
        <v>20</v>
      </c>
      <c r="IU40" s="318" t="s">
        <v>43</v>
      </c>
      <c r="JN40" s="357"/>
      <c r="JO40" s="369">
        <v>94</v>
      </c>
      <c r="JP40" s="305" t="s">
        <v>162</v>
      </c>
      <c r="JQ40" s="332" t="s">
        <v>174</v>
      </c>
      <c r="JR40" s="67" t="s">
        <v>175</v>
      </c>
      <c r="JS40" s="159" t="s">
        <v>7</v>
      </c>
      <c r="JT40" s="159" t="s">
        <v>2</v>
      </c>
      <c r="JU40" s="109" t="s">
        <v>6</v>
      </c>
      <c r="JV40" s="155" t="s">
        <v>20</v>
      </c>
      <c r="JW40" s="112" t="s">
        <v>188</v>
      </c>
      <c r="JX40" s="254" t="s">
        <v>8</v>
      </c>
      <c r="JY40" s="221" t="s">
        <v>7</v>
      </c>
      <c r="JZ40" s="254" t="s">
        <v>2</v>
      </c>
      <c r="KA40" s="111" t="s">
        <v>189</v>
      </c>
      <c r="KB40" s="115" t="s">
        <v>192</v>
      </c>
      <c r="KC40" s="246" t="s">
        <v>43</v>
      </c>
      <c r="KD40" s="246" t="s">
        <v>43</v>
      </c>
      <c r="KE40" s="159" t="s">
        <v>6</v>
      </c>
      <c r="KF40" s="230" t="s">
        <v>185</v>
      </c>
      <c r="KG40" s="125" t="s">
        <v>4</v>
      </c>
      <c r="KH40" s="118" t="s">
        <v>186</v>
      </c>
      <c r="KI40" s="246" t="s">
        <v>43</v>
      </c>
      <c r="KJ40" s="190" t="s">
        <v>187</v>
      </c>
      <c r="KK40" s="246" t="s">
        <v>43</v>
      </c>
      <c r="KL40" s="159" t="s">
        <v>12</v>
      </c>
      <c r="KM40" s="159" t="s">
        <v>14</v>
      </c>
      <c r="KN40" s="159" t="s">
        <v>6</v>
      </c>
      <c r="KO40" s="182" t="s">
        <v>5</v>
      </c>
      <c r="KP40" s="322">
        <f t="shared" si="63"/>
        <v>122.4053677545822</v>
      </c>
      <c r="KR40" s="329" t="s">
        <v>162</v>
      </c>
      <c r="KS40" s="254" t="s">
        <v>4</v>
      </c>
      <c r="KT40" s="170" t="s">
        <v>9</v>
      </c>
      <c r="KU40" s="221" t="s">
        <v>20</v>
      </c>
      <c r="KV40" s="166" t="s">
        <v>4</v>
      </c>
      <c r="KW40" s="204" t="s">
        <v>193</v>
      </c>
      <c r="KX40" s="254" t="s">
        <v>1</v>
      </c>
      <c r="KY40" s="254" t="s">
        <v>15</v>
      </c>
      <c r="KZ40" s="254" t="s">
        <v>6</v>
      </c>
      <c r="LA40" s="158" t="s">
        <v>15</v>
      </c>
      <c r="LB40" s="166" t="s">
        <v>9</v>
      </c>
      <c r="LC40" s="211" t="s">
        <v>185</v>
      </c>
      <c r="LD40" s="211" t="s">
        <v>6</v>
      </c>
      <c r="LE40" s="155" t="s">
        <v>7</v>
      </c>
      <c r="LF40" s="166" t="s">
        <v>15</v>
      </c>
      <c r="LG40" s="107" t="s">
        <v>231</v>
      </c>
      <c r="LH40" s="358">
        <v>27</v>
      </c>
      <c r="LW40" s="369">
        <v>94</v>
      </c>
      <c r="LX40" s="317" t="s">
        <v>162</v>
      </c>
      <c r="LY40" s="379" t="s">
        <v>174</v>
      </c>
      <c r="LZ40" s="306">
        <f t="shared" si="64"/>
        <v>20</v>
      </c>
      <c r="MA40" s="306">
        <f t="shared" si="65"/>
        <v>3</v>
      </c>
      <c r="MB40" s="306">
        <f t="shared" si="66"/>
        <v>14</v>
      </c>
      <c r="MC40" s="306">
        <f t="shared" si="67"/>
        <v>28</v>
      </c>
      <c r="MD40" s="306">
        <f t="shared" si="68"/>
        <v>17</v>
      </c>
      <c r="ME40" s="306">
        <f t="shared" si="69"/>
        <v>21</v>
      </c>
      <c r="MF40" s="306">
        <f t="shared" si="70"/>
        <v>19</v>
      </c>
      <c r="MG40" s="306">
        <f t="shared" si="71"/>
        <v>7</v>
      </c>
      <c r="MH40" s="306">
        <f t="shared" si="72"/>
        <v>18</v>
      </c>
      <c r="MI40" s="306">
        <f t="shared" si="73"/>
        <v>9</v>
      </c>
      <c r="MJ40" s="306">
        <f t="shared" si="74"/>
        <v>18</v>
      </c>
      <c r="MK40" s="306">
        <f t="shared" si="75"/>
        <v>9</v>
      </c>
      <c r="ML40" s="306">
        <f t="shared" si="76"/>
        <v>12</v>
      </c>
      <c r="MM40" s="306">
        <f t="shared" si="77"/>
        <v>18</v>
      </c>
      <c r="MN40" s="306">
        <f t="shared" si="78"/>
        <v>18</v>
      </c>
      <c r="MO40" s="306">
        <f t="shared" si="79"/>
        <v>19</v>
      </c>
      <c r="MP40" s="306">
        <f t="shared" si="80"/>
        <v>19</v>
      </c>
      <c r="MQ40" s="306">
        <f t="shared" si="81"/>
        <v>21</v>
      </c>
      <c r="MR40" s="306">
        <f t="shared" si="82"/>
        <v>22</v>
      </c>
      <c r="MS40" s="306">
        <f t="shared" si="83"/>
        <v>25</v>
      </c>
      <c r="MT40" s="306">
        <f t="shared" si="84"/>
        <v>26</v>
      </c>
      <c r="MU40" s="306">
        <f t="shared" si="85"/>
        <v>28</v>
      </c>
      <c r="MV40" s="306">
        <f t="shared" si="86"/>
        <v>23</v>
      </c>
      <c r="MY40" s="306">
        <f t="shared" si="87"/>
        <v>5</v>
      </c>
      <c r="MZ40" s="306">
        <f t="shared" si="88"/>
        <v>29</v>
      </c>
      <c r="NA40" s="306">
        <f t="shared" si="89"/>
        <v>28</v>
      </c>
      <c r="NB40" s="306">
        <f t="shared" si="90"/>
        <v>17</v>
      </c>
      <c r="NC40" s="306">
        <f t="shared" si="91"/>
        <v>16</v>
      </c>
      <c r="ND40" s="306">
        <f t="shared" si="92"/>
        <v>2</v>
      </c>
      <c r="NE40" s="306">
        <f t="shared" si="93"/>
        <v>29</v>
      </c>
      <c r="NF40" s="306">
        <f t="shared" si="94"/>
        <v>29</v>
      </c>
      <c r="NG40" s="306">
        <f t="shared" si="95"/>
        <v>13</v>
      </c>
      <c r="NH40" s="306">
        <f t="shared" si="96"/>
        <v>26</v>
      </c>
      <c r="NI40" s="306">
        <f t="shared" si="97"/>
        <v>14</v>
      </c>
      <c r="NJ40" s="306">
        <f t="shared" si="98"/>
        <v>13</v>
      </c>
      <c r="NK40" s="306">
        <f t="shared" si="99"/>
        <v>16</v>
      </c>
      <c r="NL40" s="306">
        <f t="shared" si="100"/>
        <v>26</v>
      </c>
      <c r="NM40" s="306">
        <f t="shared" si="100"/>
        <v>2</v>
      </c>
      <c r="NN40" s="306">
        <f t="shared" si="101"/>
        <v>0</v>
      </c>
      <c r="NO40" s="306">
        <f t="shared" si="102"/>
        <v>0</v>
      </c>
      <c r="NU40" s="379" t="s">
        <v>174</v>
      </c>
      <c r="NV40" s="357"/>
      <c r="NX40" s="246" t="s">
        <v>7</v>
      </c>
      <c r="NY40" s="246" t="s">
        <v>2</v>
      </c>
      <c r="NZ40" s="246" t="s">
        <v>6</v>
      </c>
      <c r="OA40" s="246" t="s">
        <v>20</v>
      </c>
      <c r="OB40" s="372" t="s">
        <v>188</v>
      </c>
      <c r="OC40" s="246" t="s">
        <v>8</v>
      </c>
      <c r="OD40" s="246" t="s">
        <v>7</v>
      </c>
      <c r="OE40" s="246" t="s">
        <v>2</v>
      </c>
      <c r="OF40" s="371" t="s">
        <v>189</v>
      </c>
      <c r="OG40" s="372" t="s">
        <v>192</v>
      </c>
      <c r="OH40" s="246" t="s">
        <v>43</v>
      </c>
      <c r="OI40" s="246" t="s">
        <v>43</v>
      </c>
      <c r="OJ40" s="163" t="s">
        <v>6</v>
      </c>
      <c r="OK40" s="163" t="s">
        <v>185</v>
      </c>
      <c r="OL40" s="246" t="s">
        <v>4</v>
      </c>
      <c r="OM40" s="372" t="s">
        <v>186</v>
      </c>
      <c r="ON40" s="246" t="s">
        <v>43</v>
      </c>
      <c r="OO40" s="225" t="s">
        <v>187</v>
      </c>
      <c r="OP40" s="246" t="s">
        <v>43</v>
      </c>
      <c r="OQ40" s="246" t="s">
        <v>12</v>
      </c>
      <c r="OR40" s="159" t="s">
        <v>14</v>
      </c>
      <c r="OS40" s="159" t="s">
        <v>6</v>
      </c>
      <c r="OT40" s="246" t="s">
        <v>5</v>
      </c>
      <c r="OV40" s="370" t="s">
        <v>162</v>
      </c>
      <c r="OW40" s="246" t="s">
        <v>4</v>
      </c>
      <c r="OX40" s="246" t="s">
        <v>9</v>
      </c>
      <c r="OY40" s="159" t="s">
        <v>20</v>
      </c>
      <c r="OZ40" s="159" t="s">
        <v>4</v>
      </c>
      <c r="PA40" s="225" t="s">
        <v>193</v>
      </c>
      <c r="PB40" s="246" t="s">
        <v>1</v>
      </c>
      <c r="PC40" s="246" t="s">
        <v>15</v>
      </c>
      <c r="PD40" s="246" t="s">
        <v>6</v>
      </c>
      <c r="PE40" s="246" t="s">
        <v>15</v>
      </c>
      <c r="PF40" s="246" t="s">
        <v>9</v>
      </c>
      <c r="PG40" s="246" t="s">
        <v>185</v>
      </c>
      <c r="PH40" s="246" t="s">
        <v>6</v>
      </c>
      <c r="PI40" s="246" t="s">
        <v>7</v>
      </c>
      <c r="PJ40" s="246" t="s">
        <v>15</v>
      </c>
      <c r="PK40" s="388" t="s">
        <v>231</v>
      </c>
      <c r="PM40"/>
      <c r="PN40"/>
      <c r="PO40"/>
      <c r="PP40"/>
      <c r="PQ40"/>
      <c r="PR40"/>
      <c r="PS40"/>
      <c r="PT40"/>
      <c r="QN40" s="357"/>
      <c r="QO40" s="66" t="s">
        <v>121</v>
      </c>
      <c r="QP40" s="204" t="s">
        <v>195</v>
      </c>
      <c r="QQ40" s="230" t="s">
        <v>196</v>
      </c>
      <c r="QR40" s="166" t="s">
        <v>14</v>
      </c>
      <c r="QS40" s="318" t="s">
        <v>43</v>
      </c>
      <c r="QT40" s="205" t="s">
        <v>9</v>
      </c>
      <c r="QU40" s="182" t="s">
        <v>185</v>
      </c>
      <c r="QV40" s="318" t="s">
        <v>43</v>
      </c>
      <c r="QW40" s="131" t="s">
        <v>22</v>
      </c>
      <c r="QX40" s="216" t="s">
        <v>198</v>
      </c>
      <c r="QY40" s="246" t="s">
        <v>8</v>
      </c>
      <c r="QZ40" s="166" t="s">
        <v>11</v>
      </c>
      <c r="RA40" s="254" t="s">
        <v>22</v>
      </c>
      <c r="RB40" s="246" t="s">
        <v>43</v>
      </c>
      <c r="RC40" s="182" t="s">
        <v>8</v>
      </c>
      <c r="RD40" s="199" t="s">
        <v>2</v>
      </c>
      <c r="RE40" s="254" t="s">
        <v>1</v>
      </c>
      <c r="RF40" s="159" t="s">
        <v>7</v>
      </c>
      <c r="RG40" s="159" t="s">
        <v>8</v>
      </c>
      <c r="RH40" s="225" t="s">
        <v>206</v>
      </c>
      <c r="RI40" s="246" t="s">
        <v>43</v>
      </c>
      <c r="RJ40" s="125" t="s">
        <v>11</v>
      </c>
      <c r="RK40" s="182" t="s">
        <v>2</v>
      </c>
      <c r="RL40" s="141" t="s">
        <v>12</v>
      </c>
      <c r="RM40" s="246" t="s">
        <v>43</v>
      </c>
      <c r="RN40" s="324" t="s">
        <v>200</v>
      </c>
      <c r="RO40" s="124" t="s">
        <v>201</v>
      </c>
      <c r="RP40" s="182" t="s">
        <v>14</v>
      </c>
      <c r="RQ40" s="254" t="s">
        <v>10</v>
      </c>
      <c r="RR40" s="246" t="s">
        <v>43</v>
      </c>
      <c r="RS40" s="159" t="s">
        <v>10</v>
      </c>
      <c r="RT40" s="235" t="s">
        <v>21</v>
      </c>
      <c r="RU40" s="246" t="s">
        <v>43</v>
      </c>
      <c r="RV40" s="182" t="s">
        <v>7</v>
      </c>
      <c r="RW40" s="182" t="s">
        <v>7</v>
      </c>
      <c r="RX40" s="318" t="s">
        <v>43</v>
      </c>
      <c r="RY40" s="254" t="s">
        <v>14</v>
      </c>
      <c r="RZ40" s="159" t="s">
        <v>185</v>
      </c>
      <c r="SA40" s="225" t="s">
        <v>258</v>
      </c>
      <c r="SB40" s="221" t="s">
        <v>1</v>
      </c>
      <c r="SC40" s="176" t="s">
        <v>1</v>
      </c>
      <c r="SD40" s="182" t="s">
        <v>10</v>
      </c>
      <c r="SE40" s="159" t="s">
        <v>14</v>
      </c>
      <c r="SF40" s="176" t="s">
        <v>7</v>
      </c>
      <c r="SG40" s="246" t="s">
        <v>43</v>
      </c>
      <c r="SH40" s="254" t="s">
        <v>15</v>
      </c>
      <c r="SI40" s="131" t="s">
        <v>5</v>
      </c>
      <c r="SJ40" s="221" t="s">
        <v>261</v>
      </c>
      <c r="SK40" s="322">
        <f t="shared" si="103"/>
        <v>77.881049738832516</v>
      </c>
      <c r="SM40" s="362">
        <v>27</v>
      </c>
      <c r="SO40"/>
      <c r="SP40"/>
      <c r="TP40" s="357"/>
      <c r="TQ40" s="66" t="s">
        <v>121</v>
      </c>
      <c r="TR40" s="306">
        <f t="shared" si="104"/>
        <v>31</v>
      </c>
      <c r="TS40" s="306">
        <f t="shared" si="105"/>
        <v>9</v>
      </c>
      <c r="TT40" s="306">
        <f t="shared" si="106"/>
        <v>20</v>
      </c>
      <c r="TU40" s="306">
        <f t="shared" si="107"/>
        <v>18</v>
      </c>
      <c r="TV40" s="306">
        <f t="shared" si="108"/>
        <v>5</v>
      </c>
      <c r="TW40" s="306">
        <f t="shared" si="109"/>
        <v>24</v>
      </c>
      <c r="TX40" s="306">
        <f t="shared" si="110"/>
        <v>11</v>
      </c>
      <c r="TY40" s="306">
        <f t="shared" si="111"/>
        <v>33</v>
      </c>
      <c r="TZ40" s="306">
        <f t="shared" si="112"/>
        <v>33</v>
      </c>
      <c r="UA40" s="306">
        <f t="shared" si="113"/>
        <v>24</v>
      </c>
      <c r="UB40" s="306">
        <f t="shared" si="114"/>
        <v>19</v>
      </c>
      <c r="UC40" s="306">
        <f t="shared" si="115"/>
        <v>4</v>
      </c>
      <c r="UD40" s="306">
        <f t="shared" si="116"/>
        <v>27</v>
      </c>
      <c r="UE40" s="306">
        <f t="shared" si="117"/>
        <v>26</v>
      </c>
      <c r="UF40" s="306">
        <f t="shared" si="118"/>
        <v>24</v>
      </c>
      <c r="UG40" s="306">
        <f t="shared" si="119"/>
        <v>8</v>
      </c>
      <c r="UH40" s="306">
        <f t="shared" si="120"/>
        <v>28</v>
      </c>
      <c r="UI40" s="306">
        <f t="shared" si="121"/>
        <v>32</v>
      </c>
      <c r="UJ40" s="306">
        <f t="shared" si="122"/>
        <v>9</v>
      </c>
      <c r="UK40" s="306">
        <f t="shared" si="123"/>
        <v>31</v>
      </c>
      <c r="UL40" s="306">
        <f t="shared" si="124"/>
        <v>26</v>
      </c>
      <c r="UM40" s="306">
        <f t="shared" si="125"/>
        <v>28</v>
      </c>
      <c r="UN40" s="306">
        <f t="shared" si="126"/>
        <v>10</v>
      </c>
      <c r="UO40" s="306">
        <f t="shared" si="127"/>
        <v>23</v>
      </c>
      <c r="UP40" s="306">
        <f t="shared" si="128"/>
        <v>11</v>
      </c>
      <c r="UQ40" s="306">
        <f t="shared" si="129"/>
        <v>30</v>
      </c>
      <c r="UR40" s="306">
        <f t="shared" si="130"/>
        <v>16</v>
      </c>
      <c r="US40" s="306">
        <f t="shared" si="131"/>
        <v>4</v>
      </c>
      <c r="UT40" s="306">
        <f t="shared" si="132"/>
        <v>30</v>
      </c>
      <c r="UU40" s="306">
        <f t="shared" si="133"/>
        <v>22</v>
      </c>
      <c r="UV40" s="306">
        <f t="shared" si="134"/>
        <v>31</v>
      </c>
      <c r="UW40" s="306">
        <f t="shared" si="135"/>
        <v>33</v>
      </c>
      <c r="UX40" s="306">
        <f t="shared" si="136"/>
        <v>32</v>
      </c>
      <c r="UY40" s="306">
        <f t="shared" si="137"/>
        <v>17</v>
      </c>
      <c r="UZ40" s="306">
        <f t="shared" si="138"/>
        <v>11</v>
      </c>
      <c r="VA40" s="306">
        <f t="shared" si="139"/>
        <v>8</v>
      </c>
      <c r="VB40" s="306">
        <f t="shared" si="140"/>
        <v>25</v>
      </c>
      <c r="VC40" s="306">
        <f t="shared" si="141"/>
        <v>5</v>
      </c>
      <c r="VD40" s="306">
        <f t="shared" si="142"/>
        <v>23</v>
      </c>
      <c r="VE40" s="306">
        <f t="shared" si="143"/>
        <v>26</v>
      </c>
      <c r="VF40" s="306">
        <f t="shared" si="144"/>
        <v>17</v>
      </c>
      <c r="VG40" s="306">
        <f t="shared" si="145"/>
        <v>23</v>
      </c>
      <c r="VH40" s="306">
        <f t="shared" si="146"/>
        <v>29</v>
      </c>
      <c r="VI40" s="306">
        <f t="shared" si="147"/>
        <v>28</v>
      </c>
      <c r="VJ40" s="306">
        <f t="shared" si="148"/>
        <v>30</v>
      </c>
      <c r="VK40" s="306">
        <f t="shared" si="149"/>
        <v>32</v>
      </c>
      <c r="VL40" s="306">
        <f t="shared" si="150"/>
        <v>25</v>
      </c>
      <c r="VN40" s="306">
        <f t="shared" si="151"/>
        <v>0</v>
      </c>
      <c r="WR40" s="357"/>
      <c r="WS40" s="66" t="s">
        <v>121</v>
      </c>
      <c r="WT40" s="225" t="s">
        <v>195</v>
      </c>
      <c r="WU40" s="246" t="s">
        <v>196</v>
      </c>
      <c r="WV40" s="246" t="s">
        <v>14</v>
      </c>
      <c r="WW40" s="318" t="s">
        <v>43</v>
      </c>
      <c r="WX40" s="246" t="s">
        <v>9</v>
      </c>
      <c r="WY40" s="246" t="s">
        <v>185</v>
      </c>
      <c r="WZ40" s="318" t="s">
        <v>43</v>
      </c>
      <c r="XA40" s="246" t="s">
        <v>22</v>
      </c>
      <c r="XB40" s="225" t="s">
        <v>198</v>
      </c>
      <c r="XC40" s="246" t="s">
        <v>8</v>
      </c>
      <c r="XD40" s="246" t="s">
        <v>11</v>
      </c>
      <c r="XE40" s="246" t="s">
        <v>22</v>
      </c>
      <c r="XF40" s="246" t="s">
        <v>43</v>
      </c>
      <c r="XG40" s="163" t="s">
        <v>8</v>
      </c>
      <c r="XH40" s="163" t="s">
        <v>2</v>
      </c>
      <c r="XI40" s="159" t="s">
        <v>1</v>
      </c>
      <c r="XJ40" s="159" t="s">
        <v>7</v>
      </c>
      <c r="XK40" s="246" t="s">
        <v>8</v>
      </c>
      <c r="XL40" s="204" t="s">
        <v>206</v>
      </c>
      <c r="XM40" s="246" t="s">
        <v>43</v>
      </c>
      <c r="XN40" s="159" t="s">
        <v>11</v>
      </c>
      <c r="XO40" s="159" t="s">
        <v>2</v>
      </c>
      <c r="XP40" s="246" t="s">
        <v>12</v>
      </c>
      <c r="XQ40" s="246" t="s">
        <v>43</v>
      </c>
      <c r="XR40" s="337" t="s">
        <v>200</v>
      </c>
      <c r="XS40" s="225" t="s">
        <v>201</v>
      </c>
      <c r="XT40" s="240" t="s">
        <v>14</v>
      </c>
      <c r="XU40" s="240" t="s">
        <v>10</v>
      </c>
      <c r="XV40" s="246" t="s">
        <v>43</v>
      </c>
      <c r="XW40" s="159" t="s">
        <v>10</v>
      </c>
      <c r="XX40" s="225" t="s">
        <v>21</v>
      </c>
      <c r="XY40" s="246" t="s">
        <v>43</v>
      </c>
      <c r="XZ40" s="166" t="s">
        <v>7</v>
      </c>
      <c r="YA40" s="166" t="s">
        <v>7</v>
      </c>
      <c r="YB40" s="318" t="s">
        <v>43</v>
      </c>
      <c r="YC40" s="246" t="s">
        <v>14</v>
      </c>
      <c r="YD40" s="246" t="s">
        <v>185</v>
      </c>
      <c r="YE40" s="225" t="s">
        <v>258</v>
      </c>
      <c r="YF40" s="246" t="s">
        <v>1</v>
      </c>
      <c r="YG40" s="246" t="s">
        <v>1</v>
      </c>
      <c r="YH40" s="246" t="s">
        <v>10</v>
      </c>
      <c r="YI40" s="246" t="s">
        <v>14</v>
      </c>
      <c r="YJ40" s="159" t="s">
        <v>7</v>
      </c>
      <c r="YK40" s="159" t="s">
        <v>43</v>
      </c>
      <c r="YL40" s="159" t="s">
        <v>15</v>
      </c>
      <c r="YM40" s="246" t="s">
        <v>5</v>
      </c>
      <c r="YN40" s="246" t="s">
        <v>261</v>
      </c>
      <c r="AFZ40" s="307"/>
    </row>
    <row r="41" spans="1:858" s="306" customFormat="1" ht="21" x14ac:dyDescent="0.35">
      <c r="A41" s="70">
        <v>32</v>
      </c>
      <c r="B41" s="305"/>
      <c r="C41" s="305" t="s">
        <v>125</v>
      </c>
      <c r="D41" s="45" t="s">
        <v>126</v>
      </c>
      <c r="E41" s="305"/>
      <c r="F41" s="128">
        <v>5004.0777052572294</v>
      </c>
      <c r="X41" s="355"/>
      <c r="AA41" s="58" t="s">
        <v>56</v>
      </c>
      <c r="AB41" s="305" t="s">
        <v>25</v>
      </c>
      <c r="AC41" s="183" t="s">
        <v>1</v>
      </c>
      <c r="AD41" s="147" t="s">
        <v>2</v>
      </c>
      <c r="AE41" s="132" t="s">
        <v>3</v>
      </c>
      <c r="AF41" s="203" t="s">
        <v>4</v>
      </c>
      <c r="AG41" s="258" t="s">
        <v>5</v>
      </c>
      <c r="AH41" s="196" t="s">
        <v>6</v>
      </c>
      <c r="AI41" s="253" t="s">
        <v>2</v>
      </c>
      <c r="AJ41" s="253" t="s">
        <v>2</v>
      </c>
      <c r="AK41" s="147" t="s">
        <v>10</v>
      </c>
      <c r="AL41" s="157" t="s">
        <v>2</v>
      </c>
      <c r="AM41" s="217" t="s">
        <v>24</v>
      </c>
      <c r="AN41" s="336" t="s">
        <v>246</v>
      </c>
      <c r="AO41" s="183" t="s">
        <v>3</v>
      </c>
      <c r="AP41" s="224" t="s">
        <v>247</v>
      </c>
      <c r="AQ41" s="243" t="s">
        <v>19</v>
      </c>
      <c r="AR41" s="318" t="s">
        <v>43</v>
      </c>
      <c r="AS41" s="146" t="s">
        <v>9</v>
      </c>
      <c r="AT41" s="196" t="s">
        <v>11</v>
      </c>
      <c r="AU41" s="150" t="s">
        <v>20</v>
      </c>
      <c r="AV41" s="147" t="s">
        <v>7</v>
      </c>
      <c r="AW41" s="147" t="s">
        <v>5</v>
      </c>
      <c r="AX41" s="229" t="s">
        <v>43</v>
      </c>
      <c r="AY41" s="229" t="s">
        <v>43</v>
      </c>
      <c r="AZ41" s="146" t="s">
        <v>15</v>
      </c>
      <c r="BA41" s="146" t="s">
        <v>20</v>
      </c>
      <c r="BB41" s="146" t="s">
        <v>6</v>
      </c>
      <c r="BC41" s="168" t="s">
        <v>21</v>
      </c>
      <c r="BD41" s="224" t="s">
        <v>244</v>
      </c>
      <c r="BE41" s="318" t="s">
        <v>43</v>
      </c>
      <c r="BF41" s="318" t="s">
        <v>43</v>
      </c>
      <c r="BG41" s="253" t="s">
        <v>7</v>
      </c>
      <c r="BH41" s="318" t="s">
        <v>43</v>
      </c>
      <c r="BI41" s="183" t="s">
        <v>14</v>
      </c>
      <c r="BJ41" s="183" t="s">
        <v>5</v>
      </c>
      <c r="BK41" s="183" t="s">
        <v>11</v>
      </c>
      <c r="BL41" s="318" t="s">
        <v>43</v>
      </c>
      <c r="BM41" s="192" t="s">
        <v>5</v>
      </c>
      <c r="BN41" s="192" t="s">
        <v>12</v>
      </c>
      <c r="BO41" s="309"/>
      <c r="BP41" s="319">
        <f t="shared" si="59"/>
        <v>23003.985718769578</v>
      </c>
      <c r="BQ41" s="320" t="s">
        <v>69</v>
      </c>
      <c r="BR41" s="143" t="s">
        <v>2</v>
      </c>
      <c r="BS41" s="227" t="s">
        <v>43</v>
      </c>
      <c r="BT41" s="269" t="s">
        <v>20</v>
      </c>
      <c r="BU41" s="227" t="s">
        <v>43</v>
      </c>
      <c r="BV41" s="196" t="s">
        <v>20</v>
      </c>
      <c r="BW41" s="161" t="s">
        <v>46</v>
      </c>
      <c r="BX41" s="235" t="s">
        <v>252</v>
      </c>
      <c r="BY41" s="241" t="s">
        <v>48</v>
      </c>
      <c r="BZ41" s="177" t="s">
        <v>8</v>
      </c>
      <c r="CA41" s="161" t="s">
        <v>5</v>
      </c>
      <c r="CB41" s="177" t="s">
        <v>8</v>
      </c>
      <c r="CC41" s="193" t="s">
        <v>6</v>
      </c>
      <c r="CD41" s="143" t="s">
        <v>45</v>
      </c>
      <c r="CE41" s="227" t="s">
        <v>43</v>
      </c>
      <c r="CF41" s="208" t="s">
        <v>22</v>
      </c>
      <c r="CG41" s="250" t="s">
        <v>11</v>
      </c>
      <c r="CH41" s="193" t="s">
        <v>20</v>
      </c>
      <c r="CI41" s="318" t="s">
        <v>43</v>
      </c>
      <c r="CJ41" s="70">
        <v>66</v>
      </c>
      <c r="DG41" s="357"/>
      <c r="DI41" s="58" t="s">
        <v>56</v>
      </c>
      <c r="DJ41" s="305" t="s">
        <v>25</v>
      </c>
      <c r="DK41" s="363">
        <f t="shared" si="0"/>
        <v>7</v>
      </c>
      <c r="DL41" s="363">
        <f t="shared" si="1"/>
        <v>5</v>
      </c>
      <c r="DM41" s="363">
        <f t="shared" si="2"/>
        <v>7</v>
      </c>
      <c r="DN41" s="363">
        <f t="shared" si="3"/>
        <v>5</v>
      </c>
      <c r="DO41" s="363">
        <f t="shared" si="4"/>
        <v>7</v>
      </c>
      <c r="DP41" s="363">
        <f t="shared" si="5"/>
        <v>5</v>
      </c>
      <c r="DQ41" s="363">
        <f t="shared" si="6"/>
        <v>3</v>
      </c>
      <c r="DR41" s="363">
        <f t="shared" si="7"/>
        <v>7</v>
      </c>
      <c r="DS41" s="363">
        <f t="shared" si="8"/>
        <v>5</v>
      </c>
      <c r="DT41" s="363">
        <f t="shared" si="9"/>
        <v>5</v>
      </c>
      <c r="DU41" s="363">
        <f t="shared" si="10"/>
        <v>7</v>
      </c>
      <c r="DV41" s="363">
        <f t="shared" si="11"/>
        <v>7</v>
      </c>
      <c r="DW41" s="363">
        <f t="shared" si="12"/>
        <v>7</v>
      </c>
      <c r="DX41" s="363">
        <f t="shared" si="13"/>
        <v>0</v>
      </c>
      <c r="DY41" s="363">
        <f t="shared" si="14"/>
        <v>0</v>
      </c>
      <c r="DZ41" s="363">
        <f t="shared" si="15"/>
        <v>4</v>
      </c>
      <c r="EA41" s="363">
        <f t="shared" si="16"/>
        <v>7</v>
      </c>
      <c r="EB41" s="363">
        <f t="shared" si="17"/>
        <v>3</v>
      </c>
      <c r="EC41" s="363">
        <f t="shared" si="18"/>
        <v>7</v>
      </c>
      <c r="ED41" s="363">
        <f t="shared" si="19"/>
        <v>7</v>
      </c>
      <c r="EE41" s="363">
        <f t="shared" si="20"/>
        <v>2</v>
      </c>
      <c r="EF41" s="363">
        <f t="shared" si="21"/>
        <v>5</v>
      </c>
      <c r="EG41" s="363">
        <f t="shared" si="22"/>
        <v>5</v>
      </c>
      <c r="EH41" s="363">
        <f t="shared" si="23"/>
        <v>5</v>
      </c>
      <c r="EI41" s="363">
        <f t="shared" si="24"/>
        <v>5</v>
      </c>
      <c r="EJ41" s="363">
        <f t="shared" si="25"/>
        <v>5</v>
      </c>
      <c r="EK41" s="363">
        <f t="shared" si="26"/>
        <v>5</v>
      </c>
      <c r="EL41" s="363">
        <f t="shared" si="27"/>
        <v>0</v>
      </c>
      <c r="EM41" s="363">
        <f t="shared" si="28"/>
        <v>0</v>
      </c>
      <c r="EN41" s="363">
        <f t="shared" si="29"/>
        <v>3</v>
      </c>
      <c r="EO41" s="363">
        <f t="shared" si="30"/>
        <v>5</v>
      </c>
      <c r="EP41" s="363">
        <f t="shared" si="31"/>
        <v>2</v>
      </c>
      <c r="EQ41" s="363">
        <f t="shared" si="32"/>
        <v>6</v>
      </c>
      <c r="ER41" s="363">
        <f t="shared" si="33"/>
        <v>5</v>
      </c>
      <c r="ES41" s="363">
        <f t="shared" si="34"/>
        <v>7</v>
      </c>
      <c r="ET41" s="363">
        <f t="shared" si="35"/>
        <v>0</v>
      </c>
      <c r="EU41" s="363">
        <f t="shared" si="36"/>
        <v>7</v>
      </c>
      <c r="EV41" s="363">
        <f t="shared" si="37"/>
        <v>0</v>
      </c>
      <c r="EW41" s="320" t="s">
        <v>69</v>
      </c>
      <c r="EX41" s="363">
        <f t="shared" si="38"/>
        <v>6</v>
      </c>
      <c r="EY41" s="363">
        <f t="shared" si="39"/>
        <v>0</v>
      </c>
      <c r="EZ41" s="363">
        <f t="shared" si="40"/>
        <v>2</v>
      </c>
      <c r="FA41" s="363">
        <f t="shared" si="41"/>
        <v>7</v>
      </c>
      <c r="FB41" s="363">
        <f t="shared" si="42"/>
        <v>7</v>
      </c>
      <c r="FC41" s="363">
        <f t="shared" si="43"/>
        <v>0</v>
      </c>
      <c r="FD41" s="363">
        <f t="shared" si="44"/>
        <v>0</v>
      </c>
      <c r="FE41" s="363">
        <f t="shared" si="45"/>
        <v>0</v>
      </c>
      <c r="FF41" s="363">
        <f t="shared" si="46"/>
        <v>7</v>
      </c>
      <c r="FG41" s="363">
        <f t="shared" si="47"/>
        <v>0</v>
      </c>
      <c r="FH41" s="363">
        <f t="shared" si="48"/>
        <v>7</v>
      </c>
      <c r="FI41" s="363">
        <f t="shared" si="49"/>
        <v>0</v>
      </c>
      <c r="FJ41" s="363">
        <f t="shared" si="50"/>
        <v>7</v>
      </c>
      <c r="FK41" s="363">
        <f t="shared" si="51"/>
        <v>7</v>
      </c>
      <c r="FL41" s="363">
        <f t="shared" si="52"/>
        <v>1</v>
      </c>
      <c r="FM41" s="363">
        <f t="shared" si="53"/>
        <v>0</v>
      </c>
      <c r="FN41" s="363">
        <f t="shared" si="54"/>
        <v>0</v>
      </c>
      <c r="FO41" s="363">
        <f t="shared" si="55"/>
        <v>0</v>
      </c>
      <c r="FP41" s="363">
        <f t="shared" si="60"/>
        <v>6</v>
      </c>
      <c r="FQ41" s="363">
        <f t="shared" si="61"/>
        <v>9</v>
      </c>
      <c r="FR41" s="309">
        <f t="shared" si="62"/>
        <v>15</v>
      </c>
      <c r="GM41" s="357"/>
      <c r="GO41" s="58" t="s">
        <v>56</v>
      </c>
      <c r="GP41" s="305" t="s">
        <v>25</v>
      </c>
      <c r="GQ41" s="244" t="s">
        <v>1</v>
      </c>
      <c r="GR41" s="244" t="s">
        <v>2</v>
      </c>
      <c r="GS41" s="244" t="s">
        <v>3</v>
      </c>
      <c r="GT41" s="244" t="s">
        <v>4</v>
      </c>
      <c r="GU41" s="244" t="s">
        <v>5</v>
      </c>
      <c r="GV41" s="244" t="s">
        <v>6</v>
      </c>
      <c r="GW41" s="244" t="s">
        <v>2</v>
      </c>
      <c r="GX41" s="244" t="s">
        <v>2</v>
      </c>
      <c r="GY41" s="244" t="s">
        <v>10</v>
      </c>
      <c r="GZ41" s="223" t="s">
        <v>2</v>
      </c>
      <c r="HA41" s="366" t="s">
        <v>24</v>
      </c>
      <c r="HB41" s="380" t="s">
        <v>323</v>
      </c>
      <c r="HC41" s="244" t="s">
        <v>3</v>
      </c>
      <c r="HD41" s="366" t="s">
        <v>324</v>
      </c>
      <c r="HE41" s="366" t="s">
        <v>19</v>
      </c>
      <c r="HF41" s="318" t="s">
        <v>43</v>
      </c>
      <c r="HG41" s="244" t="s">
        <v>9</v>
      </c>
      <c r="HH41" s="244" t="s">
        <v>11</v>
      </c>
      <c r="HI41" s="244" t="s">
        <v>20</v>
      </c>
      <c r="HJ41" s="244" t="s">
        <v>7</v>
      </c>
      <c r="HK41" s="244" t="s">
        <v>5</v>
      </c>
      <c r="HL41" s="244" t="s">
        <v>43</v>
      </c>
      <c r="HM41" s="244" t="s">
        <v>43</v>
      </c>
      <c r="HN41" s="244" t="s">
        <v>15</v>
      </c>
      <c r="HO41" s="244" t="s">
        <v>20</v>
      </c>
      <c r="HP41" s="244" t="s">
        <v>6</v>
      </c>
      <c r="HQ41" s="366" t="s">
        <v>21</v>
      </c>
      <c r="HR41" s="366" t="s">
        <v>318</v>
      </c>
      <c r="HS41" s="318" t="s">
        <v>43</v>
      </c>
      <c r="HT41" s="318" t="s">
        <v>43</v>
      </c>
      <c r="HU41" s="244" t="s">
        <v>7</v>
      </c>
      <c r="HV41" s="318" t="s">
        <v>43</v>
      </c>
      <c r="HW41" s="244" t="s">
        <v>14</v>
      </c>
      <c r="HX41" s="244" t="s">
        <v>5</v>
      </c>
      <c r="HY41" s="244" t="s">
        <v>11</v>
      </c>
      <c r="HZ41" s="318" t="s">
        <v>43</v>
      </c>
      <c r="IA41" s="244" t="s">
        <v>5</v>
      </c>
      <c r="IB41" s="244" t="s">
        <v>12</v>
      </c>
      <c r="IC41" s="320" t="s">
        <v>69</v>
      </c>
      <c r="ID41" s="173" t="s">
        <v>2</v>
      </c>
      <c r="IE41" s="173" t="s">
        <v>43</v>
      </c>
      <c r="IF41" s="173" t="s">
        <v>20</v>
      </c>
      <c r="IG41" s="173" t="s">
        <v>43</v>
      </c>
      <c r="IH41" s="244" t="s">
        <v>20</v>
      </c>
      <c r="II41" s="173" t="s">
        <v>46</v>
      </c>
      <c r="IJ41" s="367" t="s">
        <v>320</v>
      </c>
      <c r="IK41" s="368" t="s">
        <v>48</v>
      </c>
      <c r="IL41" s="173" t="s">
        <v>8</v>
      </c>
      <c r="IM41" s="173" t="s">
        <v>5</v>
      </c>
      <c r="IN41" s="173" t="s">
        <v>8</v>
      </c>
      <c r="IO41" s="173" t="s">
        <v>6</v>
      </c>
      <c r="IP41" s="173" t="s">
        <v>45</v>
      </c>
      <c r="IQ41" s="173" t="s">
        <v>43</v>
      </c>
      <c r="IR41" s="173" t="s">
        <v>22</v>
      </c>
      <c r="IS41" s="173" t="s">
        <v>11</v>
      </c>
      <c r="IT41" s="173" t="s">
        <v>20</v>
      </c>
      <c r="IU41" s="318" t="s">
        <v>43</v>
      </c>
      <c r="JN41" s="357"/>
      <c r="JO41" s="369">
        <v>95</v>
      </c>
      <c r="JP41" s="305" t="s">
        <v>135</v>
      </c>
      <c r="JQ41" s="338" t="s">
        <v>176</v>
      </c>
      <c r="JR41" s="67" t="s">
        <v>177</v>
      </c>
      <c r="JS41" s="254" t="s">
        <v>6</v>
      </c>
      <c r="JT41" s="254" t="s">
        <v>8</v>
      </c>
      <c r="JU41" s="205" t="s">
        <v>3</v>
      </c>
      <c r="JV41" s="155" t="s">
        <v>20</v>
      </c>
      <c r="JW41" s="112" t="s">
        <v>188</v>
      </c>
      <c r="JX41" s="254" t="s">
        <v>8</v>
      </c>
      <c r="JY41" s="221" t="s">
        <v>7</v>
      </c>
      <c r="JZ41" s="159" t="s">
        <v>8</v>
      </c>
      <c r="KA41" s="126" t="s">
        <v>184</v>
      </c>
      <c r="KB41" s="129" t="s">
        <v>43</v>
      </c>
      <c r="KC41" s="172" t="s">
        <v>10</v>
      </c>
      <c r="KD41" s="163" t="s">
        <v>20</v>
      </c>
      <c r="KE41" s="182" t="s">
        <v>12</v>
      </c>
      <c r="KF41" s="230" t="s">
        <v>185</v>
      </c>
      <c r="KG41" s="125" t="s">
        <v>4</v>
      </c>
      <c r="KH41" s="226" t="s">
        <v>191</v>
      </c>
      <c r="KI41" s="254" t="s">
        <v>3</v>
      </c>
      <c r="KJ41" s="246" t="s">
        <v>43</v>
      </c>
      <c r="KK41" s="254" t="s">
        <v>5</v>
      </c>
      <c r="KL41" s="159" t="s">
        <v>15</v>
      </c>
      <c r="KM41" s="159" t="s">
        <v>14</v>
      </c>
      <c r="KN41" s="159" t="s">
        <v>6</v>
      </c>
      <c r="KO41" s="246" t="s">
        <v>43</v>
      </c>
      <c r="KP41" s="322">
        <f t="shared" si="63"/>
        <v>31.137084221590186</v>
      </c>
      <c r="KR41" s="329" t="s">
        <v>135</v>
      </c>
      <c r="KS41" s="159" t="s">
        <v>10</v>
      </c>
      <c r="KT41" s="170" t="s">
        <v>9</v>
      </c>
      <c r="KU41" s="221" t="s">
        <v>20</v>
      </c>
      <c r="KV41" s="166" t="s">
        <v>4</v>
      </c>
      <c r="KW41" s="204" t="s">
        <v>193</v>
      </c>
      <c r="KX41" s="240" t="s">
        <v>6</v>
      </c>
      <c r="KY41" s="240" t="s">
        <v>15</v>
      </c>
      <c r="KZ41" s="240" t="s">
        <v>6</v>
      </c>
      <c r="LA41" s="158" t="s">
        <v>15</v>
      </c>
      <c r="LB41" s="166" t="s">
        <v>9</v>
      </c>
      <c r="LC41" s="159" t="s">
        <v>185</v>
      </c>
      <c r="LD41" s="159" t="s">
        <v>6</v>
      </c>
      <c r="LE41" s="159" t="s">
        <v>8</v>
      </c>
      <c r="LF41" s="166" t="s">
        <v>15</v>
      </c>
      <c r="LG41" s="113" t="s">
        <v>228</v>
      </c>
      <c r="LH41" s="358">
        <v>28</v>
      </c>
      <c r="LW41" s="369">
        <v>95</v>
      </c>
      <c r="LX41" s="317" t="s">
        <v>135</v>
      </c>
      <c r="LY41" s="381" t="s">
        <v>176</v>
      </c>
      <c r="LZ41" s="306">
        <f t="shared" si="64"/>
        <v>10</v>
      </c>
      <c r="MA41" s="306">
        <f t="shared" si="65"/>
        <v>10</v>
      </c>
      <c r="MB41" s="306">
        <f t="shared" si="66"/>
        <v>16</v>
      </c>
      <c r="MC41" s="306">
        <f t="shared" si="67"/>
        <v>28</v>
      </c>
      <c r="MD41" s="306">
        <f t="shared" si="68"/>
        <v>17</v>
      </c>
      <c r="ME41" s="306">
        <f t="shared" si="69"/>
        <v>21</v>
      </c>
      <c r="MF41" s="306">
        <f t="shared" si="70"/>
        <v>19</v>
      </c>
      <c r="MG41" s="306">
        <f t="shared" si="71"/>
        <v>23</v>
      </c>
      <c r="MH41" s="306">
        <f t="shared" si="72"/>
        <v>12</v>
      </c>
      <c r="MI41" s="306">
        <f t="shared" si="73"/>
        <v>12</v>
      </c>
      <c r="MJ41" s="306">
        <f t="shared" si="74"/>
        <v>9</v>
      </c>
      <c r="MK41" s="306">
        <f t="shared" si="75"/>
        <v>21</v>
      </c>
      <c r="ML41" s="306">
        <f t="shared" si="76"/>
        <v>17</v>
      </c>
      <c r="MM41" s="306">
        <f t="shared" si="77"/>
        <v>18</v>
      </c>
      <c r="MN41" s="306">
        <f t="shared" si="78"/>
        <v>18</v>
      </c>
      <c r="MO41" s="306">
        <f t="shared" si="79"/>
        <v>11</v>
      </c>
      <c r="MP41" s="306">
        <f t="shared" si="80"/>
        <v>4</v>
      </c>
      <c r="MQ41" s="306">
        <f t="shared" si="81"/>
        <v>9</v>
      </c>
      <c r="MR41" s="306">
        <f t="shared" si="82"/>
        <v>8</v>
      </c>
      <c r="MS41" s="306">
        <f t="shared" si="83"/>
        <v>4</v>
      </c>
      <c r="MT41" s="306">
        <f t="shared" si="84"/>
        <v>26</v>
      </c>
      <c r="MU41" s="306">
        <f t="shared" si="85"/>
        <v>28</v>
      </c>
      <c r="MV41" s="306">
        <f t="shared" si="86"/>
        <v>5</v>
      </c>
      <c r="MY41" s="306">
        <f t="shared" si="87"/>
        <v>25</v>
      </c>
      <c r="MZ41" s="306">
        <f t="shared" si="88"/>
        <v>29</v>
      </c>
      <c r="NA41" s="306">
        <f t="shared" si="89"/>
        <v>28</v>
      </c>
      <c r="NB41" s="306">
        <f t="shared" si="90"/>
        <v>17</v>
      </c>
      <c r="NC41" s="306">
        <f t="shared" si="91"/>
        <v>16</v>
      </c>
      <c r="ND41" s="306">
        <f t="shared" si="92"/>
        <v>28</v>
      </c>
      <c r="NE41" s="306">
        <f t="shared" si="93"/>
        <v>29</v>
      </c>
      <c r="NF41" s="306">
        <f t="shared" si="94"/>
        <v>29</v>
      </c>
      <c r="NG41" s="306">
        <f t="shared" si="95"/>
        <v>13</v>
      </c>
      <c r="NH41" s="306">
        <f t="shared" si="96"/>
        <v>26</v>
      </c>
      <c r="NI41" s="306">
        <f t="shared" si="97"/>
        <v>14</v>
      </c>
      <c r="NJ41" s="306">
        <f t="shared" si="98"/>
        <v>13</v>
      </c>
      <c r="NK41" s="306">
        <f t="shared" si="99"/>
        <v>11</v>
      </c>
      <c r="NL41" s="306">
        <f t="shared" si="100"/>
        <v>26</v>
      </c>
      <c r="NM41" s="306">
        <f t="shared" si="100"/>
        <v>15</v>
      </c>
      <c r="NN41" s="306">
        <f t="shared" si="101"/>
        <v>0</v>
      </c>
      <c r="NO41" s="306">
        <f t="shared" si="102"/>
        <v>0</v>
      </c>
      <c r="NU41" s="381" t="s">
        <v>176</v>
      </c>
      <c r="NV41" s="357"/>
      <c r="NX41" s="230" t="s">
        <v>6</v>
      </c>
      <c r="NY41" s="230" t="s">
        <v>8</v>
      </c>
      <c r="NZ41" s="230" t="s">
        <v>3</v>
      </c>
      <c r="OA41" s="246" t="s">
        <v>20</v>
      </c>
      <c r="OB41" s="372" t="s">
        <v>188</v>
      </c>
      <c r="OC41" s="230" t="s">
        <v>8</v>
      </c>
      <c r="OD41" s="230" t="s">
        <v>7</v>
      </c>
      <c r="OE41" s="230" t="s">
        <v>8</v>
      </c>
      <c r="OF41" s="371" t="s">
        <v>184</v>
      </c>
      <c r="OG41" s="129" t="s">
        <v>43</v>
      </c>
      <c r="OH41" s="246" t="s">
        <v>10</v>
      </c>
      <c r="OI41" s="246" t="s">
        <v>20</v>
      </c>
      <c r="OJ41" s="159" t="s">
        <v>12</v>
      </c>
      <c r="OK41" s="159" t="s">
        <v>185</v>
      </c>
      <c r="OL41" s="246" t="s">
        <v>4</v>
      </c>
      <c r="OM41" s="372" t="s">
        <v>191</v>
      </c>
      <c r="ON41" s="246" t="s">
        <v>3</v>
      </c>
      <c r="OO41" s="246" t="s">
        <v>43</v>
      </c>
      <c r="OP41" s="246" t="s">
        <v>5</v>
      </c>
      <c r="OQ41" s="246" t="s">
        <v>15</v>
      </c>
      <c r="OR41" s="159" t="s">
        <v>14</v>
      </c>
      <c r="OS41" s="159" t="s">
        <v>6</v>
      </c>
      <c r="OT41" s="246" t="s">
        <v>43</v>
      </c>
      <c r="OV41" s="370" t="s">
        <v>135</v>
      </c>
      <c r="OW41" s="246" t="s">
        <v>10</v>
      </c>
      <c r="OX41" s="246" t="s">
        <v>9</v>
      </c>
      <c r="OY41" s="159" t="s">
        <v>20</v>
      </c>
      <c r="OZ41" s="159" t="s">
        <v>4</v>
      </c>
      <c r="PA41" s="225" t="s">
        <v>193</v>
      </c>
      <c r="PB41" s="246" t="s">
        <v>6</v>
      </c>
      <c r="PC41" s="246" t="s">
        <v>15</v>
      </c>
      <c r="PD41" s="246" t="s">
        <v>6</v>
      </c>
      <c r="PE41" s="246" t="s">
        <v>15</v>
      </c>
      <c r="PF41" s="246" t="s">
        <v>9</v>
      </c>
      <c r="PG41" s="246" t="s">
        <v>185</v>
      </c>
      <c r="PH41" s="246" t="s">
        <v>6</v>
      </c>
      <c r="PI41" s="246" t="s">
        <v>8</v>
      </c>
      <c r="PJ41" s="246" t="s">
        <v>15</v>
      </c>
      <c r="PK41" s="373" t="s">
        <v>228</v>
      </c>
      <c r="PM41"/>
      <c r="PN41"/>
      <c r="PO41"/>
      <c r="PP41"/>
      <c r="PQ41"/>
      <c r="PR41"/>
      <c r="PS41"/>
      <c r="PT41"/>
      <c r="QN41" s="357"/>
      <c r="QO41" s="66" t="s">
        <v>122</v>
      </c>
      <c r="QP41" s="204" t="s">
        <v>195</v>
      </c>
      <c r="QQ41" s="230" t="s">
        <v>196</v>
      </c>
      <c r="QR41" s="166" t="s">
        <v>14</v>
      </c>
      <c r="QS41" s="318" t="s">
        <v>43</v>
      </c>
      <c r="QT41" s="205" t="s">
        <v>9</v>
      </c>
      <c r="QU41" s="182" t="s">
        <v>185</v>
      </c>
      <c r="QV41" s="318" t="s">
        <v>43</v>
      </c>
      <c r="QW41" s="131" t="s">
        <v>22</v>
      </c>
      <c r="QX41" s="216" t="s">
        <v>198</v>
      </c>
      <c r="QY41" s="246" t="s">
        <v>8</v>
      </c>
      <c r="QZ41" s="166" t="s">
        <v>11</v>
      </c>
      <c r="RA41" s="221" t="s">
        <v>2</v>
      </c>
      <c r="RB41" s="246" t="s">
        <v>43</v>
      </c>
      <c r="RC41" s="182" t="s">
        <v>8</v>
      </c>
      <c r="RD41" s="199" t="s">
        <v>2</v>
      </c>
      <c r="RE41" s="254" t="s">
        <v>1</v>
      </c>
      <c r="RF41" s="159" t="s">
        <v>7</v>
      </c>
      <c r="RG41" s="159" t="s">
        <v>8</v>
      </c>
      <c r="RH41" s="246" t="s">
        <v>43</v>
      </c>
      <c r="RI41" s="246" t="s">
        <v>43</v>
      </c>
      <c r="RJ41" s="125" t="s">
        <v>11</v>
      </c>
      <c r="RK41" s="182" t="s">
        <v>2</v>
      </c>
      <c r="RL41" s="141" t="s">
        <v>8</v>
      </c>
      <c r="RM41" s="140" t="s">
        <v>203</v>
      </c>
      <c r="RN41" s="339" t="s">
        <v>212</v>
      </c>
      <c r="RO41" s="124" t="s">
        <v>201</v>
      </c>
      <c r="RP41" s="246" t="s">
        <v>43</v>
      </c>
      <c r="RQ41" s="230" t="s">
        <v>5</v>
      </c>
      <c r="RR41" s="246" t="s">
        <v>43</v>
      </c>
      <c r="RS41" s="159" t="s">
        <v>10</v>
      </c>
      <c r="RT41" s="235" t="s">
        <v>21</v>
      </c>
      <c r="RU41" s="246" t="s">
        <v>43</v>
      </c>
      <c r="RV41" s="182" t="s">
        <v>7</v>
      </c>
      <c r="RW41" s="240" t="s">
        <v>3</v>
      </c>
      <c r="RX41" s="318" t="s">
        <v>43</v>
      </c>
      <c r="RY41" s="254" t="s">
        <v>14</v>
      </c>
      <c r="RZ41" s="159" t="s">
        <v>185</v>
      </c>
      <c r="SA41" s="225" t="s">
        <v>258</v>
      </c>
      <c r="SB41" s="221" t="s">
        <v>1</v>
      </c>
      <c r="SC41" s="176" t="s">
        <v>1</v>
      </c>
      <c r="SD41" s="182" t="s">
        <v>10</v>
      </c>
      <c r="SE41" s="159" t="s">
        <v>14</v>
      </c>
      <c r="SF41" s="176" t="s">
        <v>7</v>
      </c>
      <c r="SG41" s="246" t="s">
        <v>43</v>
      </c>
      <c r="SH41" s="254" t="s">
        <v>15</v>
      </c>
      <c r="SI41" s="131" t="s">
        <v>5</v>
      </c>
      <c r="SJ41" s="221" t="s">
        <v>261</v>
      </c>
      <c r="SK41" s="322">
        <f t="shared" si="103"/>
        <v>62.770509901651224</v>
      </c>
      <c r="SM41" s="362">
        <v>28</v>
      </c>
      <c r="SO41"/>
      <c r="SP41"/>
      <c r="TP41" s="357"/>
      <c r="TQ41" s="66" t="s">
        <v>122</v>
      </c>
      <c r="TR41" s="306">
        <f t="shared" si="104"/>
        <v>31</v>
      </c>
      <c r="TS41" s="306">
        <f t="shared" si="105"/>
        <v>9</v>
      </c>
      <c r="TT41" s="306">
        <f t="shared" si="106"/>
        <v>20</v>
      </c>
      <c r="TU41" s="306">
        <f t="shared" si="107"/>
        <v>18</v>
      </c>
      <c r="TV41" s="306">
        <f t="shared" si="108"/>
        <v>5</v>
      </c>
      <c r="TW41" s="306">
        <f t="shared" si="109"/>
        <v>24</v>
      </c>
      <c r="TX41" s="306">
        <f t="shared" si="110"/>
        <v>11</v>
      </c>
      <c r="TY41" s="306">
        <f t="shared" si="111"/>
        <v>33</v>
      </c>
      <c r="TZ41" s="306">
        <f t="shared" si="112"/>
        <v>33</v>
      </c>
      <c r="UA41" s="306">
        <f t="shared" si="113"/>
        <v>24</v>
      </c>
      <c r="UB41" s="306">
        <f t="shared" si="114"/>
        <v>19</v>
      </c>
      <c r="UC41" s="306">
        <f t="shared" si="115"/>
        <v>23</v>
      </c>
      <c r="UD41" s="306">
        <f t="shared" si="116"/>
        <v>27</v>
      </c>
      <c r="UE41" s="306">
        <f t="shared" si="117"/>
        <v>26</v>
      </c>
      <c r="UF41" s="306">
        <f t="shared" si="118"/>
        <v>24</v>
      </c>
      <c r="UG41" s="306">
        <f t="shared" si="119"/>
        <v>8</v>
      </c>
      <c r="UH41" s="306">
        <f t="shared" si="120"/>
        <v>28</v>
      </c>
      <c r="UI41" s="306">
        <f t="shared" si="121"/>
        <v>32</v>
      </c>
      <c r="UJ41" s="306">
        <f t="shared" si="122"/>
        <v>26</v>
      </c>
      <c r="UK41" s="306">
        <f t="shared" si="123"/>
        <v>31</v>
      </c>
      <c r="UL41" s="306">
        <f t="shared" si="124"/>
        <v>26</v>
      </c>
      <c r="UM41" s="306">
        <f t="shared" si="125"/>
        <v>28</v>
      </c>
      <c r="UN41" s="306">
        <f t="shared" si="126"/>
        <v>8</v>
      </c>
      <c r="UO41" s="306">
        <f t="shared" si="127"/>
        <v>13</v>
      </c>
      <c r="UP41" s="306">
        <f t="shared" si="128"/>
        <v>12</v>
      </c>
      <c r="UQ41" s="306">
        <f t="shared" si="129"/>
        <v>30</v>
      </c>
      <c r="UR41" s="306">
        <f t="shared" si="130"/>
        <v>13</v>
      </c>
      <c r="US41" s="306">
        <f t="shared" si="131"/>
        <v>22</v>
      </c>
      <c r="UT41" s="306">
        <f t="shared" si="132"/>
        <v>30</v>
      </c>
      <c r="UU41" s="306">
        <f t="shared" si="133"/>
        <v>22</v>
      </c>
      <c r="UV41" s="306">
        <f t="shared" si="134"/>
        <v>31</v>
      </c>
      <c r="UW41" s="306">
        <f t="shared" si="135"/>
        <v>33</v>
      </c>
      <c r="UX41" s="306">
        <f t="shared" si="136"/>
        <v>32</v>
      </c>
      <c r="UY41" s="306">
        <f t="shared" si="137"/>
        <v>19</v>
      </c>
      <c r="UZ41" s="306">
        <f t="shared" si="138"/>
        <v>11</v>
      </c>
      <c r="VA41" s="306">
        <f t="shared" si="139"/>
        <v>8</v>
      </c>
      <c r="VB41" s="306">
        <f t="shared" si="140"/>
        <v>25</v>
      </c>
      <c r="VC41" s="306">
        <f t="shared" si="141"/>
        <v>5</v>
      </c>
      <c r="VD41" s="306">
        <f t="shared" si="142"/>
        <v>23</v>
      </c>
      <c r="VE41" s="306">
        <f t="shared" si="143"/>
        <v>26</v>
      </c>
      <c r="VF41" s="306">
        <f t="shared" si="144"/>
        <v>17</v>
      </c>
      <c r="VG41" s="306">
        <f t="shared" si="145"/>
        <v>23</v>
      </c>
      <c r="VH41" s="306">
        <f t="shared" si="146"/>
        <v>29</v>
      </c>
      <c r="VI41" s="306">
        <f t="shared" si="147"/>
        <v>28</v>
      </c>
      <c r="VJ41" s="306">
        <f t="shared" si="148"/>
        <v>30</v>
      </c>
      <c r="VK41" s="306">
        <f t="shared" si="149"/>
        <v>32</v>
      </c>
      <c r="VL41" s="306">
        <f t="shared" si="150"/>
        <v>25</v>
      </c>
      <c r="VN41" s="306">
        <f t="shared" si="151"/>
        <v>0</v>
      </c>
      <c r="WR41" s="357"/>
      <c r="WS41" s="66" t="s">
        <v>122</v>
      </c>
      <c r="WT41" s="225" t="s">
        <v>195</v>
      </c>
      <c r="WU41" s="246" t="s">
        <v>196</v>
      </c>
      <c r="WV41" s="246" t="s">
        <v>14</v>
      </c>
      <c r="WW41" s="318" t="s">
        <v>43</v>
      </c>
      <c r="WX41" s="246" t="s">
        <v>9</v>
      </c>
      <c r="WY41" s="246" t="s">
        <v>185</v>
      </c>
      <c r="WZ41" s="318" t="s">
        <v>43</v>
      </c>
      <c r="XA41" s="246" t="s">
        <v>22</v>
      </c>
      <c r="XB41" s="225" t="s">
        <v>198</v>
      </c>
      <c r="XC41" s="240" t="s">
        <v>8</v>
      </c>
      <c r="XD41" s="240" t="s">
        <v>11</v>
      </c>
      <c r="XE41" s="240" t="s">
        <v>2</v>
      </c>
      <c r="XF41" s="246" t="s">
        <v>43</v>
      </c>
      <c r="XG41" s="163" t="s">
        <v>8</v>
      </c>
      <c r="XH41" s="163" t="s">
        <v>2</v>
      </c>
      <c r="XI41" s="159" t="s">
        <v>1</v>
      </c>
      <c r="XJ41" s="159" t="s">
        <v>7</v>
      </c>
      <c r="XK41" s="246" t="s">
        <v>8</v>
      </c>
      <c r="XL41" s="246" t="s">
        <v>43</v>
      </c>
      <c r="XM41" s="246" t="s">
        <v>43</v>
      </c>
      <c r="XN41" s="159" t="s">
        <v>11</v>
      </c>
      <c r="XO41" s="159" t="s">
        <v>2</v>
      </c>
      <c r="XP41" s="246" t="s">
        <v>8</v>
      </c>
      <c r="XQ41" s="242" t="s">
        <v>203</v>
      </c>
      <c r="XR41" s="339" t="s">
        <v>212</v>
      </c>
      <c r="XS41" s="225" t="s">
        <v>201</v>
      </c>
      <c r="XT41" s="246" t="s">
        <v>43</v>
      </c>
      <c r="XU41" s="246" t="s">
        <v>5</v>
      </c>
      <c r="XV41" s="246" t="s">
        <v>43</v>
      </c>
      <c r="XW41" s="159" t="s">
        <v>10</v>
      </c>
      <c r="XX41" s="225" t="s">
        <v>21</v>
      </c>
      <c r="XY41" s="246" t="s">
        <v>43</v>
      </c>
      <c r="XZ41" s="240" t="s">
        <v>7</v>
      </c>
      <c r="YA41" s="240" t="s">
        <v>3</v>
      </c>
      <c r="YB41" s="318" t="s">
        <v>43</v>
      </c>
      <c r="YC41" s="246" t="s">
        <v>14</v>
      </c>
      <c r="YD41" s="246" t="s">
        <v>185</v>
      </c>
      <c r="YE41" s="225" t="s">
        <v>258</v>
      </c>
      <c r="YF41" s="246" t="s">
        <v>1</v>
      </c>
      <c r="YG41" s="246" t="s">
        <v>1</v>
      </c>
      <c r="YH41" s="246" t="s">
        <v>10</v>
      </c>
      <c r="YI41" s="246" t="s">
        <v>14</v>
      </c>
      <c r="YJ41" s="159" t="s">
        <v>7</v>
      </c>
      <c r="YK41" s="159" t="s">
        <v>43</v>
      </c>
      <c r="YL41" s="159" t="s">
        <v>15</v>
      </c>
      <c r="YM41" s="246" t="s">
        <v>5</v>
      </c>
      <c r="YN41" s="246" t="s">
        <v>261</v>
      </c>
      <c r="AFZ41" s="307"/>
    </row>
    <row r="42" spans="1:858" s="306" customFormat="1" ht="21.75" thickBot="1" x14ac:dyDescent="0.4">
      <c r="A42" s="70">
        <v>33</v>
      </c>
      <c r="B42" s="305"/>
      <c r="C42" s="305" t="s">
        <v>127</v>
      </c>
      <c r="D42" s="45" t="s">
        <v>126</v>
      </c>
      <c r="E42" s="305"/>
      <c r="F42" s="128">
        <v>871.76628595930413</v>
      </c>
      <c r="X42" s="355"/>
      <c r="BO42" s="309"/>
      <c r="CH42" s="309"/>
      <c r="DG42" s="357"/>
      <c r="GM42" s="357"/>
      <c r="JN42" s="357"/>
      <c r="JO42" s="369">
        <v>96</v>
      </c>
      <c r="JP42" s="305" t="s">
        <v>146</v>
      </c>
      <c r="JQ42" s="330" t="s">
        <v>158</v>
      </c>
      <c r="JR42" s="67" t="s">
        <v>159</v>
      </c>
      <c r="JS42" s="254" t="s">
        <v>6</v>
      </c>
      <c r="JT42" s="254" t="s">
        <v>8</v>
      </c>
      <c r="JU42" s="205" t="s">
        <v>3</v>
      </c>
      <c r="JV42" s="155" t="s">
        <v>20</v>
      </c>
      <c r="JW42" s="149" t="s">
        <v>43</v>
      </c>
      <c r="JX42" s="254" t="s">
        <v>8</v>
      </c>
      <c r="JY42" s="155" t="s">
        <v>10</v>
      </c>
      <c r="JZ42" s="197" t="s">
        <v>8</v>
      </c>
      <c r="KA42" s="111" t="s">
        <v>189</v>
      </c>
      <c r="KB42" s="116" t="s">
        <v>190</v>
      </c>
      <c r="KC42" s="259" t="s">
        <v>43</v>
      </c>
      <c r="KD42" s="163" t="s">
        <v>20</v>
      </c>
      <c r="KE42" s="159" t="s">
        <v>6</v>
      </c>
      <c r="KF42" s="230" t="s">
        <v>185</v>
      </c>
      <c r="KG42" s="160" t="s">
        <v>4</v>
      </c>
      <c r="KH42" s="226" t="s">
        <v>191</v>
      </c>
      <c r="KI42" s="251" t="s">
        <v>7</v>
      </c>
      <c r="KJ42" s="246" t="s">
        <v>43</v>
      </c>
      <c r="KK42" s="254" t="s">
        <v>5</v>
      </c>
      <c r="KL42" s="159" t="s">
        <v>12</v>
      </c>
      <c r="KM42" s="159" t="s">
        <v>14</v>
      </c>
      <c r="KN42" s="159" t="s">
        <v>6</v>
      </c>
      <c r="KO42" s="246" t="s">
        <v>43</v>
      </c>
      <c r="KP42" s="322">
        <f t="shared" si="63"/>
        <v>24.578956142773421</v>
      </c>
      <c r="KR42" s="329" t="s">
        <v>146</v>
      </c>
      <c r="KS42" s="159" t="s">
        <v>10</v>
      </c>
      <c r="KT42" s="170" t="s">
        <v>9</v>
      </c>
      <c r="KU42" s="221" t="s">
        <v>20</v>
      </c>
      <c r="KV42" s="166" t="s">
        <v>4</v>
      </c>
      <c r="KW42" s="204" t="s">
        <v>193</v>
      </c>
      <c r="KX42" s="240" t="s">
        <v>6</v>
      </c>
      <c r="KY42" s="240" t="s">
        <v>15</v>
      </c>
      <c r="KZ42" s="240" t="s">
        <v>6</v>
      </c>
      <c r="LA42" s="155" t="s">
        <v>10</v>
      </c>
      <c r="LB42" s="246" t="s">
        <v>43</v>
      </c>
      <c r="LC42" s="246" t="s">
        <v>43</v>
      </c>
      <c r="LD42" s="246" t="s">
        <v>43</v>
      </c>
      <c r="LE42" s="246" t="s">
        <v>43</v>
      </c>
      <c r="LF42" s="246" t="s">
        <v>43</v>
      </c>
      <c r="LG42" s="113" t="s">
        <v>228</v>
      </c>
      <c r="LH42" s="358">
        <v>29</v>
      </c>
      <c r="LW42" s="369">
        <v>96</v>
      </c>
      <c r="LX42" s="317" t="s">
        <v>146</v>
      </c>
      <c r="LY42" s="378" t="s">
        <v>158</v>
      </c>
      <c r="LZ42" s="306">
        <f t="shared" si="64"/>
        <v>10</v>
      </c>
      <c r="MA42" s="306">
        <f t="shared" si="65"/>
        <v>10</v>
      </c>
      <c r="MB42" s="306">
        <f t="shared" si="66"/>
        <v>16</v>
      </c>
      <c r="MC42" s="306">
        <f t="shared" si="67"/>
        <v>28</v>
      </c>
      <c r="MD42" s="306">
        <f t="shared" si="68"/>
        <v>13</v>
      </c>
      <c r="ME42" s="306">
        <f t="shared" si="69"/>
        <v>21</v>
      </c>
      <c r="MF42" s="306">
        <f t="shared" si="70"/>
        <v>11</v>
      </c>
      <c r="MG42" s="306">
        <f t="shared" si="71"/>
        <v>23</v>
      </c>
      <c r="MH42" s="306">
        <f t="shared" si="72"/>
        <v>18</v>
      </c>
      <c r="MI42" s="306">
        <f t="shared" si="73"/>
        <v>9</v>
      </c>
      <c r="MJ42" s="306">
        <f t="shared" si="74"/>
        <v>18</v>
      </c>
      <c r="MK42" s="306">
        <f t="shared" si="75"/>
        <v>21</v>
      </c>
      <c r="ML42" s="306">
        <f t="shared" si="76"/>
        <v>12</v>
      </c>
      <c r="MM42" s="306">
        <f t="shared" si="77"/>
        <v>18</v>
      </c>
      <c r="MN42" s="306">
        <f t="shared" si="78"/>
        <v>18</v>
      </c>
      <c r="MO42" s="306">
        <f t="shared" si="79"/>
        <v>11</v>
      </c>
      <c r="MP42" s="306">
        <f t="shared" si="80"/>
        <v>7</v>
      </c>
      <c r="MQ42" s="306">
        <f t="shared" si="81"/>
        <v>9</v>
      </c>
      <c r="MR42" s="306">
        <f t="shared" si="82"/>
        <v>8</v>
      </c>
      <c r="MS42" s="306">
        <f t="shared" si="83"/>
        <v>25</v>
      </c>
      <c r="MT42" s="306">
        <f t="shared" si="84"/>
        <v>26</v>
      </c>
      <c r="MU42" s="306">
        <f t="shared" si="85"/>
        <v>28</v>
      </c>
      <c r="MV42" s="306">
        <f t="shared" si="86"/>
        <v>5</v>
      </c>
      <c r="MY42" s="306">
        <f t="shared" si="87"/>
        <v>25</v>
      </c>
      <c r="MZ42" s="306">
        <f t="shared" si="88"/>
        <v>29</v>
      </c>
      <c r="NA42" s="306">
        <f t="shared" si="89"/>
        <v>28</v>
      </c>
      <c r="NB42" s="306">
        <f t="shared" si="90"/>
        <v>17</v>
      </c>
      <c r="NC42" s="306">
        <f t="shared" si="91"/>
        <v>16</v>
      </c>
      <c r="ND42" s="306">
        <f t="shared" si="92"/>
        <v>28</v>
      </c>
      <c r="NE42" s="306">
        <f t="shared" si="93"/>
        <v>29</v>
      </c>
      <c r="NF42" s="306">
        <f t="shared" si="94"/>
        <v>29</v>
      </c>
      <c r="NG42" s="306">
        <f t="shared" si="95"/>
        <v>17</v>
      </c>
      <c r="NH42" s="306">
        <f t="shared" si="96"/>
        <v>3</v>
      </c>
      <c r="NI42" s="306">
        <f t="shared" si="97"/>
        <v>3</v>
      </c>
      <c r="NJ42" s="306">
        <f t="shared" si="98"/>
        <v>3</v>
      </c>
      <c r="NK42" s="306">
        <f t="shared" si="99"/>
        <v>3</v>
      </c>
      <c r="NL42" s="306">
        <f t="shared" si="100"/>
        <v>3</v>
      </c>
      <c r="NM42" s="306">
        <f t="shared" si="100"/>
        <v>15</v>
      </c>
      <c r="NN42" s="306">
        <f t="shared" si="101"/>
        <v>0</v>
      </c>
      <c r="NO42" s="306">
        <f t="shared" si="102"/>
        <v>0</v>
      </c>
      <c r="NU42" s="378" t="s">
        <v>158</v>
      </c>
      <c r="NV42" s="357"/>
      <c r="NX42" s="230" t="s">
        <v>6</v>
      </c>
      <c r="NY42" s="230" t="s">
        <v>8</v>
      </c>
      <c r="NZ42" s="230" t="s">
        <v>3</v>
      </c>
      <c r="OA42" s="246" t="s">
        <v>20</v>
      </c>
      <c r="OB42" s="149" t="s">
        <v>43</v>
      </c>
      <c r="OC42" s="163" t="s">
        <v>8</v>
      </c>
      <c r="OD42" s="163" t="s">
        <v>10</v>
      </c>
      <c r="OE42" s="389" t="s">
        <v>8</v>
      </c>
      <c r="OF42" s="371" t="s">
        <v>189</v>
      </c>
      <c r="OG42" s="372" t="s">
        <v>190</v>
      </c>
      <c r="OH42" s="259" t="s">
        <v>43</v>
      </c>
      <c r="OI42" s="246" t="s">
        <v>20</v>
      </c>
      <c r="OJ42" s="163" t="s">
        <v>6</v>
      </c>
      <c r="OK42" s="163" t="s">
        <v>185</v>
      </c>
      <c r="OL42" s="390" t="s">
        <v>4</v>
      </c>
      <c r="OM42" s="372" t="s">
        <v>191</v>
      </c>
      <c r="ON42" s="259" t="s">
        <v>7</v>
      </c>
      <c r="OO42" s="246" t="s">
        <v>43</v>
      </c>
      <c r="OP42" s="246" t="s">
        <v>5</v>
      </c>
      <c r="OQ42" s="246" t="s">
        <v>12</v>
      </c>
      <c r="OR42" s="159" t="s">
        <v>14</v>
      </c>
      <c r="OS42" s="159" t="s">
        <v>6</v>
      </c>
      <c r="OT42" s="246" t="s">
        <v>43</v>
      </c>
      <c r="OV42" s="370" t="s">
        <v>146</v>
      </c>
      <c r="OW42" s="246" t="s">
        <v>10</v>
      </c>
      <c r="OX42" s="246" t="s">
        <v>9</v>
      </c>
      <c r="OY42" s="159" t="s">
        <v>20</v>
      </c>
      <c r="OZ42" s="159" t="s">
        <v>4</v>
      </c>
      <c r="PA42" s="225" t="s">
        <v>193</v>
      </c>
      <c r="PB42" s="246" t="s">
        <v>6</v>
      </c>
      <c r="PC42" s="246" t="s">
        <v>15</v>
      </c>
      <c r="PD42" s="246" t="s">
        <v>6</v>
      </c>
      <c r="PE42" s="246" t="s">
        <v>10</v>
      </c>
      <c r="PF42" s="246" t="s">
        <v>43</v>
      </c>
      <c r="PG42" s="246" t="s">
        <v>43</v>
      </c>
      <c r="PH42" s="246" t="s">
        <v>43</v>
      </c>
      <c r="PI42" s="246" t="s">
        <v>43</v>
      </c>
      <c r="PJ42" s="246" t="s">
        <v>43</v>
      </c>
      <c r="PK42" s="373" t="s">
        <v>228</v>
      </c>
      <c r="PM42"/>
      <c r="PN42"/>
      <c r="PO42"/>
      <c r="PP42"/>
      <c r="PQ42"/>
      <c r="PR42"/>
      <c r="PS42"/>
      <c r="PT42"/>
      <c r="QN42" s="357"/>
      <c r="QO42" s="66" t="s">
        <v>124</v>
      </c>
      <c r="QP42" s="204" t="s">
        <v>195</v>
      </c>
      <c r="QQ42" s="230" t="s">
        <v>196</v>
      </c>
      <c r="QR42" s="166" t="s">
        <v>14</v>
      </c>
      <c r="QS42" s="318" t="s">
        <v>43</v>
      </c>
      <c r="QT42" s="205" t="s">
        <v>9</v>
      </c>
      <c r="QU42" s="182" t="s">
        <v>185</v>
      </c>
      <c r="QV42" s="318" t="s">
        <v>43</v>
      </c>
      <c r="QW42" s="131" t="s">
        <v>22</v>
      </c>
      <c r="QX42" s="216" t="s">
        <v>198</v>
      </c>
      <c r="QY42" s="246" t="s">
        <v>8</v>
      </c>
      <c r="QZ42" s="166" t="s">
        <v>11</v>
      </c>
      <c r="RA42" s="221" t="s">
        <v>2</v>
      </c>
      <c r="RB42" s="246" t="s">
        <v>43</v>
      </c>
      <c r="RC42" s="182" t="s">
        <v>8</v>
      </c>
      <c r="RD42" s="199" t="s">
        <v>2</v>
      </c>
      <c r="RE42" s="254" t="s">
        <v>1</v>
      </c>
      <c r="RF42" s="159" t="s">
        <v>7</v>
      </c>
      <c r="RG42" s="159" t="s">
        <v>8</v>
      </c>
      <c r="RH42" s="246" t="s">
        <v>43</v>
      </c>
      <c r="RI42" s="246" t="s">
        <v>43</v>
      </c>
      <c r="RJ42" s="125" t="s">
        <v>11</v>
      </c>
      <c r="RK42" s="182" t="s">
        <v>2</v>
      </c>
      <c r="RL42" s="131" t="s">
        <v>6</v>
      </c>
      <c r="RM42" s="140" t="s">
        <v>203</v>
      </c>
      <c r="RN42" s="339" t="s">
        <v>212</v>
      </c>
      <c r="RO42" s="124" t="s">
        <v>201</v>
      </c>
      <c r="RP42" s="246" t="s">
        <v>43</v>
      </c>
      <c r="RQ42" s="230" t="s">
        <v>5</v>
      </c>
      <c r="RR42" s="246" t="s">
        <v>43</v>
      </c>
      <c r="RS42" s="159" t="s">
        <v>10</v>
      </c>
      <c r="RT42" s="235" t="s">
        <v>21</v>
      </c>
      <c r="RU42" s="246" t="s">
        <v>43</v>
      </c>
      <c r="RV42" s="182" t="s">
        <v>7</v>
      </c>
      <c r="RW42" s="240" t="s">
        <v>3</v>
      </c>
      <c r="RX42" s="318" t="s">
        <v>43</v>
      </c>
      <c r="RY42" s="254" t="s">
        <v>14</v>
      </c>
      <c r="RZ42" s="159" t="s">
        <v>185</v>
      </c>
      <c r="SA42" s="225" t="s">
        <v>258</v>
      </c>
      <c r="SB42" s="221" t="s">
        <v>1</v>
      </c>
      <c r="SC42" s="176" t="s">
        <v>1</v>
      </c>
      <c r="SD42" s="182" t="s">
        <v>10</v>
      </c>
      <c r="SE42" s="159" t="s">
        <v>14</v>
      </c>
      <c r="SF42" s="176" t="s">
        <v>7</v>
      </c>
      <c r="SG42" s="246" t="s">
        <v>43</v>
      </c>
      <c r="SH42" s="254" t="s">
        <v>15</v>
      </c>
      <c r="SI42" s="131" t="s">
        <v>5</v>
      </c>
      <c r="SJ42" s="221" t="s">
        <v>261</v>
      </c>
      <c r="SK42" s="322">
        <f t="shared" si="103"/>
        <v>90.079262401036203</v>
      </c>
      <c r="SM42" s="362">
        <v>29</v>
      </c>
      <c r="SO42"/>
      <c r="SP42"/>
      <c r="TP42" s="357"/>
      <c r="TQ42" s="66" t="s">
        <v>124</v>
      </c>
      <c r="TR42" s="306">
        <f t="shared" si="104"/>
        <v>31</v>
      </c>
      <c r="TS42" s="306">
        <f t="shared" si="105"/>
        <v>9</v>
      </c>
      <c r="TT42" s="306">
        <f t="shared" si="106"/>
        <v>20</v>
      </c>
      <c r="TU42" s="306">
        <f t="shared" si="107"/>
        <v>18</v>
      </c>
      <c r="TV42" s="306">
        <f t="shared" si="108"/>
        <v>5</v>
      </c>
      <c r="TW42" s="306">
        <f t="shared" si="109"/>
        <v>24</v>
      </c>
      <c r="TX42" s="306">
        <f t="shared" si="110"/>
        <v>11</v>
      </c>
      <c r="TY42" s="306">
        <f t="shared" si="111"/>
        <v>33</v>
      </c>
      <c r="TZ42" s="306">
        <f t="shared" si="112"/>
        <v>33</v>
      </c>
      <c r="UA42" s="306">
        <f t="shared" si="113"/>
        <v>24</v>
      </c>
      <c r="UB42" s="306">
        <f t="shared" si="114"/>
        <v>19</v>
      </c>
      <c r="UC42" s="306">
        <f t="shared" si="115"/>
        <v>23</v>
      </c>
      <c r="UD42" s="306">
        <f t="shared" si="116"/>
        <v>27</v>
      </c>
      <c r="UE42" s="306">
        <f t="shared" si="117"/>
        <v>26</v>
      </c>
      <c r="UF42" s="306">
        <f t="shared" si="118"/>
        <v>24</v>
      </c>
      <c r="UG42" s="306">
        <f t="shared" si="119"/>
        <v>8</v>
      </c>
      <c r="UH42" s="306">
        <f t="shared" si="120"/>
        <v>28</v>
      </c>
      <c r="UI42" s="306">
        <f t="shared" si="121"/>
        <v>32</v>
      </c>
      <c r="UJ42" s="306">
        <f t="shared" si="122"/>
        <v>26</v>
      </c>
      <c r="UK42" s="306">
        <f t="shared" si="123"/>
        <v>31</v>
      </c>
      <c r="UL42" s="306">
        <f t="shared" si="124"/>
        <v>26</v>
      </c>
      <c r="UM42" s="306">
        <f t="shared" si="125"/>
        <v>28</v>
      </c>
      <c r="UN42" s="306">
        <f t="shared" si="126"/>
        <v>18</v>
      </c>
      <c r="UO42" s="306">
        <f t="shared" si="127"/>
        <v>13</v>
      </c>
      <c r="UP42" s="306">
        <f t="shared" si="128"/>
        <v>12</v>
      </c>
      <c r="UQ42" s="306">
        <f t="shared" si="129"/>
        <v>30</v>
      </c>
      <c r="UR42" s="306">
        <f t="shared" si="130"/>
        <v>13</v>
      </c>
      <c r="US42" s="306">
        <f t="shared" si="131"/>
        <v>22</v>
      </c>
      <c r="UT42" s="306">
        <f t="shared" si="132"/>
        <v>30</v>
      </c>
      <c r="UU42" s="306">
        <f t="shared" si="133"/>
        <v>22</v>
      </c>
      <c r="UV42" s="306">
        <f t="shared" si="134"/>
        <v>31</v>
      </c>
      <c r="UW42" s="306">
        <f t="shared" si="135"/>
        <v>33</v>
      </c>
      <c r="UX42" s="306">
        <f t="shared" si="136"/>
        <v>32</v>
      </c>
      <c r="UY42" s="306">
        <f t="shared" si="137"/>
        <v>19</v>
      </c>
      <c r="UZ42" s="306">
        <f t="shared" si="138"/>
        <v>11</v>
      </c>
      <c r="VA42" s="306">
        <f t="shared" si="139"/>
        <v>8</v>
      </c>
      <c r="VB42" s="306">
        <f t="shared" si="140"/>
        <v>25</v>
      </c>
      <c r="VC42" s="306">
        <f t="shared" si="141"/>
        <v>5</v>
      </c>
      <c r="VD42" s="306">
        <f t="shared" si="142"/>
        <v>23</v>
      </c>
      <c r="VE42" s="306">
        <f t="shared" si="143"/>
        <v>26</v>
      </c>
      <c r="VF42" s="306">
        <f t="shared" si="144"/>
        <v>17</v>
      </c>
      <c r="VG42" s="306">
        <f t="shared" si="145"/>
        <v>23</v>
      </c>
      <c r="VH42" s="306">
        <f t="shared" si="146"/>
        <v>29</v>
      </c>
      <c r="VI42" s="306">
        <f t="shared" si="147"/>
        <v>28</v>
      </c>
      <c r="VJ42" s="306">
        <f t="shared" si="148"/>
        <v>30</v>
      </c>
      <c r="VK42" s="306">
        <f t="shared" si="149"/>
        <v>32</v>
      </c>
      <c r="VL42" s="306">
        <f t="shared" si="150"/>
        <v>25</v>
      </c>
      <c r="VN42" s="306">
        <f t="shared" si="151"/>
        <v>0</v>
      </c>
      <c r="WR42" s="357"/>
      <c r="WS42" s="66" t="s">
        <v>124</v>
      </c>
      <c r="WT42" s="209" t="s">
        <v>195</v>
      </c>
      <c r="WU42" s="246" t="s">
        <v>196</v>
      </c>
      <c r="WV42" s="246" t="s">
        <v>14</v>
      </c>
      <c r="WW42" s="318" t="s">
        <v>43</v>
      </c>
      <c r="WX42" s="246" t="s">
        <v>9</v>
      </c>
      <c r="WY42" s="246" t="s">
        <v>185</v>
      </c>
      <c r="WZ42" s="318" t="s">
        <v>43</v>
      </c>
      <c r="XA42" s="246" t="s">
        <v>22</v>
      </c>
      <c r="XB42" s="209" t="s">
        <v>198</v>
      </c>
      <c r="XC42" s="240" t="s">
        <v>8</v>
      </c>
      <c r="XD42" s="240" t="s">
        <v>11</v>
      </c>
      <c r="XE42" s="240" t="s">
        <v>2</v>
      </c>
      <c r="XF42" s="246" t="s">
        <v>43</v>
      </c>
      <c r="XG42" s="163" t="s">
        <v>8</v>
      </c>
      <c r="XH42" s="163" t="s">
        <v>2</v>
      </c>
      <c r="XI42" s="159" t="s">
        <v>1</v>
      </c>
      <c r="XJ42" s="159" t="s">
        <v>7</v>
      </c>
      <c r="XK42" s="246" t="s">
        <v>8</v>
      </c>
      <c r="XL42" s="246" t="s">
        <v>43</v>
      </c>
      <c r="XM42" s="246" t="s">
        <v>43</v>
      </c>
      <c r="XN42" s="159" t="s">
        <v>11</v>
      </c>
      <c r="XO42" s="159" t="s">
        <v>2</v>
      </c>
      <c r="XP42" s="246" t="s">
        <v>6</v>
      </c>
      <c r="XQ42" s="236" t="s">
        <v>203</v>
      </c>
      <c r="XR42" s="344" t="s">
        <v>212</v>
      </c>
      <c r="XS42" s="209" t="s">
        <v>201</v>
      </c>
      <c r="XT42" s="246" t="s">
        <v>43</v>
      </c>
      <c r="XU42" s="246" t="s">
        <v>5</v>
      </c>
      <c r="XV42" s="246" t="s">
        <v>43</v>
      </c>
      <c r="XW42" s="159" t="s">
        <v>10</v>
      </c>
      <c r="XX42" s="209" t="s">
        <v>21</v>
      </c>
      <c r="XY42" s="246" t="s">
        <v>43</v>
      </c>
      <c r="XZ42" s="240" t="s">
        <v>7</v>
      </c>
      <c r="YA42" s="240" t="s">
        <v>3</v>
      </c>
      <c r="YB42" s="318" t="s">
        <v>43</v>
      </c>
      <c r="YC42" s="246" t="s">
        <v>14</v>
      </c>
      <c r="YD42" s="246" t="s">
        <v>185</v>
      </c>
      <c r="YE42" s="209" t="s">
        <v>258</v>
      </c>
      <c r="YF42" s="246" t="s">
        <v>1</v>
      </c>
      <c r="YG42" s="246" t="s">
        <v>1</v>
      </c>
      <c r="YH42" s="246" t="s">
        <v>10</v>
      </c>
      <c r="YI42" s="246" t="s">
        <v>14</v>
      </c>
      <c r="YJ42" s="159" t="s">
        <v>7</v>
      </c>
      <c r="YK42" s="159" t="s">
        <v>43</v>
      </c>
      <c r="YL42" s="159" t="s">
        <v>15</v>
      </c>
      <c r="YM42" s="246" t="s">
        <v>5</v>
      </c>
      <c r="YN42" s="246" t="s">
        <v>261</v>
      </c>
      <c r="AFZ42" s="307"/>
    </row>
    <row r="43" spans="1:858" s="306" customFormat="1" ht="19.5" thickTop="1" thickBot="1" x14ac:dyDescent="0.3">
      <c r="A43" s="70">
        <v>34</v>
      </c>
      <c r="B43" s="305"/>
      <c r="C43" s="45" t="s">
        <v>128</v>
      </c>
      <c r="D43" s="45" t="s">
        <v>126</v>
      </c>
      <c r="E43" s="305"/>
      <c r="F43" s="128">
        <v>7335.2385946599898</v>
      </c>
      <c r="X43" s="355"/>
      <c r="AB43" s="345" t="s">
        <v>272</v>
      </c>
      <c r="BO43" s="309"/>
      <c r="BQ43" s="345" t="s">
        <v>272</v>
      </c>
      <c r="CH43" s="309"/>
      <c r="DG43" s="357"/>
      <c r="GM43" s="357"/>
      <c r="JN43" s="357"/>
      <c r="JO43" s="369">
        <v>97</v>
      </c>
      <c r="JP43" s="305" t="s">
        <v>178</v>
      </c>
      <c r="JQ43" s="330" t="s">
        <v>158</v>
      </c>
      <c r="JR43" s="67" t="s">
        <v>159</v>
      </c>
      <c r="JS43" s="254" t="s">
        <v>6</v>
      </c>
      <c r="JT43" s="254" t="s">
        <v>8</v>
      </c>
      <c r="JU43" s="205" t="s">
        <v>3</v>
      </c>
      <c r="JV43" s="155" t="s">
        <v>20</v>
      </c>
      <c r="JW43" s="149" t="s">
        <v>43</v>
      </c>
      <c r="JX43" s="254" t="s">
        <v>8</v>
      </c>
      <c r="JY43" s="155" t="s">
        <v>10</v>
      </c>
      <c r="JZ43" s="197" t="s">
        <v>8</v>
      </c>
      <c r="KA43" s="111" t="s">
        <v>189</v>
      </c>
      <c r="KB43" s="116" t="s">
        <v>190</v>
      </c>
      <c r="KC43" s="259" t="s">
        <v>43</v>
      </c>
      <c r="KD43" s="163" t="s">
        <v>20</v>
      </c>
      <c r="KE43" s="159" t="s">
        <v>6</v>
      </c>
      <c r="KF43" s="230" t="s">
        <v>185</v>
      </c>
      <c r="KG43" s="160" t="s">
        <v>4</v>
      </c>
      <c r="KH43" s="226" t="s">
        <v>191</v>
      </c>
      <c r="KI43" s="251" t="s">
        <v>7</v>
      </c>
      <c r="KJ43" s="246" t="s">
        <v>43</v>
      </c>
      <c r="KK43" s="254" t="s">
        <v>5</v>
      </c>
      <c r="KL43" s="159" t="s">
        <v>12</v>
      </c>
      <c r="KM43" s="159" t="s">
        <v>14</v>
      </c>
      <c r="KN43" s="159" t="s">
        <v>6</v>
      </c>
      <c r="KO43" s="246" t="s">
        <v>43</v>
      </c>
      <c r="KP43" s="322">
        <f t="shared" si="63"/>
        <v>55.696663310551202</v>
      </c>
      <c r="KR43" s="329" t="s">
        <v>178</v>
      </c>
      <c r="KS43" s="159" t="s">
        <v>10</v>
      </c>
      <c r="KT43" s="246" t="s">
        <v>15</v>
      </c>
      <c r="KU43" s="254" t="s">
        <v>11</v>
      </c>
      <c r="KV43" s="166" t="s">
        <v>4</v>
      </c>
      <c r="KW43" s="124" t="s">
        <v>194</v>
      </c>
      <c r="KX43" s="246" t="s">
        <v>6</v>
      </c>
      <c r="KY43" s="246" t="s">
        <v>12</v>
      </c>
      <c r="KZ43" s="246" t="s">
        <v>10</v>
      </c>
      <c r="LA43" s="155" t="s">
        <v>10</v>
      </c>
      <c r="LB43" s="246" t="s">
        <v>10</v>
      </c>
      <c r="LC43" s="159" t="s">
        <v>185</v>
      </c>
      <c r="LD43" s="159" t="s">
        <v>9</v>
      </c>
      <c r="LE43" s="155" t="s">
        <v>7</v>
      </c>
      <c r="LF43" s="246" t="s">
        <v>10</v>
      </c>
      <c r="LG43" s="113" t="s">
        <v>228</v>
      </c>
      <c r="LH43" s="358">
        <v>30</v>
      </c>
      <c r="LW43" s="369">
        <v>97</v>
      </c>
      <c r="LX43" s="317" t="s">
        <v>178</v>
      </c>
      <c r="LY43" s="378" t="s">
        <v>158</v>
      </c>
      <c r="LZ43" s="306">
        <f t="shared" si="64"/>
        <v>10</v>
      </c>
      <c r="MA43" s="306">
        <f t="shared" si="65"/>
        <v>10</v>
      </c>
      <c r="MB43" s="306">
        <f t="shared" si="66"/>
        <v>16</v>
      </c>
      <c r="MC43" s="306">
        <f t="shared" si="67"/>
        <v>28</v>
      </c>
      <c r="MD43" s="306">
        <f t="shared" si="68"/>
        <v>13</v>
      </c>
      <c r="ME43" s="306">
        <f t="shared" si="69"/>
        <v>21</v>
      </c>
      <c r="MF43" s="306">
        <f t="shared" si="70"/>
        <v>11</v>
      </c>
      <c r="MG43" s="306">
        <f t="shared" si="71"/>
        <v>23</v>
      </c>
      <c r="MH43" s="306">
        <f t="shared" si="72"/>
        <v>18</v>
      </c>
      <c r="MI43" s="306">
        <f t="shared" si="73"/>
        <v>9</v>
      </c>
      <c r="MJ43" s="306">
        <f t="shared" si="74"/>
        <v>18</v>
      </c>
      <c r="MK43" s="306">
        <f t="shared" si="75"/>
        <v>21</v>
      </c>
      <c r="ML43" s="306">
        <f t="shared" si="76"/>
        <v>12</v>
      </c>
      <c r="MM43" s="306">
        <f t="shared" si="77"/>
        <v>18</v>
      </c>
      <c r="MN43" s="306">
        <f t="shared" si="78"/>
        <v>18</v>
      </c>
      <c r="MO43" s="306">
        <f t="shared" si="79"/>
        <v>11</v>
      </c>
      <c r="MP43" s="306">
        <f t="shared" si="80"/>
        <v>7</v>
      </c>
      <c r="MQ43" s="306">
        <f t="shared" si="81"/>
        <v>9</v>
      </c>
      <c r="MR43" s="306">
        <f t="shared" si="82"/>
        <v>8</v>
      </c>
      <c r="MS43" s="306">
        <f t="shared" si="83"/>
        <v>25</v>
      </c>
      <c r="MT43" s="306">
        <f t="shared" si="84"/>
        <v>26</v>
      </c>
      <c r="MU43" s="306">
        <f t="shared" si="85"/>
        <v>28</v>
      </c>
      <c r="MV43" s="306">
        <f t="shared" si="86"/>
        <v>5</v>
      </c>
      <c r="MY43" s="306">
        <f t="shared" si="87"/>
        <v>25</v>
      </c>
      <c r="MZ43" s="306">
        <f t="shared" si="88"/>
        <v>1</v>
      </c>
      <c r="NA43" s="306">
        <f t="shared" si="89"/>
        <v>2</v>
      </c>
      <c r="NB43" s="306">
        <f t="shared" si="90"/>
        <v>17</v>
      </c>
      <c r="NC43" s="306">
        <f t="shared" si="91"/>
        <v>14</v>
      </c>
      <c r="ND43" s="306">
        <f t="shared" si="92"/>
        <v>28</v>
      </c>
      <c r="NE43" s="306">
        <f t="shared" si="93"/>
        <v>1</v>
      </c>
      <c r="NF43" s="306">
        <f t="shared" si="94"/>
        <v>1</v>
      </c>
      <c r="NG43" s="306">
        <f t="shared" si="95"/>
        <v>17</v>
      </c>
      <c r="NH43" s="306">
        <f t="shared" si="96"/>
        <v>1</v>
      </c>
      <c r="NI43" s="306">
        <f t="shared" si="97"/>
        <v>14</v>
      </c>
      <c r="NJ43" s="306">
        <f t="shared" si="98"/>
        <v>14</v>
      </c>
      <c r="NK43" s="306">
        <f t="shared" si="99"/>
        <v>16</v>
      </c>
      <c r="NL43" s="306">
        <f t="shared" si="100"/>
        <v>1</v>
      </c>
      <c r="NM43" s="306">
        <f t="shared" si="100"/>
        <v>15</v>
      </c>
      <c r="NN43" s="306">
        <f t="shared" si="101"/>
        <v>0</v>
      </c>
      <c r="NO43" s="306">
        <f t="shared" si="102"/>
        <v>0</v>
      </c>
      <c r="NU43" s="378" t="s">
        <v>158</v>
      </c>
      <c r="NV43" s="357"/>
      <c r="NX43" s="230" t="s">
        <v>6</v>
      </c>
      <c r="NY43" s="230" t="s">
        <v>8</v>
      </c>
      <c r="NZ43" s="230" t="s">
        <v>3</v>
      </c>
      <c r="OA43" s="246" t="s">
        <v>20</v>
      </c>
      <c r="OB43" s="149" t="s">
        <v>43</v>
      </c>
      <c r="OC43" s="163" t="s">
        <v>8</v>
      </c>
      <c r="OD43" s="163" t="s">
        <v>10</v>
      </c>
      <c r="OE43" s="389" t="s">
        <v>8</v>
      </c>
      <c r="OF43" s="371" t="s">
        <v>189</v>
      </c>
      <c r="OG43" s="372" t="s">
        <v>190</v>
      </c>
      <c r="OH43" s="259" t="s">
        <v>43</v>
      </c>
      <c r="OI43" s="246" t="s">
        <v>20</v>
      </c>
      <c r="OJ43" s="163" t="s">
        <v>6</v>
      </c>
      <c r="OK43" s="163" t="s">
        <v>185</v>
      </c>
      <c r="OL43" s="390" t="s">
        <v>4</v>
      </c>
      <c r="OM43" s="372" t="s">
        <v>191</v>
      </c>
      <c r="ON43" s="259" t="s">
        <v>7</v>
      </c>
      <c r="OO43" s="246" t="s">
        <v>43</v>
      </c>
      <c r="OP43" s="246" t="s">
        <v>5</v>
      </c>
      <c r="OQ43" s="246" t="s">
        <v>12</v>
      </c>
      <c r="OR43" s="159" t="s">
        <v>14</v>
      </c>
      <c r="OS43" s="159" t="s">
        <v>6</v>
      </c>
      <c r="OT43" s="246" t="s">
        <v>43</v>
      </c>
      <c r="OV43" s="317" t="s">
        <v>178</v>
      </c>
      <c r="OW43" s="246" t="s">
        <v>10</v>
      </c>
      <c r="OX43" s="246" t="s">
        <v>15</v>
      </c>
      <c r="OY43" s="163" t="s">
        <v>11</v>
      </c>
      <c r="OZ43" s="163" t="s">
        <v>4</v>
      </c>
      <c r="PA43" s="225" t="s">
        <v>194</v>
      </c>
      <c r="PB43" s="246" t="s">
        <v>6</v>
      </c>
      <c r="PC43" s="254" t="s">
        <v>12</v>
      </c>
      <c r="PD43" s="254" t="s">
        <v>10</v>
      </c>
      <c r="PE43" s="246" t="s">
        <v>10</v>
      </c>
      <c r="PF43" s="246" t="s">
        <v>10</v>
      </c>
      <c r="PG43" s="246" t="s">
        <v>185</v>
      </c>
      <c r="PH43" s="246" t="s">
        <v>9</v>
      </c>
      <c r="PI43" s="246" t="s">
        <v>7</v>
      </c>
      <c r="PJ43" s="246" t="s">
        <v>10</v>
      </c>
      <c r="PK43" s="373" t="s">
        <v>228</v>
      </c>
      <c r="PM43"/>
      <c r="PN43"/>
      <c r="PO43"/>
      <c r="PP43"/>
      <c r="PQ43"/>
      <c r="PR43"/>
      <c r="PS43"/>
      <c r="PT43"/>
      <c r="QN43" s="357"/>
      <c r="QO43" s="66" t="s">
        <v>125</v>
      </c>
      <c r="QP43" s="204" t="s">
        <v>195</v>
      </c>
      <c r="QQ43" s="166" t="s">
        <v>20</v>
      </c>
      <c r="QR43" s="240" t="s">
        <v>6</v>
      </c>
      <c r="QS43" s="318" t="s">
        <v>43</v>
      </c>
      <c r="QT43" s="246" t="s">
        <v>5</v>
      </c>
      <c r="QU43" s="182" t="s">
        <v>185</v>
      </c>
      <c r="QV43" s="159" t="s">
        <v>1</v>
      </c>
      <c r="QW43" s="131" t="s">
        <v>22</v>
      </c>
      <c r="QX43" s="216" t="s">
        <v>198</v>
      </c>
      <c r="QY43" s="246" t="s">
        <v>2</v>
      </c>
      <c r="QZ43" s="166" t="s">
        <v>11</v>
      </c>
      <c r="RA43" s="221" t="s">
        <v>2</v>
      </c>
      <c r="RB43" s="246" t="s">
        <v>43</v>
      </c>
      <c r="RC43" s="182" t="s">
        <v>8</v>
      </c>
      <c r="RD43" s="166" t="s">
        <v>22</v>
      </c>
      <c r="RE43" s="230" t="s">
        <v>8</v>
      </c>
      <c r="RF43" s="159" t="s">
        <v>6</v>
      </c>
      <c r="RG43" s="246" t="s">
        <v>8</v>
      </c>
      <c r="RH43" s="246" t="s">
        <v>43</v>
      </c>
      <c r="RI43" s="246" t="s">
        <v>43</v>
      </c>
      <c r="RJ43" s="233" t="s">
        <v>7</v>
      </c>
      <c r="RK43" s="233" t="s">
        <v>1</v>
      </c>
      <c r="RL43" s="131" t="s">
        <v>6</v>
      </c>
      <c r="RM43" s="246" t="s">
        <v>43</v>
      </c>
      <c r="RN43" s="312" t="s">
        <v>43</v>
      </c>
      <c r="RO43" s="225" t="s">
        <v>207</v>
      </c>
      <c r="RP43" s="182" t="s">
        <v>14</v>
      </c>
      <c r="RQ43" s="166" t="s">
        <v>185</v>
      </c>
      <c r="RR43" s="254" t="s">
        <v>3</v>
      </c>
      <c r="RS43" s="246" t="s">
        <v>43</v>
      </c>
      <c r="RT43" s="124" t="s">
        <v>208</v>
      </c>
      <c r="RU43" s="246" t="s">
        <v>43</v>
      </c>
      <c r="RV43" s="182" t="s">
        <v>7</v>
      </c>
      <c r="RW43" s="240" t="s">
        <v>3</v>
      </c>
      <c r="RX43" s="124" t="s">
        <v>217</v>
      </c>
      <c r="RY43" s="158" t="s">
        <v>22</v>
      </c>
      <c r="RZ43" s="246" t="s">
        <v>43</v>
      </c>
      <c r="SA43" s="190" t="s">
        <v>211</v>
      </c>
      <c r="SB43" s="246" t="s">
        <v>43</v>
      </c>
      <c r="SC43" s="176" t="s">
        <v>1</v>
      </c>
      <c r="SD43" s="182" t="s">
        <v>10</v>
      </c>
      <c r="SE43" s="159" t="s">
        <v>14</v>
      </c>
      <c r="SF43" s="176" t="s">
        <v>7</v>
      </c>
      <c r="SG43" s="246" t="s">
        <v>43</v>
      </c>
      <c r="SH43" s="254" t="s">
        <v>15</v>
      </c>
      <c r="SI43" s="131" t="s">
        <v>5</v>
      </c>
      <c r="SJ43" s="221" t="s">
        <v>261</v>
      </c>
      <c r="SK43" s="322">
        <f t="shared" si="103"/>
        <v>5004.0777052572294</v>
      </c>
      <c r="SM43" s="362">
        <v>30</v>
      </c>
      <c r="SO43"/>
      <c r="SP43"/>
      <c r="TP43" s="357"/>
      <c r="TQ43" s="66" t="s">
        <v>125</v>
      </c>
      <c r="TR43" s="306">
        <f t="shared" si="104"/>
        <v>31</v>
      </c>
      <c r="TS43" s="306">
        <f t="shared" si="105"/>
        <v>23</v>
      </c>
      <c r="TT43" s="306">
        <f t="shared" si="106"/>
        <v>3</v>
      </c>
      <c r="TU43" s="306">
        <f t="shared" si="107"/>
        <v>18</v>
      </c>
      <c r="TV43" s="306">
        <f t="shared" si="108"/>
        <v>1</v>
      </c>
      <c r="TW43" s="306">
        <f t="shared" si="109"/>
        <v>24</v>
      </c>
      <c r="TX43" s="306">
        <f t="shared" si="110"/>
        <v>12</v>
      </c>
      <c r="TY43" s="306">
        <f t="shared" si="111"/>
        <v>33</v>
      </c>
      <c r="TZ43" s="306">
        <f t="shared" si="112"/>
        <v>33</v>
      </c>
      <c r="UA43" s="306">
        <f t="shared" si="113"/>
        <v>4</v>
      </c>
      <c r="UB43" s="306">
        <f t="shared" si="114"/>
        <v>19</v>
      </c>
      <c r="UC43" s="306">
        <f t="shared" si="115"/>
        <v>23</v>
      </c>
      <c r="UD43" s="306">
        <f t="shared" si="116"/>
        <v>27</v>
      </c>
      <c r="UE43" s="306">
        <f t="shared" si="117"/>
        <v>26</v>
      </c>
      <c r="UF43" s="306">
        <f t="shared" si="118"/>
        <v>12</v>
      </c>
      <c r="UG43" s="306">
        <f t="shared" si="119"/>
        <v>5</v>
      </c>
      <c r="UH43" s="306">
        <f t="shared" si="120"/>
        <v>4</v>
      </c>
      <c r="UI43" s="306">
        <f t="shared" si="121"/>
        <v>32</v>
      </c>
      <c r="UJ43" s="306">
        <f t="shared" si="122"/>
        <v>26</v>
      </c>
      <c r="UK43" s="306">
        <f t="shared" si="123"/>
        <v>31</v>
      </c>
      <c r="UL43" s="306">
        <f t="shared" si="124"/>
        <v>6</v>
      </c>
      <c r="UM43" s="306">
        <f t="shared" si="125"/>
        <v>6</v>
      </c>
      <c r="UN43" s="306">
        <f t="shared" si="126"/>
        <v>18</v>
      </c>
      <c r="UO43" s="306">
        <f t="shared" si="127"/>
        <v>23</v>
      </c>
      <c r="UP43" s="306">
        <f t="shared" si="128"/>
        <v>13</v>
      </c>
      <c r="UQ43" s="306">
        <f t="shared" si="129"/>
        <v>3</v>
      </c>
      <c r="UR43" s="306">
        <f t="shared" si="130"/>
        <v>16</v>
      </c>
      <c r="US43" s="306">
        <f t="shared" si="131"/>
        <v>7</v>
      </c>
      <c r="UT43" s="306">
        <f t="shared" si="132"/>
        <v>6</v>
      </c>
      <c r="UU43" s="306">
        <f t="shared" si="133"/>
        <v>3</v>
      </c>
      <c r="UV43" s="306">
        <f t="shared" si="134"/>
        <v>5</v>
      </c>
      <c r="UW43" s="306">
        <f t="shared" si="135"/>
        <v>33</v>
      </c>
      <c r="UX43" s="306">
        <f t="shared" si="136"/>
        <v>32</v>
      </c>
      <c r="UY43" s="306">
        <f t="shared" si="137"/>
        <v>19</v>
      </c>
      <c r="UZ43" s="306">
        <f t="shared" si="138"/>
        <v>3</v>
      </c>
      <c r="VA43" s="306">
        <f t="shared" si="139"/>
        <v>18</v>
      </c>
      <c r="VB43" s="306">
        <f t="shared" si="140"/>
        <v>3</v>
      </c>
      <c r="VC43" s="306">
        <f t="shared" si="141"/>
        <v>13</v>
      </c>
      <c r="VD43" s="306">
        <f t="shared" si="142"/>
        <v>13</v>
      </c>
      <c r="VE43" s="306">
        <f t="shared" si="143"/>
        <v>26</v>
      </c>
      <c r="VF43" s="306">
        <f t="shared" si="144"/>
        <v>17</v>
      </c>
      <c r="VG43" s="306">
        <f t="shared" si="145"/>
        <v>23</v>
      </c>
      <c r="VH43" s="306">
        <f t="shared" si="146"/>
        <v>29</v>
      </c>
      <c r="VI43" s="306">
        <f t="shared" si="147"/>
        <v>28</v>
      </c>
      <c r="VJ43" s="306">
        <f t="shared" si="148"/>
        <v>30</v>
      </c>
      <c r="VK43" s="306">
        <f t="shared" si="149"/>
        <v>32</v>
      </c>
      <c r="VL43" s="306">
        <f t="shared" si="150"/>
        <v>25</v>
      </c>
      <c r="VN43" s="306">
        <f t="shared" si="151"/>
        <v>0</v>
      </c>
      <c r="WR43" s="357"/>
      <c r="WS43" s="222" t="s">
        <v>125</v>
      </c>
      <c r="WT43" s="252" t="s">
        <v>195</v>
      </c>
      <c r="WU43" s="191" t="s">
        <v>20</v>
      </c>
      <c r="WV43" s="191" t="s">
        <v>6</v>
      </c>
      <c r="WW43" s="346" t="s">
        <v>43</v>
      </c>
      <c r="WX43" s="191" t="s">
        <v>5</v>
      </c>
      <c r="WY43" s="191" t="s">
        <v>185</v>
      </c>
      <c r="WZ43" s="191" t="s">
        <v>1</v>
      </c>
      <c r="XA43" s="191" t="s">
        <v>22</v>
      </c>
      <c r="XB43" s="252" t="s">
        <v>198</v>
      </c>
      <c r="XC43" s="138" t="s">
        <v>2</v>
      </c>
      <c r="XD43" s="138" t="s">
        <v>11</v>
      </c>
      <c r="XE43" s="138" t="s">
        <v>2</v>
      </c>
      <c r="XF43" s="191" t="s">
        <v>43</v>
      </c>
      <c r="XG43" s="206" t="s">
        <v>8</v>
      </c>
      <c r="XH43" s="206" t="s">
        <v>22</v>
      </c>
      <c r="XI43" s="191" t="s">
        <v>8</v>
      </c>
      <c r="XJ43" s="231" t="s">
        <v>6</v>
      </c>
      <c r="XK43" s="231" t="s">
        <v>8</v>
      </c>
      <c r="XL43" s="191" t="s">
        <v>43</v>
      </c>
      <c r="XM43" s="191" t="s">
        <v>43</v>
      </c>
      <c r="XN43" s="167" t="s">
        <v>7</v>
      </c>
      <c r="XO43" s="167" t="s">
        <v>1</v>
      </c>
      <c r="XP43" s="191" t="s">
        <v>6</v>
      </c>
      <c r="XQ43" s="191" t="s">
        <v>43</v>
      </c>
      <c r="XR43" s="347" t="s">
        <v>43</v>
      </c>
      <c r="XS43" s="252" t="s">
        <v>207</v>
      </c>
      <c r="XT43" s="191" t="s">
        <v>14</v>
      </c>
      <c r="XU43" s="191" t="s">
        <v>185</v>
      </c>
      <c r="XV43" s="191" t="s">
        <v>3</v>
      </c>
      <c r="XW43" s="191" t="s">
        <v>43</v>
      </c>
      <c r="XX43" s="252" t="s">
        <v>208</v>
      </c>
      <c r="XY43" s="191" t="s">
        <v>43</v>
      </c>
      <c r="XZ43" s="206" t="s">
        <v>7</v>
      </c>
      <c r="YA43" s="206" t="s">
        <v>3</v>
      </c>
      <c r="YB43" s="252" t="s">
        <v>217</v>
      </c>
      <c r="YC43" s="191" t="s">
        <v>22</v>
      </c>
      <c r="YD43" s="191" t="s">
        <v>43</v>
      </c>
      <c r="YE43" s="252" t="s">
        <v>211</v>
      </c>
      <c r="YF43" s="191" t="s">
        <v>43</v>
      </c>
      <c r="YG43" s="191" t="s">
        <v>1</v>
      </c>
      <c r="YH43" s="191" t="s">
        <v>10</v>
      </c>
      <c r="YI43" s="191" t="s">
        <v>14</v>
      </c>
      <c r="YJ43" s="178" t="s">
        <v>7</v>
      </c>
      <c r="YK43" s="178" t="s">
        <v>43</v>
      </c>
      <c r="YL43" s="178" t="s">
        <v>15</v>
      </c>
      <c r="YM43" s="191" t="s">
        <v>5</v>
      </c>
      <c r="YN43" s="246" t="s">
        <v>261</v>
      </c>
      <c r="YO43" s="391"/>
      <c r="AFZ43" s="307"/>
    </row>
    <row r="44" spans="1:858" s="306" customFormat="1" ht="22.5" thickTop="1" thickBot="1" x14ac:dyDescent="0.4">
      <c r="A44" s="70">
        <v>35</v>
      </c>
      <c r="B44" s="305"/>
      <c r="C44" s="45" t="s">
        <v>129</v>
      </c>
      <c r="D44" s="45" t="s">
        <v>130</v>
      </c>
      <c r="E44" s="305"/>
      <c r="F44" s="128">
        <v>179.18099446985616</v>
      </c>
      <c r="X44" s="355"/>
      <c r="AB44" s="348" t="s">
        <v>29</v>
      </c>
      <c r="AC44" s="309" t="str">
        <f>+IF(ISERROR(INDEX(AC417:AC432,MATCH($AB$44,$AB$417:$AB$432,0))),"",INDEX(AC417:AC432,MATCH($AB$44,$AB$417:$AB$432,0)))</f>
        <v>S</v>
      </c>
      <c r="AD44" s="309" t="str">
        <f t="shared" ref="AD44:BN44" si="152">+IF(ISERROR(INDEX(AD417:AD432,MATCH($AB$44,$AB$417:$AB$432,0))),"",INDEX(AD417:AD432,MATCH($AB$44,$AB$417:$AB$432,0)))</f>
        <v>Y</v>
      </c>
      <c r="AE44" s="309" t="str">
        <f t="shared" si="152"/>
        <v>G</v>
      </c>
      <c r="AF44" s="309" t="str">
        <f t="shared" si="152"/>
        <v>L</v>
      </c>
      <c r="AG44" s="309" t="str">
        <f t="shared" si="152"/>
        <v>R</v>
      </c>
      <c r="AH44" s="309">
        <f t="shared" si="152"/>
        <v>0</v>
      </c>
      <c r="AI44" s="309" t="str">
        <f t="shared" si="152"/>
        <v>H</v>
      </c>
      <c r="AJ44" s="309" t="str">
        <f t="shared" si="152"/>
        <v>Y</v>
      </c>
      <c r="AK44" s="309" t="str">
        <f t="shared" si="152"/>
        <v>V</v>
      </c>
      <c r="AL44" s="309" t="str">
        <f t="shared" si="152"/>
        <v>F</v>
      </c>
      <c r="AM44" s="309" t="str">
        <f t="shared" si="152"/>
        <v>45GV</v>
      </c>
      <c r="AN44" s="309" t="str">
        <f t="shared" si="152"/>
        <v>47VY3</v>
      </c>
      <c r="AO44" s="309" t="str">
        <f t="shared" si="152"/>
        <v>G</v>
      </c>
      <c r="AP44" s="309" t="str">
        <f t="shared" si="152"/>
        <v>52PQ2</v>
      </c>
      <c r="AQ44" s="309" t="str">
        <f t="shared" si="152"/>
        <v>52PR</v>
      </c>
      <c r="AR44" s="309" t="str">
        <f t="shared" si="152"/>
        <v>56PV</v>
      </c>
      <c r="AS44" s="309" t="str">
        <f t="shared" si="152"/>
        <v>P</v>
      </c>
      <c r="AT44" s="309">
        <f t="shared" si="152"/>
        <v>0</v>
      </c>
      <c r="AU44" s="309" t="str">
        <f t="shared" si="152"/>
        <v>E</v>
      </c>
      <c r="AV44" s="309" t="str">
        <f t="shared" si="152"/>
        <v>V</v>
      </c>
      <c r="AW44" s="309" t="str">
        <f t="shared" si="152"/>
        <v>G</v>
      </c>
      <c r="AX44" s="309" t="str">
        <f t="shared" si="152"/>
        <v>71SR3</v>
      </c>
      <c r="AY44" s="309" t="str">
        <f t="shared" si="152"/>
        <v>74SV2</v>
      </c>
      <c r="AZ44" s="309">
        <f t="shared" si="152"/>
        <v>0</v>
      </c>
      <c r="BA44" s="309">
        <f t="shared" si="152"/>
        <v>0</v>
      </c>
      <c r="BB44" s="309" t="str">
        <f t="shared" si="152"/>
        <v>V</v>
      </c>
      <c r="BC44" s="309" t="str">
        <f t="shared" si="152"/>
        <v>77R</v>
      </c>
      <c r="BD44" s="309">
        <f t="shared" si="152"/>
        <v>0</v>
      </c>
      <c r="BE44" s="309" t="str">
        <f t="shared" si="152"/>
        <v>A</v>
      </c>
      <c r="BF44" s="309" t="str">
        <f t="shared" si="152"/>
        <v>Y</v>
      </c>
      <c r="BG44" s="309">
        <f t="shared" si="152"/>
        <v>0</v>
      </c>
      <c r="BH44" s="309">
        <f t="shared" si="152"/>
        <v>0</v>
      </c>
      <c r="BI44" s="309" t="str">
        <f t="shared" si="152"/>
        <v>Q</v>
      </c>
      <c r="BJ44" s="309" t="str">
        <f t="shared" si="152"/>
        <v>R</v>
      </c>
      <c r="BK44" s="309" t="str">
        <f t="shared" si="152"/>
        <v>D</v>
      </c>
      <c r="BL44" s="309" t="str">
        <f t="shared" si="152"/>
        <v>140A2</v>
      </c>
      <c r="BM44" s="309" t="str">
        <f t="shared" si="152"/>
        <v>R</v>
      </c>
      <c r="BN44" s="309" t="str">
        <f t="shared" si="152"/>
        <v>T</v>
      </c>
      <c r="BO44" s="309"/>
      <c r="BQ44" s="348" t="s">
        <v>64</v>
      </c>
      <c r="BR44" s="309" t="str">
        <f>+IF(ISERROR(INDEX(BR14:BR41,MATCH($BQ$44,$BQ$14:$BQ$41,0))),"",INDEX(BR14:BR41,MATCH($BQ$44,$BQ$14:$BQ$41,0)))</f>
        <v>Y</v>
      </c>
      <c r="BS44" s="309" t="str">
        <f t="shared" ref="BS44:CI44" si="153">+IF(ISERROR(INDEX(BS14:BS41,MATCH($BQ$44,$BQ$14:$BQ$41,0))),"",INDEX(BS14:BS41,MATCH($BQ$44,$BQ$14:$BQ$41,0)))</f>
        <v>T</v>
      </c>
      <c r="BT44" s="309" t="str">
        <f t="shared" si="153"/>
        <v>Q</v>
      </c>
      <c r="BU44" s="309" t="str">
        <f t="shared" si="153"/>
        <v>*</v>
      </c>
      <c r="BV44" s="309" t="str">
        <f t="shared" si="153"/>
        <v>E</v>
      </c>
      <c r="BW44" s="309" t="str">
        <f t="shared" si="153"/>
        <v>EpX</v>
      </c>
      <c r="BX44" s="309" t="str">
        <f t="shared" si="153"/>
        <v>*</v>
      </c>
      <c r="BY44" s="309" t="str">
        <f t="shared" si="153"/>
        <v>*</v>
      </c>
      <c r="BZ44" s="309" t="str">
        <f t="shared" si="153"/>
        <v>F</v>
      </c>
      <c r="CA44" s="309" t="str">
        <f t="shared" si="153"/>
        <v>*</v>
      </c>
      <c r="CB44" s="309" t="str">
        <f t="shared" si="153"/>
        <v>F</v>
      </c>
      <c r="CC44" s="309" t="str">
        <f t="shared" si="153"/>
        <v>*</v>
      </c>
      <c r="CD44" s="309" t="str">
        <f t="shared" si="153"/>
        <v>EpZ</v>
      </c>
      <c r="CE44" s="309" t="str">
        <f t="shared" si="153"/>
        <v>*</v>
      </c>
      <c r="CF44" s="309" t="str">
        <f t="shared" si="153"/>
        <v>Q</v>
      </c>
      <c r="CG44" s="309" t="str">
        <f t="shared" si="153"/>
        <v>A</v>
      </c>
      <c r="CH44" s="309" t="str">
        <f t="shared" si="153"/>
        <v>*</v>
      </c>
      <c r="CI44" s="309" t="str">
        <f t="shared" si="153"/>
        <v>A</v>
      </c>
      <c r="DG44" s="357"/>
      <c r="GM44" s="357"/>
      <c r="JN44" s="357"/>
      <c r="JO44" s="369">
        <v>83</v>
      </c>
      <c r="JP44" s="305" t="s">
        <v>135</v>
      </c>
      <c r="JQ44" s="349" t="s">
        <v>158</v>
      </c>
      <c r="JR44" s="67" t="s">
        <v>159</v>
      </c>
      <c r="JS44" s="254" t="s">
        <v>6</v>
      </c>
      <c r="JT44" s="254" t="s">
        <v>8</v>
      </c>
      <c r="JU44" s="205" t="s">
        <v>3</v>
      </c>
      <c r="JV44" s="155" t="s">
        <v>20</v>
      </c>
      <c r="JW44" s="149" t="s">
        <v>43</v>
      </c>
      <c r="JX44" s="254" t="s">
        <v>8</v>
      </c>
      <c r="JY44" s="155" t="s">
        <v>10</v>
      </c>
      <c r="JZ44" s="197" t="s">
        <v>8</v>
      </c>
      <c r="KA44" s="111" t="s">
        <v>189</v>
      </c>
      <c r="KB44" s="116" t="s">
        <v>190</v>
      </c>
      <c r="KC44" s="259" t="s">
        <v>43</v>
      </c>
      <c r="KD44" s="163" t="s">
        <v>20</v>
      </c>
      <c r="KE44" s="159" t="s">
        <v>6</v>
      </c>
      <c r="KF44" s="230" t="s">
        <v>185</v>
      </c>
      <c r="KG44" s="160" t="s">
        <v>4</v>
      </c>
      <c r="KH44" s="226" t="s">
        <v>191</v>
      </c>
      <c r="KI44" s="251" t="s">
        <v>7</v>
      </c>
      <c r="KJ44" s="246" t="s">
        <v>43</v>
      </c>
      <c r="KK44" s="254" t="s">
        <v>5</v>
      </c>
      <c r="KL44" s="159" t="s">
        <v>12</v>
      </c>
      <c r="KM44" s="159" t="s">
        <v>14</v>
      </c>
      <c r="KN44" s="159" t="s">
        <v>6</v>
      </c>
      <c r="KO44" s="246" t="s">
        <v>43</v>
      </c>
      <c r="KP44" s="322">
        <f t="shared" si="63"/>
        <v>-8.408040914320793</v>
      </c>
      <c r="KR44" s="350" t="s">
        <v>135</v>
      </c>
      <c r="KS44" s="159" t="s">
        <v>10</v>
      </c>
      <c r="KT44" s="170" t="s">
        <v>9</v>
      </c>
      <c r="KU44" s="221" t="s">
        <v>20</v>
      </c>
      <c r="KV44" s="166" t="s">
        <v>4</v>
      </c>
      <c r="KW44" s="204" t="s">
        <v>193</v>
      </c>
      <c r="KX44" s="240" t="s">
        <v>6</v>
      </c>
      <c r="KY44" s="240" t="s">
        <v>15</v>
      </c>
      <c r="KZ44" s="240" t="s">
        <v>6</v>
      </c>
      <c r="LA44" s="158" t="s">
        <v>15</v>
      </c>
      <c r="LB44" s="166" t="s">
        <v>9</v>
      </c>
      <c r="LC44" s="159" t="s">
        <v>185</v>
      </c>
      <c r="LD44" s="159" t="s">
        <v>6</v>
      </c>
      <c r="LE44" s="159" t="s">
        <v>8</v>
      </c>
      <c r="LF44" s="166" t="s">
        <v>15</v>
      </c>
      <c r="LG44" s="113" t="s">
        <v>228</v>
      </c>
      <c r="LH44" s="358">
        <v>31</v>
      </c>
      <c r="LW44" s="369">
        <v>83</v>
      </c>
      <c r="LX44" s="317" t="s">
        <v>135</v>
      </c>
      <c r="LY44" s="378" t="s">
        <v>158</v>
      </c>
      <c r="LZ44" s="306">
        <f t="shared" si="64"/>
        <v>10</v>
      </c>
      <c r="MA44" s="306">
        <f t="shared" si="65"/>
        <v>10</v>
      </c>
      <c r="MB44" s="306">
        <f t="shared" si="66"/>
        <v>16</v>
      </c>
      <c r="MC44" s="306">
        <f t="shared" si="67"/>
        <v>28</v>
      </c>
      <c r="MD44" s="306">
        <f t="shared" si="68"/>
        <v>13</v>
      </c>
      <c r="ME44" s="306">
        <f t="shared" si="69"/>
        <v>21</v>
      </c>
      <c r="MF44" s="306">
        <f t="shared" si="70"/>
        <v>11</v>
      </c>
      <c r="MG44" s="306">
        <f t="shared" si="71"/>
        <v>23</v>
      </c>
      <c r="MH44" s="306">
        <f t="shared" si="72"/>
        <v>18</v>
      </c>
      <c r="MI44" s="306">
        <f t="shared" si="73"/>
        <v>9</v>
      </c>
      <c r="MJ44" s="306">
        <f t="shared" si="74"/>
        <v>18</v>
      </c>
      <c r="MK44" s="306">
        <f t="shared" si="75"/>
        <v>21</v>
      </c>
      <c r="ML44" s="306">
        <f t="shared" si="76"/>
        <v>12</v>
      </c>
      <c r="MM44" s="306">
        <f t="shared" si="77"/>
        <v>18</v>
      </c>
      <c r="MN44" s="306">
        <f t="shared" si="78"/>
        <v>18</v>
      </c>
      <c r="MO44" s="306">
        <f t="shared" si="79"/>
        <v>11</v>
      </c>
      <c r="MP44" s="306">
        <f t="shared" si="80"/>
        <v>7</v>
      </c>
      <c r="MQ44" s="306">
        <f t="shared" si="81"/>
        <v>9</v>
      </c>
      <c r="MR44" s="306">
        <f t="shared" si="82"/>
        <v>8</v>
      </c>
      <c r="MS44" s="306">
        <f t="shared" si="83"/>
        <v>25</v>
      </c>
      <c r="MT44" s="306">
        <f t="shared" si="84"/>
        <v>26</v>
      </c>
      <c r="MU44" s="306">
        <f t="shared" si="85"/>
        <v>28</v>
      </c>
      <c r="MV44" s="306">
        <f t="shared" si="86"/>
        <v>5</v>
      </c>
      <c r="MY44" s="306">
        <f t="shared" si="87"/>
        <v>25</v>
      </c>
      <c r="MZ44" s="306">
        <f t="shared" si="88"/>
        <v>29</v>
      </c>
      <c r="NA44" s="306">
        <f t="shared" si="89"/>
        <v>28</v>
      </c>
      <c r="NB44" s="306">
        <f t="shared" si="90"/>
        <v>17</v>
      </c>
      <c r="NC44" s="306">
        <f t="shared" si="91"/>
        <v>16</v>
      </c>
      <c r="ND44" s="306">
        <f t="shared" si="92"/>
        <v>28</v>
      </c>
      <c r="NE44" s="306">
        <f t="shared" si="93"/>
        <v>29</v>
      </c>
      <c r="NF44" s="306">
        <f t="shared" si="94"/>
        <v>29</v>
      </c>
      <c r="NG44" s="306">
        <f t="shared" si="95"/>
        <v>13</v>
      </c>
      <c r="NH44" s="306">
        <f t="shared" si="96"/>
        <v>26</v>
      </c>
      <c r="NI44" s="306">
        <f t="shared" si="97"/>
        <v>14</v>
      </c>
      <c r="NJ44" s="306">
        <f t="shared" si="98"/>
        <v>13</v>
      </c>
      <c r="NK44" s="306">
        <f t="shared" si="99"/>
        <v>11</v>
      </c>
      <c r="NL44" s="306">
        <f t="shared" si="100"/>
        <v>26</v>
      </c>
      <c r="NM44" s="306">
        <f t="shared" si="100"/>
        <v>15</v>
      </c>
      <c r="NN44" s="306">
        <f t="shared" si="101"/>
        <v>0</v>
      </c>
      <c r="NO44" s="306">
        <f t="shared" si="102"/>
        <v>0</v>
      </c>
      <c r="NU44" s="378" t="s">
        <v>158</v>
      </c>
      <c r="NV44" s="357"/>
      <c r="NX44" s="230" t="s">
        <v>6</v>
      </c>
      <c r="NY44" s="230" t="s">
        <v>8</v>
      </c>
      <c r="NZ44" s="230" t="s">
        <v>3</v>
      </c>
      <c r="OA44" s="246" t="s">
        <v>20</v>
      </c>
      <c r="OB44" s="149" t="s">
        <v>43</v>
      </c>
      <c r="OC44" s="163" t="s">
        <v>8</v>
      </c>
      <c r="OD44" s="163" t="s">
        <v>10</v>
      </c>
      <c r="OE44" s="389" t="s">
        <v>8</v>
      </c>
      <c r="OF44" s="371" t="s">
        <v>189</v>
      </c>
      <c r="OG44" s="372" t="s">
        <v>190</v>
      </c>
      <c r="OH44" s="259" t="s">
        <v>43</v>
      </c>
      <c r="OI44" s="246" t="s">
        <v>20</v>
      </c>
      <c r="OJ44" s="163" t="s">
        <v>6</v>
      </c>
      <c r="OK44" s="163" t="s">
        <v>185</v>
      </c>
      <c r="OL44" s="390" t="s">
        <v>4</v>
      </c>
      <c r="OM44" s="372" t="s">
        <v>191</v>
      </c>
      <c r="ON44" s="259" t="s">
        <v>7</v>
      </c>
      <c r="OO44" s="246" t="s">
        <v>43</v>
      </c>
      <c r="OP44" s="246" t="s">
        <v>5</v>
      </c>
      <c r="OQ44" s="246" t="s">
        <v>12</v>
      </c>
      <c r="OR44" s="159" t="s">
        <v>14</v>
      </c>
      <c r="OS44" s="159" t="s">
        <v>6</v>
      </c>
      <c r="OT44" s="246" t="s">
        <v>43</v>
      </c>
      <c r="OV44" s="370" t="s">
        <v>135</v>
      </c>
      <c r="OW44" s="246" t="s">
        <v>10</v>
      </c>
      <c r="OX44" s="246" t="s">
        <v>9</v>
      </c>
      <c r="OY44" s="159" t="s">
        <v>20</v>
      </c>
      <c r="OZ44" s="159" t="s">
        <v>4</v>
      </c>
      <c r="PA44" s="225" t="s">
        <v>193</v>
      </c>
      <c r="PB44" s="246" t="s">
        <v>6</v>
      </c>
      <c r="PC44" s="246" t="s">
        <v>15</v>
      </c>
      <c r="PD44" s="246" t="s">
        <v>6</v>
      </c>
      <c r="PE44" s="246" t="s">
        <v>15</v>
      </c>
      <c r="PF44" s="246" t="s">
        <v>9</v>
      </c>
      <c r="PG44" s="246" t="s">
        <v>185</v>
      </c>
      <c r="PH44" s="246" t="s">
        <v>6</v>
      </c>
      <c r="PI44" s="246" t="s">
        <v>8</v>
      </c>
      <c r="PJ44" s="246" t="s">
        <v>15</v>
      </c>
      <c r="PK44" s="373" t="s">
        <v>228</v>
      </c>
      <c r="PM44"/>
      <c r="PN44"/>
      <c r="PO44"/>
      <c r="PP44"/>
      <c r="PQ44"/>
      <c r="PR44"/>
      <c r="PS44"/>
      <c r="PT44"/>
      <c r="QN44" s="357"/>
      <c r="QO44" s="66" t="s">
        <v>127</v>
      </c>
      <c r="QP44" s="204" t="s">
        <v>195</v>
      </c>
      <c r="QQ44" s="166" t="s">
        <v>20</v>
      </c>
      <c r="QR44" s="240" t="s">
        <v>6</v>
      </c>
      <c r="QS44" s="318" t="s">
        <v>43</v>
      </c>
      <c r="QT44" s="155" t="s">
        <v>6</v>
      </c>
      <c r="QU44" s="182" t="s">
        <v>185</v>
      </c>
      <c r="QV44" s="159" t="s">
        <v>1</v>
      </c>
      <c r="QW44" s="131" t="s">
        <v>22</v>
      </c>
      <c r="QX44" s="216" t="s">
        <v>198</v>
      </c>
      <c r="QY44" s="246" t="s">
        <v>8</v>
      </c>
      <c r="QZ44" s="230" t="s">
        <v>20</v>
      </c>
      <c r="RA44" s="254" t="s">
        <v>22</v>
      </c>
      <c r="RB44" s="246" t="s">
        <v>43</v>
      </c>
      <c r="RC44" s="182" t="s">
        <v>8</v>
      </c>
      <c r="RD44" s="166" t="s">
        <v>22</v>
      </c>
      <c r="RE44" s="131" t="s">
        <v>2</v>
      </c>
      <c r="RF44" s="254" t="s">
        <v>10</v>
      </c>
      <c r="RG44" s="254" t="s">
        <v>2</v>
      </c>
      <c r="RH44" s="246" t="s">
        <v>43</v>
      </c>
      <c r="RI44" s="225" t="s">
        <v>259</v>
      </c>
      <c r="RJ44" s="125" t="s">
        <v>11</v>
      </c>
      <c r="RK44" s="182" t="s">
        <v>2</v>
      </c>
      <c r="RL44" s="131" t="s">
        <v>6</v>
      </c>
      <c r="RM44" s="246" t="s">
        <v>43</v>
      </c>
      <c r="RN44" s="318" t="s">
        <v>43</v>
      </c>
      <c r="RO44" s="246" t="s">
        <v>43</v>
      </c>
      <c r="RP44" s="182" t="s">
        <v>14</v>
      </c>
      <c r="RQ44" s="166" t="s">
        <v>185</v>
      </c>
      <c r="RR44" s="254" t="s">
        <v>3</v>
      </c>
      <c r="RS44" s="125" t="s">
        <v>14</v>
      </c>
      <c r="RT44" s="124" t="s">
        <v>208</v>
      </c>
      <c r="RU44" s="246" t="s">
        <v>43</v>
      </c>
      <c r="RV44" s="182" t="s">
        <v>7</v>
      </c>
      <c r="RW44" s="240" t="s">
        <v>3</v>
      </c>
      <c r="RX44" s="124" t="s">
        <v>217</v>
      </c>
      <c r="RY44" s="158" t="s">
        <v>22</v>
      </c>
      <c r="RZ44" s="246" t="s">
        <v>43</v>
      </c>
      <c r="SA44" s="190" t="s">
        <v>211</v>
      </c>
      <c r="SB44" s="246" t="s">
        <v>43</v>
      </c>
      <c r="SC44" s="176" t="s">
        <v>1</v>
      </c>
      <c r="SD44" s="182" t="s">
        <v>10</v>
      </c>
      <c r="SE44" s="159" t="s">
        <v>14</v>
      </c>
      <c r="SF44" s="176" t="s">
        <v>7</v>
      </c>
      <c r="SG44" s="246" t="s">
        <v>43</v>
      </c>
      <c r="SH44" s="254" t="s">
        <v>15</v>
      </c>
      <c r="SI44" s="182" t="s">
        <v>1</v>
      </c>
      <c r="SJ44" s="221" t="s">
        <v>261</v>
      </c>
      <c r="SK44" s="322">
        <f t="shared" si="103"/>
        <v>871.76628595930413</v>
      </c>
      <c r="SM44" s="362">
        <v>31</v>
      </c>
      <c r="SO44"/>
      <c r="SP44"/>
      <c r="TP44" s="357"/>
      <c r="TQ44" s="66" t="s">
        <v>127</v>
      </c>
      <c r="TR44" s="306">
        <f t="shared" si="104"/>
        <v>31</v>
      </c>
      <c r="TS44" s="306">
        <f t="shared" si="105"/>
        <v>23</v>
      </c>
      <c r="TT44" s="306">
        <f t="shared" si="106"/>
        <v>3</v>
      </c>
      <c r="TU44" s="306">
        <f t="shared" si="107"/>
        <v>18</v>
      </c>
      <c r="TV44" s="306">
        <f t="shared" si="108"/>
        <v>5</v>
      </c>
      <c r="TW44" s="306">
        <f t="shared" si="109"/>
        <v>24</v>
      </c>
      <c r="TX44" s="306">
        <f t="shared" si="110"/>
        <v>12</v>
      </c>
      <c r="TY44" s="306">
        <f t="shared" si="111"/>
        <v>33</v>
      </c>
      <c r="TZ44" s="306">
        <f t="shared" si="112"/>
        <v>33</v>
      </c>
      <c r="UA44" s="306">
        <f t="shared" si="113"/>
        <v>24</v>
      </c>
      <c r="UB44" s="306">
        <f t="shared" si="114"/>
        <v>11</v>
      </c>
      <c r="UC44" s="306">
        <f t="shared" si="115"/>
        <v>4</v>
      </c>
      <c r="UD44" s="306">
        <f t="shared" si="116"/>
        <v>27</v>
      </c>
      <c r="UE44" s="306">
        <f t="shared" si="117"/>
        <v>26</v>
      </c>
      <c r="UF44" s="306">
        <f t="shared" si="118"/>
        <v>12</v>
      </c>
      <c r="UG44" s="306">
        <f t="shared" si="119"/>
        <v>13</v>
      </c>
      <c r="UH44" s="306">
        <f t="shared" si="120"/>
        <v>4</v>
      </c>
      <c r="UI44" s="306">
        <f t="shared" si="121"/>
        <v>4</v>
      </c>
      <c r="UJ44" s="306">
        <f t="shared" si="122"/>
        <v>26</v>
      </c>
      <c r="UK44" s="306">
        <f t="shared" si="123"/>
        <v>1</v>
      </c>
      <c r="UL44" s="306">
        <f t="shared" si="124"/>
        <v>26</v>
      </c>
      <c r="UM44" s="306">
        <f t="shared" si="125"/>
        <v>28</v>
      </c>
      <c r="UN44" s="306">
        <f t="shared" si="126"/>
        <v>18</v>
      </c>
      <c r="UO44" s="306">
        <f t="shared" si="127"/>
        <v>23</v>
      </c>
      <c r="UP44" s="306">
        <f t="shared" si="128"/>
        <v>13</v>
      </c>
      <c r="UQ44" s="306">
        <f t="shared" si="129"/>
        <v>3</v>
      </c>
      <c r="UR44" s="306">
        <f t="shared" si="130"/>
        <v>16</v>
      </c>
      <c r="US44" s="306">
        <f t="shared" si="131"/>
        <v>7</v>
      </c>
      <c r="UT44" s="306">
        <f t="shared" si="132"/>
        <v>6</v>
      </c>
      <c r="UU44" s="306">
        <f t="shared" si="133"/>
        <v>3</v>
      </c>
      <c r="UV44" s="306">
        <f t="shared" si="134"/>
        <v>5</v>
      </c>
      <c r="UW44" s="306">
        <f t="shared" si="135"/>
        <v>33</v>
      </c>
      <c r="UX44" s="306">
        <f t="shared" si="136"/>
        <v>32</v>
      </c>
      <c r="UY44" s="306">
        <f t="shared" si="137"/>
        <v>19</v>
      </c>
      <c r="UZ44" s="306">
        <f t="shared" si="138"/>
        <v>3</v>
      </c>
      <c r="VA44" s="306">
        <f t="shared" si="139"/>
        <v>18</v>
      </c>
      <c r="VB44" s="306">
        <f t="shared" si="140"/>
        <v>3</v>
      </c>
      <c r="VC44" s="306">
        <f t="shared" si="141"/>
        <v>13</v>
      </c>
      <c r="VD44" s="306">
        <f t="shared" si="142"/>
        <v>13</v>
      </c>
      <c r="VE44" s="306">
        <f t="shared" si="143"/>
        <v>26</v>
      </c>
      <c r="VF44" s="306">
        <f t="shared" si="144"/>
        <v>17</v>
      </c>
      <c r="VG44" s="306">
        <f t="shared" si="145"/>
        <v>23</v>
      </c>
      <c r="VH44" s="306">
        <f t="shared" si="146"/>
        <v>29</v>
      </c>
      <c r="VI44" s="306">
        <f t="shared" si="147"/>
        <v>28</v>
      </c>
      <c r="VJ44" s="306">
        <f t="shared" si="148"/>
        <v>30</v>
      </c>
      <c r="VK44" s="306">
        <f t="shared" si="149"/>
        <v>4</v>
      </c>
      <c r="VL44" s="306">
        <f t="shared" si="150"/>
        <v>25</v>
      </c>
      <c r="VN44" s="306">
        <f t="shared" si="151"/>
        <v>0</v>
      </c>
      <c r="WR44" s="357"/>
      <c r="WS44" s="184" t="s">
        <v>127</v>
      </c>
      <c r="WT44" s="225" t="s">
        <v>195</v>
      </c>
      <c r="WU44" s="246" t="s">
        <v>20</v>
      </c>
      <c r="WV44" s="246" t="s">
        <v>6</v>
      </c>
      <c r="WW44" s="318" t="s">
        <v>43</v>
      </c>
      <c r="WX44" s="246" t="s">
        <v>6</v>
      </c>
      <c r="WY44" s="246" t="s">
        <v>185</v>
      </c>
      <c r="WZ44" s="246" t="s">
        <v>1</v>
      </c>
      <c r="XA44" s="246" t="s">
        <v>22</v>
      </c>
      <c r="XB44" s="225" t="s">
        <v>198</v>
      </c>
      <c r="XC44" s="141" t="s">
        <v>8</v>
      </c>
      <c r="XD44" s="141" t="s">
        <v>20</v>
      </c>
      <c r="XE44" s="246" t="s">
        <v>22</v>
      </c>
      <c r="XF44" s="246" t="s">
        <v>43</v>
      </c>
      <c r="XG44" s="240" t="s">
        <v>8</v>
      </c>
      <c r="XH44" s="240" t="s">
        <v>22</v>
      </c>
      <c r="XI44" s="246" t="s">
        <v>2</v>
      </c>
      <c r="XJ44" s="246" t="s">
        <v>10</v>
      </c>
      <c r="XK44" s="246" t="s">
        <v>2</v>
      </c>
      <c r="XL44" s="246" t="s">
        <v>43</v>
      </c>
      <c r="XM44" s="225" t="s">
        <v>259</v>
      </c>
      <c r="XN44" s="159" t="s">
        <v>11</v>
      </c>
      <c r="XO44" s="159" t="s">
        <v>2</v>
      </c>
      <c r="XP44" s="246" t="s">
        <v>6</v>
      </c>
      <c r="XQ44" s="246" t="s">
        <v>43</v>
      </c>
      <c r="XR44" s="318" t="s">
        <v>43</v>
      </c>
      <c r="XS44" s="246" t="s">
        <v>43</v>
      </c>
      <c r="XT44" s="246" t="s">
        <v>14</v>
      </c>
      <c r="XU44" s="246" t="s">
        <v>185</v>
      </c>
      <c r="XV44" s="246" t="s">
        <v>3</v>
      </c>
      <c r="XW44" s="246" t="s">
        <v>14</v>
      </c>
      <c r="XX44" s="225" t="s">
        <v>208</v>
      </c>
      <c r="XY44" s="246" t="s">
        <v>43</v>
      </c>
      <c r="XZ44" s="240" t="s">
        <v>7</v>
      </c>
      <c r="YA44" s="240" t="s">
        <v>3</v>
      </c>
      <c r="YB44" s="225" t="s">
        <v>217</v>
      </c>
      <c r="YC44" s="246" t="s">
        <v>22</v>
      </c>
      <c r="YD44" s="246" t="s">
        <v>43</v>
      </c>
      <c r="YE44" s="225" t="s">
        <v>211</v>
      </c>
      <c r="YF44" s="246" t="s">
        <v>43</v>
      </c>
      <c r="YG44" s="246" t="s">
        <v>1</v>
      </c>
      <c r="YH44" s="246" t="s">
        <v>10</v>
      </c>
      <c r="YI44" s="246" t="s">
        <v>14</v>
      </c>
      <c r="YJ44" s="159" t="s">
        <v>7</v>
      </c>
      <c r="YK44" s="159" t="s">
        <v>43</v>
      </c>
      <c r="YL44" s="159" t="s">
        <v>15</v>
      </c>
      <c r="YM44" s="246" t="s">
        <v>1</v>
      </c>
      <c r="YN44" s="246" t="s">
        <v>261</v>
      </c>
      <c r="YO44" s="391"/>
      <c r="AFZ44" s="307"/>
    </row>
    <row r="45" spans="1:858" s="306" customFormat="1" ht="19.5" thickTop="1" thickBot="1" x14ac:dyDescent="0.3">
      <c r="A45" s="70">
        <v>36</v>
      </c>
      <c r="B45" s="305"/>
      <c r="C45" s="45" t="s">
        <v>131</v>
      </c>
      <c r="D45" s="45" t="s">
        <v>130</v>
      </c>
      <c r="E45" s="305"/>
      <c r="F45" s="128">
        <v>360.85969619621721</v>
      </c>
      <c r="X45" s="355"/>
      <c r="AC45" s="356">
        <f>+IF(ISERROR(INDEX(DK14:DK41,MATCH($AB$44,$DJ$14:$DJ$41,0))),"",INDEX(DK14:DK41,MATCH($AB$44,$DJ$14:$DJ$41,0)))</f>
        <v>7</v>
      </c>
      <c r="AD45" s="356">
        <f t="shared" ref="AD45:BN45" si="154">+IF(ISERROR(INDEX(DL14:DL41,MATCH($AB$44,$DJ$14:$DJ$41,0))),"",INDEX(DL14:DL41,MATCH($AB$44,$DJ$14:$DJ$41,0)))</f>
        <v>5</v>
      </c>
      <c r="AE45" s="356">
        <f t="shared" si="154"/>
        <v>7</v>
      </c>
      <c r="AF45" s="356">
        <f t="shared" si="154"/>
        <v>2</v>
      </c>
      <c r="AG45" s="356">
        <f t="shared" si="154"/>
        <v>7</v>
      </c>
      <c r="AH45" s="356">
        <f t="shared" si="154"/>
        <v>2</v>
      </c>
      <c r="AI45" s="356">
        <f t="shared" si="154"/>
        <v>4</v>
      </c>
      <c r="AJ45" s="356">
        <f t="shared" si="154"/>
        <v>7</v>
      </c>
      <c r="AK45" s="356">
        <f t="shared" si="154"/>
        <v>2</v>
      </c>
      <c r="AL45" s="356">
        <f t="shared" si="154"/>
        <v>2</v>
      </c>
      <c r="AM45" s="356">
        <f t="shared" si="154"/>
        <v>7</v>
      </c>
      <c r="AN45" s="356">
        <f t="shared" si="154"/>
        <v>7</v>
      </c>
      <c r="AO45" s="356">
        <f t="shared" si="154"/>
        <v>7</v>
      </c>
      <c r="AP45" s="356">
        <f t="shared" si="154"/>
        <v>7</v>
      </c>
      <c r="AQ45" s="356">
        <f t="shared" si="154"/>
        <v>7</v>
      </c>
      <c r="AR45" s="356">
        <f t="shared" si="154"/>
        <v>3</v>
      </c>
      <c r="AS45" s="356">
        <f t="shared" si="154"/>
        <v>7</v>
      </c>
      <c r="AT45" s="356">
        <f t="shared" si="154"/>
        <v>3</v>
      </c>
      <c r="AU45" s="356">
        <f t="shared" si="154"/>
        <v>7</v>
      </c>
      <c r="AV45" s="356">
        <f t="shared" si="154"/>
        <v>7</v>
      </c>
      <c r="AW45" s="356">
        <f t="shared" si="154"/>
        <v>5</v>
      </c>
      <c r="AX45" s="356">
        <f t="shared" si="154"/>
        <v>2</v>
      </c>
      <c r="AY45" s="356">
        <f t="shared" si="154"/>
        <v>2</v>
      </c>
      <c r="AZ45" s="356">
        <f t="shared" si="154"/>
        <v>2</v>
      </c>
      <c r="BA45" s="356">
        <f t="shared" si="154"/>
        <v>2</v>
      </c>
      <c r="BB45" s="356">
        <f t="shared" si="154"/>
        <v>2</v>
      </c>
      <c r="BC45" s="356">
        <f t="shared" si="154"/>
        <v>2</v>
      </c>
      <c r="BD45" s="356">
        <f t="shared" si="154"/>
        <v>4</v>
      </c>
      <c r="BE45" s="356">
        <f t="shared" si="154"/>
        <v>5</v>
      </c>
      <c r="BF45" s="356">
        <f t="shared" si="154"/>
        <v>4</v>
      </c>
      <c r="BG45" s="356">
        <f t="shared" si="154"/>
        <v>2</v>
      </c>
      <c r="BH45" s="356">
        <f t="shared" si="154"/>
        <v>2</v>
      </c>
      <c r="BI45" s="356">
        <f t="shared" si="154"/>
        <v>6</v>
      </c>
      <c r="BJ45" s="356">
        <f t="shared" si="154"/>
        <v>5</v>
      </c>
      <c r="BK45" s="356">
        <f t="shared" si="154"/>
        <v>7</v>
      </c>
      <c r="BL45" s="356">
        <f t="shared" si="154"/>
        <v>7</v>
      </c>
      <c r="BM45" s="356">
        <f t="shared" si="154"/>
        <v>7</v>
      </c>
      <c r="BN45" s="356">
        <f t="shared" si="154"/>
        <v>7</v>
      </c>
      <c r="BO45" s="309"/>
      <c r="BR45" s="356">
        <f>+IF(ISERROR(INDEX(EX14:EX41,MATCH($BQ$44,$BQ$14:$BQ$41,0))),"",INDEX(EX14:EX41,MATCH($BQ$44,$BQ$14:$BQ$41,0)))</f>
        <v>6</v>
      </c>
      <c r="BS45" s="356">
        <f t="shared" ref="BS45:CI45" si="155">+IF(ISERROR(INDEX(EY14:EY41,MATCH($BQ$44,$BQ$14:$BQ$41,0))),"",INDEX(EY14:EY41,MATCH($BQ$44,$BQ$14:$BQ$41,0)))</f>
        <v>7</v>
      </c>
      <c r="BT45" s="356">
        <f t="shared" si="155"/>
        <v>5</v>
      </c>
      <c r="BU45" s="356">
        <f t="shared" si="155"/>
        <v>7</v>
      </c>
      <c r="BV45" s="356">
        <f t="shared" si="155"/>
        <v>7</v>
      </c>
      <c r="BW45" s="356">
        <f t="shared" si="155"/>
        <v>7</v>
      </c>
      <c r="BX45" s="356">
        <f t="shared" si="155"/>
        <v>7</v>
      </c>
      <c r="BY45" s="356">
        <f t="shared" si="155"/>
        <v>7</v>
      </c>
      <c r="BZ45" s="356">
        <f t="shared" si="155"/>
        <v>7</v>
      </c>
      <c r="CA45" s="356">
        <f t="shared" si="155"/>
        <v>7</v>
      </c>
      <c r="CB45" s="356">
        <f t="shared" si="155"/>
        <v>7</v>
      </c>
      <c r="CC45" s="356">
        <f t="shared" si="155"/>
        <v>7</v>
      </c>
      <c r="CD45" s="356">
        <f t="shared" si="155"/>
        <v>7</v>
      </c>
      <c r="CE45" s="356">
        <f t="shared" si="155"/>
        <v>7</v>
      </c>
      <c r="CF45" s="356">
        <f t="shared" si="155"/>
        <v>6</v>
      </c>
      <c r="CG45" s="356">
        <f t="shared" si="155"/>
        <v>7</v>
      </c>
      <c r="CH45" s="356">
        <f t="shared" si="155"/>
        <v>7</v>
      </c>
      <c r="CI45" s="356">
        <f t="shared" si="155"/>
        <v>7</v>
      </c>
      <c r="DG45" s="357"/>
      <c r="GM45" s="357"/>
      <c r="JN45" s="357"/>
      <c r="JO45" s="307"/>
      <c r="JR45" s="309"/>
      <c r="JU45" s="307"/>
      <c r="KR45" s="309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X45" s="309"/>
      <c r="LY45" s="309"/>
      <c r="NV45" s="357"/>
      <c r="QN45" s="357"/>
      <c r="QO45" s="66" t="s">
        <v>128</v>
      </c>
      <c r="QP45" s="204" t="s">
        <v>195</v>
      </c>
      <c r="QQ45" s="166" t="s">
        <v>20</v>
      </c>
      <c r="QR45" s="240" t="s">
        <v>6</v>
      </c>
      <c r="QS45" s="318" t="s">
        <v>43</v>
      </c>
      <c r="QT45" s="155" t="s">
        <v>6</v>
      </c>
      <c r="QU45" s="182" t="s">
        <v>185</v>
      </c>
      <c r="QV45" s="159" t="s">
        <v>1</v>
      </c>
      <c r="QW45" s="131" t="s">
        <v>22</v>
      </c>
      <c r="QX45" s="216" t="s">
        <v>198</v>
      </c>
      <c r="QY45" s="246" t="s">
        <v>8</v>
      </c>
      <c r="QZ45" s="230" t="s">
        <v>20</v>
      </c>
      <c r="RA45" s="221" t="s">
        <v>2</v>
      </c>
      <c r="RB45" s="246" t="s">
        <v>43</v>
      </c>
      <c r="RC45" s="182" t="s">
        <v>8</v>
      </c>
      <c r="RD45" s="166" t="s">
        <v>22</v>
      </c>
      <c r="RE45" s="230" t="s">
        <v>8</v>
      </c>
      <c r="RF45" s="159" t="s">
        <v>7</v>
      </c>
      <c r="RG45" s="159" t="s">
        <v>8</v>
      </c>
      <c r="RH45" s="246" t="s">
        <v>43</v>
      </c>
      <c r="RI45" s="246" t="s">
        <v>43</v>
      </c>
      <c r="RJ45" s="233" t="s">
        <v>7</v>
      </c>
      <c r="RK45" s="233" t="s">
        <v>1</v>
      </c>
      <c r="RL45" s="131" t="s">
        <v>6</v>
      </c>
      <c r="RM45" s="246" t="s">
        <v>43</v>
      </c>
      <c r="RN45" s="312" t="s">
        <v>43</v>
      </c>
      <c r="RO45" s="246" t="s">
        <v>43</v>
      </c>
      <c r="RP45" s="182" t="s">
        <v>14</v>
      </c>
      <c r="RQ45" s="166" t="s">
        <v>185</v>
      </c>
      <c r="RR45" s="254" t="s">
        <v>3</v>
      </c>
      <c r="RS45" s="125" t="s">
        <v>14</v>
      </c>
      <c r="RT45" s="124" t="s">
        <v>208</v>
      </c>
      <c r="RU45" s="246" t="s">
        <v>43</v>
      </c>
      <c r="RV45" s="182" t="s">
        <v>7</v>
      </c>
      <c r="RW45" s="182" t="s">
        <v>7</v>
      </c>
      <c r="RX45" s="124" t="s">
        <v>217</v>
      </c>
      <c r="RY45" s="158" t="s">
        <v>22</v>
      </c>
      <c r="RZ45" s="246" t="s">
        <v>43</v>
      </c>
      <c r="SA45" s="190" t="s">
        <v>211</v>
      </c>
      <c r="SB45" s="246" t="s">
        <v>43</v>
      </c>
      <c r="SC45" s="176" t="s">
        <v>1</v>
      </c>
      <c r="SD45" s="166" t="s">
        <v>15</v>
      </c>
      <c r="SE45" s="211" t="s">
        <v>22</v>
      </c>
      <c r="SF45" s="176" t="s">
        <v>7</v>
      </c>
      <c r="SG45" s="246" t="s">
        <v>43</v>
      </c>
      <c r="SH45" s="254" t="s">
        <v>15</v>
      </c>
      <c r="SI45" s="131" t="s">
        <v>5</v>
      </c>
      <c r="SJ45" s="221" t="s">
        <v>261</v>
      </c>
      <c r="SK45" s="322">
        <f t="shared" si="103"/>
        <v>7335.2385946599898</v>
      </c>
      <c r="SM45" s="362">
        <v>32</v>
      </c>
      <c r="SO45"/>
      <c r="SP45"/>
      <c r="TP45" s="357"/>
      <c r="TQ45" s="66" t="s">
        <v>128</v>
      </c>
      <c r="TR45" s="306">
        <f t="shared" si="104"/>
        <v>31</v>
      </c>
      <c r="TS45" s="306">
        <f t="shared" si="105"/>
        <v>23</v>
      </c>
      <c r="TT45" s="306">
        <f t="shared" si="106"/>
        <v>3</v>
      </c>
      <c r="TU45" s="306">
        <f t="shared" si="107"/>
        <v>18</v>
      </c>
      <c r="TV45" s="306">
        <f t="shared" si="108"/>
        <v>5</v>
      </c>
      <c r="TW45" s="306">
        <f t="shared" si="109"/>
        <v>24</v>
      </c>
      <c r="TX45" s="306">
        <f t="shared" si="110"/>
        <v>12</v>
      </c>
      <c r="TY45" s="306">
        <f t="shared" si="111"/>
        <v>33</v>
      </c>
      <c r="TZ45" s="306">
        <f t="shared" si="112"/>
        <v>33</v>
      </c>
      <c r="UA45" s="306">
        <f t="shared" si="113"/>
        <v>24</v>
      </c>
      <c r="UB45" s="306">
        <f t="shared" si="114"/>
        <v>11</v>
      </c>
      <c r="UC45" s="306">
        <f t="shared" si="115"/>
        <v>23</v>
      </c>
      <c r="UD45" s="306">
        <f t="shared" si="116"/>
        <v>27</v>
      </c>
      <c r="UE45" s="306">
        <f t="shared" si="117"/>
        <v>26</v>
      </c>
      <c r="UF45" s="306">
        <f t="shared" si="118"/>
        <v>12</v>
      </c>
      <c r="UG45" s="306">
        <f t="shared" si="119"/>
        <v>5</v>
      </c>
      <c r="UH45" s="306">
        <f t="shared" si="120"/>
        <v>28</v>
      </c>
      <c r="UI45" s="306">
        <f t="shared" si="121"/>
        <v>32</v>
      </c>
      <c r="UJ45" s="306">
        <f t="shared" si="122"/>
        <v>26</v>
      </c>
      <c r="UK45" s="306">
        <f t="shared" si="123"/>
        <v>31</v>
      </c>
      <c r="UL45" s="306">
        <f t="shared" si="124"/>
        <v>6</v>
      </c>
      <c r="UM45" s="306">
        <f t="shared" si="125"/>
        <v>6</v>
      </c>
      <c r="UN45" s="306">
        <f t="shared" si="126"/>
        <v>18</v>
      </c>
      <c r="UO45" s="306">
        <f t="shared" si="127"/>
        <v>23</v>
      </c>
      <c r="UP45" s="306">
        <f t="shared" si="128"/>
        <v>13</v>
      </c>
      <c r="UQ45" s="306">
        <f t="shared" si="129"/>
        <v>3</v>
      </c>
      <c r="UR45" s="306">
        <f t="shared" si="130"/>
        <v>16</v>
      </c>
      <c r="US45" s="306">
        <f t="shared" si="131"/>
        <v>7</v>
      </c>
      <c r="UT45" s="306">
        <f t="shared" si="132"/>
        <v>6</v>
      </c>
      <c r="UU45" s="306">
        <f t="shared" si="133"/>
        <v>3</v>
      </c>
      <c r="UV45" s="306">
        <f t="shared" si="134"/>
        <v>5</v>
      </c>
      <c r="UW45" s="306">
        <f t="shared" si="135"/>
        <v>33</v>
      </c>
      <c r="UX45" s="306">
        <f t="shared" si="136"/>
        <v>32</v>
      </c>
      <c r="UY45" s="306">
        <f t="shared" si="137"/>
        <v>17</v>
      </c>
      <c r="UZ45" s="306">
        <f t="shared" si="138"/>
        <v>3</v>
      </c>
      <c r="VA45" s="306">
        <f t="shared" si="139"/>
        <v>18</v>
      </c>
      <c r="VB45" s="306">
        <f t="shared" si="140"/>
        <v>3</v>
      </c>
      <c r="VC45" s="306">
        <f t="shared" si="141"/>
        <v>13</v>
      </c>
      <c r="VD45" s="306">
        <f t="shared" si="142"/>
        <v>13</v>
      </c>
      <c r="VE45" s="306">
        <f t="shared" si="143"/>
        <v>26</v>
      </c>
      <c r="VF45" s="306">
        <f t="shared" si="144"/>
        <v>19</v>
      </c>
      <c r="VG45" s="306">
        <f t="shared" si="145"/>
        <v>13</v>
      </c>
      <c r="VH45" s="306">
        <f t="shared" si="146"/>
        <v>29</v>
      </c>
      <c r="VI45" s="306">
        <f t="shared" si="147"/>
        <v>28</v>
      </c>
      <c r="VJ45" s="306">
        <f t="shared" si="148"/>
        <v>30</v>
      </c>
      <c r="VK45" s="306">
        <f t="shared" si="149"/>
        <v>32</v>
      </c>
      <c r="VL45" s="306">
        <f t="shared" si="150"/>
        <v>25</v>
      </c>
      <c r="VN45" s="306">
        <f t="shared" si="151"/>
        <v>0</v>
      </c>
      <c r="WR45" s="357"/>
      <c r="WS45" s="184" t="s">
        <v>128</v>
      </c>
      <c r="WT45" s="225" t="s">
        <v>195</v>
      </c>
      <c r="WU45" s="246" t="s">
        <v>20</v>
      </c>
      <c r="WV45" s="246" t="s">
        <v>6</v>
      </c>
      <c r="WW45" s="318" t="s">
        <v>43</v>
      </c>
      <c r="WX45" s="246" t="s">
        <v>6</v>
      </c>
      <c r="WY45" s="246" t="s">
        <v>185</v>
      </c>
      <c r="WZ45" s="246" t="s">
        <v>1</v>
      </c>
      <c r="XA45" s="246" t="s">
        <v>22</v>
      </c>
      <c r="XB45" s="225" t="s">
        <v>198</v>
      </c>
      <c r="XC45" s="141" t="s">
        <v>8</v>
      </c>
      <c r="XD45" s="141" t="s">
        <v>20</v>
      </c>
      <c r="XE45" s="246" t="s">
        <v>2</v>
      </c>
      <c r="XF45" s="246" t="s">
        <v>43</v>
      </c>
      <c r="XG45" s="240" t="s">
        <v>8</v>
      </c>
      <c r="XH45" s="240" t="s">
        <v>22</v>
      </c>
      <c r="XI45" s="246" t="s">
        <v>8</v>
      </c>
      <c r="XJ45" s="246" t="s">
        <v>7</v>
      </c>
      <c r="XK45" s="246" t="s">
        <v>8</v>
      </c>
      <c r="XL45" s="246" t="s">
        <v>43</v>
      </c>
      <c r="XM45" s="246" t="s">
        <v>43</v>
      </c>
      <c r="XN45" s="166" t="s">
        <v>7</v>
      </c>
      <c r="XO45" s="166" t="s">
        <v>1</v>
      </c>
      <c r="XP45" s="246" t="s">
        <v>6</v>
      </c>
      <c r="XQ45" s="246" t="s">
        <v>43</v>
      </c>
      <c r="XR45" s="312" t="s">
        <v>43</v>
      </c>
      <c r="XS45" s="246" t="s">
        <v>43</v>
      </c>
      <c r="XT45" s="246" t="s">
        <v>14</v>
      </c>
      <c r="XU45" s="246" t="s">
        <v>185</v>
      </c>
      <c r="XV45" s="246" t="s">
        <v>3</v>
      </c>
      <c r="XW45" s="246" t="s">
        <v>14</v>
      </c>
      <c r="XX45" s="225" t="s">
        <v>208</v>
      </c>
      <c r="XY45" s="246" t="s">
        <v>43</v>
      </c>
      <c r="XZ45" s="166" t="s">
        <v>7</v>
      </c>
      <c r="YA45" s="166" t="s">
        <v>7</v>
      </c>
      <c r="YB45" s="225" t="s">
        <v>217</v>
      </c>
      <c r="YC45" s="246" t="s">
        <v>22</v>
      </c>
      <c r="YD45" s="246" t="s">
        <v>43</v>
      </c>
      <c r="YE45" s="225" t="s">
        <v>211</v>
      </c>
      <c r="YF45" s="246" t="s">
        <v>43</v>
      </c>
      <c r="YG45" s="246" t="s">
        <v>1</v>
      </c>
      <c r="YH45" s="246" t="s">
        <v>15</v>
      </c>
      <c r="YI45" s="246" t="s">
        <v>22</v>
      </c>
      <c r="YJ45" s="159" t="s">
        <v>7</v>
      </c>
      <c r="YK45" s="159" t="s">
        <v>43</v>
      </c>
      <c r="YL45" s="159" t="s">
        <v>15</v>
      </c>
      <c r="YM45" s="246" t="s">
        <v>5</v>
      </c>
      <c r="YN45" s="246" t="s">
        <v>261</v>
      </c>
      <c r="YO45" s="391"/>
      <c r="AFZ45" s="307"/>
    </row>
    <row r="46" spans="1:858" s="306" customFormat="1" ht="22.5" thickTop="1" thickBot="1" x14ac:dyDescent="0.4">
      <c r="A46" s="70">
        <v>37</v>
      </c>
      <c r="B46" s="305"/>
      <c r="C46" s="45" t="s">
        <v>132</v>
      </c>
      <c r="D46" s="45" t="s">
        <v>133</v>
      </c>
      <c r="E46" s="305"/>
      <c r="F46" s="128">
        <v>33.117289234630192</v>
      </c>
      <c r="X46" s="355"/>
      <c r="AB46" s="351" t="s">
        <v>273</v>
      </c>
      <c r="AC46" s="302">
        <f>+IF(AC45="","",COUNTIF(GQ404:GQ431,AC44))</f>
        <v>0</v>
      </c>
      <c r="AD46" s="301">
        <f t="shared" ref="AD46:BN46" si="156">+IF(AD45="","",COUNTIF(GR404:GR431,AD44))</f>
        <v>0</v>
      </c>
      <c r="AE46" s="301">
        <f t="shared" si="156"/>
        <v>0</v>
      </c>
      <c r="AF46" s="301">
        <f t="shared" si="156"/>
        <v>0</v>
      </c>
      <c r="AG46" s="301">
        <f t="shared" si="156"/>
        <v>0</v>
      </c>
      <c r="AH46" s="301">
        <f t="shared" si="156"/>
        <v>0</v>
      </c>
      <c r="AI46" s="301">
        <f t="shared" si="156"/>
        <v>0</v>
      </c>
      <c r="AJ46" s="301">
        <f t="shared" si="156"/>
        <v>0</v>
      </c>
      <c r="AK46" s="301">
        <f t="shared" si="156"/>
        <v>0</v>
      </c>
      <c r="AL46" s="301">
        <f t="shared" si="156"/>
        <v>0</v>
      </c>
      <c r="AM46" s="301">
        <f t="shared" si="156"/>
        <v>0</v>
      </c>
      <c r="AN46" s="301">
        <f t="shared" si="156"/>
        <v>0</v>
      </c>
      <c r="AO46" s="301">
        <f t="shared" si="156"/>
        <v>0</v>
      </c>
      <c r="AP46" s="301">
        <f t="shared" si="156"/>
        <v>0</v>
      </c>
      <c r="AQ46" s="301">
        <f t="shared" si="156"/>
        <v>0</v>
      </c>
      <c r="AR46" s="301">
        <f t="shared" si="156"/>
        <v>0</v>
      </c>
      <c r="AS46" s="301">
        <f t="shared" si="156"/>
        <v>0</v>
      </c>
      <c r="AT46" s="301">
        <f t="shared" si="156"/>
        <v>0</v>
      </c>
      <c r="AU46" s="301">
        <f t="shared" si="156"/>
        <v>0</v>
      </c>
      <c r="AV46" s="301">
        <f t="shared" si="156"/>
        <v>0</v>
      </c>
      <c r="AW46" s="301">
        <f t="shared" si="156"/>
        <v>0</v>
      </c>
      <c r="AX46" s="301">
        <f t="shared" si="156"/>
        <v>0</v>
      </c>
      <c r="AY46" s="301">
        <f t="shared" si="156"/>
        <v>0</v>
      </c>
      <c r="AZ46" s="301">
        <f t="shared" si="156"/>
        <v>0</v>
      </c>
      <c r="BA46" s="301">
        <f t="shared" si="156"/>
        <v>0</v>
      </c>
      <c r="BB46" s="301">
        <f t="shared" si="156"/>
        <v>0</v>
      </c>
      <c r="BC46" s="301">
        <f t="shared" si="156"/>
        <v>0</v>
      </c>
      <c r="BD46" s="301">
        <f t="shared" si="156"/>
        <v>0</v>
      </c>
      <c r="BE46" s="301">
        <f t="shared" si="156"/>
        <v>0</v>
      </c>
      <c r="BF46" s="301">
        <f t="shared" si="156"/>
        <v>0</v>
      </c>
      <c r="BG46" s="301">
        <f t="shared" si="156"/>
        <v>0</v>
      </c>
      <c r="BH46" s="301">
        <f t="shared" si="156"/>
        <v>0</v>
      </c>
      <c r="BI46" s="301">
        <f t="shared" si="156"/>
        <v>0</v>
      </c>
      <c r="BJ46" s="301">
        <f t="shared" si="156"/>
        <v>0</v>
      </c>
      <c r="BK46" s="301">
        <f t="shared" si="156"/>
        <v>0</v>
      </c>
      <c r="BL46" s="301">
        <f t="shared" si="156"/>
        <v>0</v>
      </c>
      <c r="BM46" s="301">
        <f t="shared" si="156"/>
        <v>0</v>
      </c>
      <c r="BN46" s="303">
        <f t="shared" si="156"/>
        <v>0</v>
      </c>
      <c r="BQ46" s="351" t="s">
        <v>273</v>
      </c>
      <c r="BR46" s="302">
        <f>+IF(AND(BR45&lt;&gt;"",BR44&lt;&gt;"*"),COUNTIF(ID404:ID431,BR44),"")</f>
        <v>0</v>
      </c>
      <c r="BS46" s="301">
        <f t="shared" ref="BS46:CI46" si="157">+IF(AND(BS45&lt;&gt;"",BS44&lt;&gt;"*"),COUNTIF(IE404:IE431,BS44),"")</f>
        <v>0</v>
      </c>
      <c r="BT46" s="301">
        <f t="shared" si="157"/>
        <v>0</v>
      </c>
      <c r="BU46" s="301" t="str">
        <f t="shared" si="157"/>
        <v/>
      </c>
      <c r="BV46" s="301">
        <f t="shared" si="157"/>
        <v>0</v>
      </c>
      <c r="BW46" s="301">
        <f t="shared" si="157"/>
        <v>0</v>
      </c>
      <c r="BX46" s="301" t="str">
        <f t="shared" si="157"/>
        <v/>
      </c>
      <c r="BY46" s="301" t="str">
        <f t="shared" si="157"/>
        <v/>
      </c>
      <c r="BZ46" s="301">
        <f t="shared" si="157"/>
        <v>0</v>
      </c>
      <c r="CA46" s="301" t="str">
        <f t="shared" si="157"/>
        <v/>
      </c>
      <c r="CB46" s="301">
        <f t="shared" si="157"/>
        <v>0</v>
      </c>
      <c r="CC46" s="301" t="str">
        <f t="shared" si="157"/>
        <v/>
      </c>
      <c r="CD46" s="301">
        <f t="shared" si="157"/>
        <v>0</v>
      </c>
      <c r="CE46" s="301" t="str">
        <f t="shared" si="157"/>
        <v/>
      </c>
      <c r="CF46" s="301">
        <f t="shared" si="157"/>
        <v>0</v>
      </c>
      <c r="CG46" s="301">
        <f t="shared" si="157"/>
        <v>0</v>
      </c>
      <c r="CH46" s="301" t="str">
        <f t="shared" si="157"/>
        <v/>
      </c>
      <c r="CI46" s="303">
        <f t="shared" si="157"/>
        <v>0</v>
      </c>
      <c r="DG46" s="357"/>
      <c r="GM46" s="357"/>
      <c r="JN46" s="357"/>
      <c r="JO46" s="307"/>
      <c r="JQ46" s="345" t="s">
        <v>272</v>
      </c>
      <c r="JR46" s="309"/>
      <c r="JU46" s="307"/>
      <c r="KR46" s="345" t="s">
        <v>272</v>
      </c>
      <c r="LG46" s="309"/>
      <c r="LX46" s="309"/>
      <c r="LY46" s="309"/>
      <c r="NV46" s="357"/>
      <c r="QN46" s="357"/>
      <c r="QO46" s="66" t="s">
        <v>129</v>
      </c>
      <c r="QP46" s="124" t="s">
        <v>213</v>
      </c>
      <c r="QQ46" s="166" t="s">
        <v>20</v>
      </c>
      <c r="QR46" s="166" t="s">
        <v>14</v>
      </c>
      <c r="QS46" s="246" t="s">
        <v>43</v>
      </c>
      <c r="QT46" s="166" t="s">
        <v>10</v>
      </c>
      <c r="QU46" s="182" t="s">
        <v>185</v>
      </c>
      <c r="QV46" s="254" t="s">
        <v>199</v>
      </c>
      <c r="QW46" s="131" t="s">
        <v>22</v>
      </c>
      <c r="QX46" s="246" t="s">
        <v>43</v>
      </c>
      <c r="QY46" s="246" t="s">
        <v>43</v>
      </c>
      <c r="QZ46" s="246" t="s">
        <v>43</v>
      </c>
      <c r="RA46" s="221" t="s">
        <v>2</v>
      </c>
      <c r="RB46" s="246" t="s">
        <v>43</v>
      </c>
      <c r="RC46" s="125" t="s">
        <v>12</v>
      </c>
      <c r="RD46" s="199" t="s">
        <v>2</v>
      </c>
      <c r="RE46" s="131" t="s">
        <v>2</v>
      </c>
      <c r="RF46" s="254" t="s">
        <v>10</v>
      </c>
      <c r="RG46" s="254" t="s">
        <v>2</v>
      </c>
      <c r="RH46" s="246" t="s">
        <v>43</v>
      </c>
      <c r="RI46" s="225" t="s">
        <v>260</v>
      </c>
      <c r="RJ46" s="125" t="s">
        <v>11</v>
      </c>
      <c r="RK46" s="182" t="s">
        <v>2</v>
      </c>
      <c r="RL46" s="131" t="s">
        <v>6</v>
      </c>
      <c r="RM46" s="246" t="s">
        <v>43</v>
      </c>
      <c r="RN46" s="246" t="s">
        <v>43</v>
      </c>
      <c r="RO46" s="124" t="s">
        <v>201</v>
      </c>
      <c r="RP46" s="254" t="s">
        <v>5</v>
      </c>
      <c r="RQ46" s="230" t="s">
        <v>5</v>
      </c>
      <c r="RR46" s="246" t="s">
        <v>43</v>
      </c>
      <c r="RS46" s="254" t="s">
        <v>20</v>
      </c>
      <c r="RT46" s="235" t="s">
        <v>21</v>
      </c>
      <c r="RU46" s="246" t="s">
        <v>43</v>
      </c>
      <c r="RV46" s="182" t="s">
        <v>7</v>
      </c>
      <c r="RW46" s="182" t="s">
        <v>7</v>
      </c>
      <c r="RX46" s="246" t="s">
        <v>43</v>
      </c>
      <c r="RY46" s="254" t="s">
        <v>14</v>
      </c>
      <c r="RZ46" s="159" t="s">
        <v>185</v>
      </c>
      <c r="SA46" s="246" t="s">
        <v>43</v>
      </c>
      <c r="SB46" s="221" t="s">
        <v>1</v>
      </c>
      <c r="SC46" s="254" t="s">
        <v>205</v>
      </c>
      <c r="SD46" s="182" t="s">
        <v>10</v>
      </c>
      <c r="SE46" s="159" t="s">
        <v>14</v>
      </c>
      <c r="SF46" s="246" t="s">
        <v>43</v>
      </c>
      <c r="SG46" s="124" t="s">
        <v>214</v>
      </c>
      <c r="SH46" s="246" t="s">
        <v>43</v>
      </c>
      <c r="SI46" s="182" t="s">
        <v>1</v>
      </c>
      <c r="SJ46" s="211" t="s">
        <v>278</v>
      </c>
      <c r="SK46" s="322">
        <f t="shared" si="103"/>
        <v>179.18099446985616</v>
      </c>
      <c r="SM46" s="362">
        <v>33</v>
      </c>
      <c r="SO46"/>
      <c r="SP46"/>
      <c r="TP46" s="357"/>
      <c r="TQ46" s="66" t="s">
        <v>129</v>
      </c>
      <c r="TR46" s="306">
        <f t="shared" si="104"/>
        <v>5</v>
      </c>
      <c r="TS46" s="306">
        <f t="shared" si="105"/>
        <v>23</v>
      </c>
      <c r="TT46" s="306">
        <f t="shared" si="106"/>
        <v>20</v>
      </c>
      <c r="TU46" s="306">
        <f t="shared" si="107"/>
        <v>18</v>
      </c>
      <c r="TV46" s="306">
        <f t="shared" si="108"/>
        <v>2</v>
      </c>
      <c r="TW46" s="306">
        <f t="shared" si="109"/>
        <v>24</v>
      </c>
      <c r="TX46" s="306">
        <f t="shared" si="110"/>
        <v>2</v>
      </c>
      <c r="TY46" s="306">
        <f t="shared" si="111"/>
        <v>33</v>
      </c>
      <c r="TZ46" s="306">
        <f t="shared" si="112"/>
        <v>2</v>
      </c>
      <c r="UA46" s="306">
        <f t="shared" si="113"/>
        <v>2</v>
      </c>
      <c r="UB46" s="306">
        <f t="shared" si="114"/>
        <v>2</v>
      </c>
      <c r="UC46" s="306">
        <f t="shared" si="115"/>
        <v>23</v>
      </c>
      <c r="UD46" s="306">
        <f t="shared" si="116"/>
        <v>27</v>
      </c>
      <c r="UE46" s="306">
        <f t="shared" si="117"/>
        <v>9</v>
      </c>
      <c r="UF46" s="306">
        <f t="shared" si="118"/>
        <v>24</v>
      </c>
      <c r="UG46" s="306">
        <f t="shared" si="119"/>
        <v>13</v>
      </c>
      <c r="UH46" s="306">
        <f t="shared" si="120"/>
        <v>4</v>
      </c>
      <c r="UI46" s="306">
        <f t="shared" si="121"/>
        <v>4</v>
      </c>
      <c r="UJ46" s="306">
        <f t="shared" si="122"/>
        <v>26</v>
      </c>
      <c r="UK46" s="306">
        <f t="shared" si="123"/>
        <v>2</v>
      </c>
      <c r="UL46" s="306">
        <f t="shared" si="124"/>
        <v>26</v>
      </c>
      <c r="UM46" s="306">
        <f t="shared" si="125"/>
        <v>28</v>
      </c>
      <c r="UN46" s="306">
        <f t="shared" si="126"/>
        <v>18</v>
      </c>
      <c r="UO46" s="306">
        <f t="shared" si="127"/>
        <v>23</v>
      </c>
      <c r="UP46" s="306">
        <f t="shared" si="128"/>
        <v>13</v>
      </c>
      <c r="UQ46" s="306">
        <f t="shared" si="129"/>
        <v>30</v>
      </c>
      <c r="UR46" s="306">
        <f t="shared" si="130"/>
        <v>7</v>
      </c>
      <c r="US46" s="306">
        <f t="shared" si="131"/>
        <v>22</v>
      </c>
      <c r="UT46" s="306">
        <f t="shared" si="132"/>
        <v>30</v>
      </c>
      <c r="UU46" s="306">
        <f t="shared" si="133"/>
        <v>7</v>
      </c>
      <c r="UV46" s="306">
        <f t="shared" si="134"/>
        <v>31</v>
      </c>
      <c r="UW46" s="306">
        <f t="shared" si="135"/>
        <v>33</v>
      </c>
      <c r="UX46" s="306">
        <f t="shared" si="136"/>
        <v>32</v>
      </c>
      <c r="UY46" s="306">
        <f t="shared" si="137"/>
        <v>17</v>
      </c>
      <c r="UZ46" s="306">
        <f t="shared" si="138"/>
        <v>11</v>
      </c>
      <c r="VA46" s="306">
        <f t="shared" si="139"/>
        <v>8</v>
      </c>
      <c r="VB46" s="306">
        <f t="shared" si="140"/>
        <v>25</v>
      </c>
      <c r="VC46" s="306">
        <f t="shared" si="141"/>
        <v>18</v>
      </c>
      <c r="VD46" s="306">
        <f t="shared" si="142"/>
        <v>23</v>
      </c>
      <c r="VE46" s="306">
        <f t="shared" si="143"/>
        <v>10</v>
      </c>
      <c r="VF46" s="306">
        <f t="shared" si="144"/>
        <v>17</v>
      </c>
      <c r="VG46" s="306">
        <f t="shared" si="145"/>
        <v>23</v>
      </c>
      <c r="VH46" s="306">
        <f t="shared" si="146"/>
        <v>7</v>
      </c>
      <c r="VI46" s="306">
        <f t="shared" si="147"/>
        <v>6</v>
      </c>
      <c r="VJ46" s="306">
        <f t="shared" si="148"/>
        <v>6</v>
      </c>
      <c r="VK46" s="306">
        <f t="shared" si="149"/>
        <v>4</v>
      </c>
      <c r="VL46" s="306">
        <f t="shared" si="150"/>
        <v>2</v>
      </c>
      <c r="VN46" s="306">
        <f t="shared" si="151"/>
        <v>0</v>
      </c>
      <c r="WR46" s="357"/>
      <c r="WS46" s="184" t="s">
        <v>129</v>
      </c>
      <c r="WT46" s="225" t="s">
        <v>213</v>
      </c>
      <c r="WU46" s="246" t="s">
        <v>20</v>
      </c>
      <c r="WV46" s="246" t="s">
        <v>14</v>
      </c>
      <c r="WW46" s="246" t="s">
        <v>43</v>
      </c>
      <c r="WX46" s="246" t="s">
        <v>10</v>
      </c>
      <c r="WY46" s="246" t="s">
        <v>185</v>
      </c>
      <c r="WZ46" s="246" t="s">
        <v>199</v>
      </c>
      <c r="XA46" s="246" t="s">
        <v>22</v>
      </c>
      <c r="XB46" s="246" t="s">
        <v>43</v>
      </c>
      <c r="XC46" s="246" t="s">
        <v>43</v>
      </c>
      <c r="XD46" s="246" t="s">
        <v>43</v>
      </c>
      <c r="XE46" s="246" t="s">
        <v>2</v>
      </c>
      <c r="XF46" s="246" t="s">
        <v>43</v>
      </c>
      <c r="XG46" s="159" t="s">
        <v>12</v>
      </c>
      <c r="XH46" s="159" t="s">
        <v>2</v>
      </c>
      <c r="XI46" s="246" t="s">
        <v>2</v>
      </c>
      <c r="XJ46" s="246" t="s">
        <v>10</v>
      </c>
      <c r="XK46" s="246" t="s">
        <v>2</v>
      </c>
      <c r="XL46" s="246" t="s">
        <v>43</v>
      </c>
      <c r="XM46" s="225" t="s">
        <v>260</v>
      </c>
      <c r="XN46" s="159" t="s">
        <v>11</v>
      </c>
      <c r="XO46" s="159" t="s">
        <v>2</v>
      </c>
      <c r="XP46" s="246" t="s">
        <v>6</v>
      </c>
      <c r="XQ46" s="246" t="s">
        <v>43</v>
      </c>
      <c r="XR46" s="246" t="s">
        <v>43</v>
      </c>
      <c r="XS46" s="225" t="s">
        <v>201</v>
      </c>
      <c r="XT46" s="166" t="s">
        <v>5</v>
      </c>
      <c r="XU46" s="166" t="s">
        <v>5</v>
      </c>
      <c r="XV46" s="246" t="s">
        <v>43</v>
      </c>
      <c r="XW46" s="246" t="s">
        <v>20</v>
      </c>
      <c r="XX46" s="225" t="s">
        <v>21</v>
      </c>
      <c r="XY46" s="246" t="s">
        <v>43</v>
      </c>
      <c r="XZ46" s="166" t="s">
        <v>7</v>
      </c>
      <c r="YA46" s="166" t="s">
        <v>7</v>
      </c>
      <c r="YB46" s="246" t="s">
        <v>43</v>
      </c>
      <c r="YC46" s="246" t="s">
        <v>14</v>
      </c>
      <c r="YD46" s="246" t="s">
        <v>185</v>
      </c>
      <c r="YE46" s="246" t="s">
        <v>43</v>
      </c>
      <c r="YF46" s="246" t="s">
        <v>1</v>
      </c>
      <c r="YG46" s="246" t="s">
        <v>205</v>
      </c>
      <c r="YH46" s="246" t="s">
        <v>10</v>
      </c>
      <c r="YI46" s="246" t="s">
        <v>14</v>
      </c>
      <c r="YJ46" s="246" t="s">
        <v>43</v>
      </c>
      <c r="YK46" s="225" t="s">
        <v>214</v>
      </c>
      <c r="YL46" s="246" t="s">
        <v>43</v>
      </c>
      <c r="YM46" s="246" t="s">
        <v>1</v>
      </c>
      <c r="YN46" s="148" t="s">
        <v>278</v>
      </c>
      <c r="YO46" s="391"/>
      <c r="AFZ46" s="307"/>
    </row>
    <row r="47" spans="1:858" s="306" customFormat="1" ht="22.5" thickTop="1" thickBot="1" x14ac:dyDescent="0.4">
      <c r="A47" s="70">
        <v>38</v>
      </c>
      <c r="B47" s="305"/>
      <c r="C47" s="45" t="s">
        <v>134</v>
      </c>
      <c r="D47" s="45" t="s">
        <v>133</v>
      </c>
      <c r="E47" s="305"/>
      <c r="F47" s="128">
        <v>1056.677617361782</v>
      </c>
      <c r="X47" s="355"/>
      <c r="BO47" s="309"/>
      <c r="CH47" s="309"/>
      <c r="DG47" s="357"/>
      <c r="GM47" s="357"/>
      <c r="JN47" s="357"/>
      <c r="JO47" s="307"/>
      <c r="JQ47" s="348" t="s">
        <v>139</v>
      </c>
      <c r="JR47" s="309"/>
      <c r="JS47" s="309" t="str">
        <f>+IF(ISERROR(INDEX(JS14:JS45,MATCH($JQ$47,$JQ$14:$JQ$45,0))),"",INDEX(JS14:JS45,MATCH($JQ$47,$JQ$14:$JQ$45,0)))</f>
        <v>L</v>
      </c>
      <c r="JT47" s="309" t="str">
        <f t="shared" ref="JT47:KO47" si="158">+IF(ISERROR(INDEX(JT14:JT45,MATCH($JQ$47,$JQ$14:$JQ$45,0))),"",INDEX(JT14:JT45,MATCH($JQ$47,$JQ$14:$JQ$45,0)))</f>
        <v>F</v>
      </c>
      <c r="JU47" s="309" t="str">
        <f t="shared" si="158"/>
        <v>G</v>
      </c>
      <c r="JV47" s="309" t="str">
        <f t="shared" si="158"/>
        <v>E</v>
      </c>
      <c r="JW47" s="309" t="str">
        <f t="shared" si="158"/>
        <v>35FV</v>
      </c>
      <c r="JX47" s="309" t="str">
        <f t="shared" si="158"/>
        <v>F</v>
      </c>
      <c r="JY47" s="309" t="str">
        <f t="shared" si="158"/>
        <v>V</v>
      </c>
      <c r="JZ47" s="309" t="str">
        <f t="shared" si="158"/>
        <v>F</v>
      </c>
      <c r="KA47" s="309" t="str">
        <f t="shared" si="158"/>
        <v>56E</v>
      </c>
      <c r="KB47" s="309" t="str">
        <f t="shared" si="158"/>
        <v>56EE</v>
      </c>
      <c r="KC47" s="309" t="str">
        <f t="shared" si="158"/>
        <v>*</v>
      </c>
      <c r="KD47" s="309" t="str">
        <f t="shared" si="158"/>
        <v>E</v>
      </c>
      <c r="KE47" s="309" t="str">
        <f t="shared" si="158"/>
        <v>I</v>
      </c>
      <c r="KF47" s="309" t="str">
        <f t="shared" si="158"/>
        <v>E</v>
      </c>
      <c r="KG47" s="309" t="str">
        <f t="shared" si="158"/>
        <v>M</v>
      </c>
      <c r="KH47" s="309" t="str">
        <f t="shared" si="158"/>
        <v>85GPM</v>
      </c>
      <c r="KI47" s="309" t="str">
        <f t="shared" si="158"/>
        <v>G</v>
      </c>
      <c r="KJ47" s="309" t="str">
        <f t="shared" si="158"/>
        <v>*</v>
      </c>
      <c r="KK47" s="309" t="str">
        <f t="shared" si="158"/>
        <v>R</v>
      </c>
      <c r="KL47" s="309" t="str">
        <f t="shared" si="158"/>
        <v>T</v>
      </c>
      <c r="KM47" s="309" t="str">
        <f t="shared" si="158"/>
        <v>T</v>
      </c>
      <c r="KN47" s="309" t="str">
        <f t="shared" si="158"/>
        <v>L</v>
      </c>
      <c r="KO47" s="309" t="str">
        <f t="shared" si="158"/>
        <v>R</v>
      </c>
      <c r="KR47" s="304" t="s">
        <v>135</v>
      </c>
      <c r="KS47" s="309" t="str">
        <f>+IF(ISERROR(INDEX(KS14:KS45,MATCH($KR$47,$KR$14:$KR$45,0))),"",INDEX(KS14:KS45,MATCH($KR$47,$KR$14:$KR$45,0)))</f>
        <v>A</v>
      </c>
      <c r="KT47" s="309" t="str">
        <f t="shared" ref="KT47:LG47" si="159">+IF(ISERROR(INDEX(KT14:KT45,MATCH($KR$47,$KR$14:$KR$45,0))),"",INDEX(KT14:KT45,MATCH($KR$47,$KR$14:$KR$45,0)))</f>
        <v>P</v>
      </c>
      <c r="KU47" s="309" t="str">
        <f t="shared" si="159"/>
        <v>E</v>
      </c>
      <c r="KV47" s="309" t="str">
        <f t="shared" si="159"/>
        <v>M</v>
      </c>
      <c r="KW47" s="309" t="str">
        <f t="shared" si="159"/>
        <v>50QA</v>
      </c>
      <c r="KX47" s="309" t="str">
        <f t="shared" si="159"/>
        <v>L</v>
      </c>
      <c r="KY47" s="309" t="str">
        <f t="shared" si="159"/>
        <v>T</v>
      </c>
      <c r="KZ47" s="309" t="str">
        <f t="shared" si="159"/>
        <v>L</v>
      </c>
      <c r="LA47" s="309" t="str">
        <f t="shared" si="159"/>
        <v>T</v>
      </c>
      <c r="LB47" s="309" t="str">
        <f t="shared" si="159"/>
        <v>P</v>
      </c>
      <c r="LC47" s="309" t="str">
        <f t="shared" si="159"/>
        <v>K</v>
      </c>
      <c r="LD47" s="309" t="str">
        <f t="shared" si="159"/>
        <v>L</v>
      </c>
      <c r="LE47" s="309" t="str">
        <f t="shared" si="159"/>
        <v>F</v>
      </c>
      <c r="LF47" s="309" t="str">
        <f t="shared" si="159"/>
        <v>T</v>
      </c>
      <c r="LG47" s="309" t="str">
        <f t="shared" si="159"/>
        <v>11A31M</v>
      </c>
      <c r="LX47" s="309"/>
      <c r="LY47" s="309"/>
      <c r="NV47" s="357"/>
      <c r="QN47" s="357"/>
      <c r="QO47" s="66" t="s">
        <v>131</v>
      </c>
      <c r="QP47" s="124" t="s">
        <v>213</v>
      </c>
      <c r="QQ47" s="166" t="s">
        <v>20</v>
      </c>
      <c r="QR47" s="166" t="s">
        <v>14</v>
      </c>
      <c r="QS47" s="246" t="s">
        <v>43</v>
      </c>
      <c r="QT47" s="166" t="s">
        <v>10</v>
      </c>
      <c r="QU47" s="182" t="s">
        <v>185</v>
      </c>
      <c r="QV47" s="254" t="s">
        <v>199</v>
      </c>
      <c r="QW47" s="131" t="s">
        <v>22</v>
      </c>
      <c r="QX47" s="246" t="s">
        <v>43</v>
      </c>
      <c r="QY47" s="246" t="s">
        <v>43</v>
      </c>
      <c r="QZ47" s="246" t="s">
        <v>43</v>
      </c>
      <c r="RA47" s="221" t="s">
        <v>2</v>
      </c>
      <c r="RB47" s="246" t="s">
        <v>43</v>
      </c>
      <c r="RC47" s="125" t="s">
        <v>12</v>
      </c>
      <c r="RD47" s="199" t="s">
        <v>2</v>
      </c>
      <c r="RE47" s="131" t="s">
        <v>2</v>
      </c>
      <c r="RF47" s="254" t="s">
        <v>10</v>
      </c>
      <c r="RG47" s="254" t="s">
        <v>2</v>
      </c>
      <c r="RH47" s="246" t="s">
        <v>43</v>
      </c>
      <c r="RI47" s="225" t="s">
        <v>260</v>
      </c>
      <c r="RJ47" s="125" t="s">
        <v>11</v>
      </c>
      <c r="RK47" s="182" t="s">
        <v>2</v>
      </c>
      <c r="RL47" s="131" t="s">
        <v>6</v>
      </c>
      <c r="RM47" s="246" t="s">
        <v>43</v>
      </c>
      <c r="RN47" s="246" t="s">
        <v>43</v>
      </c>
      <c r="RO47" s="124" t="s">
        <v>201</v>
      </c>
      <c r="RP47" s="254" t="s">
        <v>5</v>
      </c>
      <c r="RQ47" s="230" t="s">
        <v>5</v>
      </c>
      <c r="RR47" s="246" t="s">
        <v>43</v>
      </c>
      <c r="RS47" s="254" t="s">
        <v>20</v>
      </c>
      <c r="RT47" s="235" t="s">
        <v>21</v>
      </c>
      <c r="RU47" s="246" t="s">
        <v>43</v>
      </c>
      <c r="RV47" s="182" t="s">
        <v>7</v>
      </c>
      <c r="RW47" s="182" t="s">
        <v>7</v>
      </c>
      <c r="RX47" s="246" t="s">
        <v>43</v>
      </c>
      <c r="RY47" s="254" t="s">
        <v>14</v>
      </c>
      <c r="RZ47" s="159" t="s">
        <v>185</v>
      </c>
      <c r="SA47" s="246" t="s">
        <v>43</v>
      </c>
      <c r="SB47" s="221" t="s">
        <v>1</v>
      </c>
      <c r="SC47" s="254" t="s">
        <v>205</v>
      </c>
      <c r="SD47" s="182" t="s">
        <v>10</v>
      </c>
      <c r="SE47" s="159" t="s">
        <v>14</v>
      </c>
      <c r="SF47" s="246" t="s">
        <v>43</v>
      </c>
      <c r="SG47" s="124" t="s">
        <v>214</v>
      </c>
      <c r="SH47" s="246" t="s">
        <v>43</v>
      </c>
      <c r="SI47" s="182" t="s">
        <v>1</v>
      </c>
      <c r="SJ47" s="211" t="s">
        <v>278</v>
      </c>
      <c r="SK47" s="322">
        <f t="shared" si="103"/>
        <v>360.85969619621721</v>
      </c>
      <c r="SM47" s="362">
        <v>34</v>
      </c>
      <c r="SO47"/>
      <c r="SP47"/>
      <c r="TP47" s="357"/>
      <c r="TQ47" s="66" t="s">
        <v>131</v>
      </c>
      <c r="TR47" s="306">
        <f t="shared" si="104"/>
        <v>5</v>
      </c>
      <c r="TS47" s="306">
        <f t="shared" si="105"/>
        <v>23</v>
      </c>
      <c r="TT47" s="306">
        <f t="shared" si="106"/>
        <v>20</v>
      </c>
      <c r="TU47" s="306">
        <f t="shared" si="107"/>
        <v>18</v>
      </c>
      <c r="TV47" s="306">
        <f t="shared" si="108"/>
        <v>2</v>
      </c>
      <c r="TW47" s="306">
        <f t="shared" si="109"/>
        <v>24</v>
      </c>
      <c r="TX47" s="306">
        <f t="shared" si="110"/>
        <v>2</v>
      </c>
      <c r="TY47" s="306">
        <f t="shared" si="111"/>
        <v>33</v>
      </c>
      <c r="TZ47" s="306">
        <f t="shared" si="112"/>
        <v>2</v>
      </c>
      <c r="UA47" s="306">
        <f t="shared" si="113"/>
        <v>2</v>
      </c>
      <c r="UB47" s="306">
        <f t="shared" si="114"/>
        <v>2</v>
      </c>
      <c r="UC47" s="306">
        <f t="shared" si="115"/>
        <v>23</v>
      </c>
      <c r="UD47" s="306">
        <f t="shared" si="116"/>
        <v>27</v>
      </c>
      <c r="UE47" s="306">
        <f t="shared" si="117"/>
        <v>9</v>
      </c>
      <c r="UF47" s="306">
        <f t="shared" si="118"/>
        <v>24</v>
      </c>
      <c r="UG47" s="306">
        <f t="shared" si="119"/>
        <v>13</v>
      </c>
      <c r="UH47" s="306">
        <f t="shared" si="120"/>
        <v>4</v>
      </c>
      <c r="UI47" s="306">
        <f t="shared" si="121"/>
        <v>4</v>
      </c>
      <c r="UJ47" s="306">
        <f t="shared" si="122"/>
        <v>26</v>
      </c>
      <c r="UK47" s="306">
        <f t="shared" si="123"/>
        <v>2</v>
      </c>
      <c r="UL47" s="306">
        <f t="shared" si="124"/>
        <v>26</v>
      </c>
      <c r="UM47" s="306">
        <f t="shared" si="125"/>
        <v>28</v>
      </c>
      <c r="UN47" s="306">
        <f t="shared" si="126"/>
        <v>18</v>
      </c>
      <c r="UO47" s="306">
        <f t="shared" si="127"/>
        <v>23</v>
      </c>
      <c r="UP47" s="306">
        <f t="shared" si="128"/>
        <v>13</v>
      </c>
      <c r="UQ47" s="306">
        <f t="shared" si="129"/>
        <v>30</v>
      </c>
      <c r="UR47" s="306">
        <f t="shared" si="130"/>
        <v>7</v>
      </c>
      <c r="US47" s="306">
        <f t="shared" si="131"/>
        <v>22</v>
      </c>
      <c r="UT47" s="306">
        <f t="shared" si="132"/>
        <v>30</v>
      </c>
      <c r="UU47" s="306">
        <f t="shared" si="133"/>
        <v>7</v>
      </c>
      <c r="UV47" s="306">
        <f t="shared" si="134"/>
        <v>31</v>
      </c>
      <c r="UW47" s="306">
        <f t="shared" si="135"/>
        <v>33</v>
      </c>
      <c r="UX47" s="306">
        <f t="shared" si="136"/>
        <v>32</v>
      </c>
      <c r="UY47" s="306">
        <f t="shared" si="137"/>
        <v>17</v>
      </c>
      <c r="UZ47" s="306">
        <f t="shared" si="138"/>
        <v>11</v>
      </c>
      <c r="VA47" s="306">
        <f t="shared" si="139"/>
        <v>8</v>
      </c>
      <c r="VB47" s="306">
        <f t="shared" si="140"/>
        <v>25</v>
      </c>
      <c r="VC47" s="306">
        <f t="shared" si="141"/>
        <v>18</v>
      </c>
      <c r="VD47" s="306">
        <f t="shared" si="142"/>
        <v>23</v>
      </c>
      <c r="VE47" s="306">
        <f t="shared" si="143"/>
        <v>10</v>
      </c>
      <c r="VF47" s="306">
        <f t="shared" si="144"/>
        <v>17</v>
      </c>
      <c r="VG47" s="306">
        <f t="shared" si="145"/>
        <v>23</v>
      </c>
      <c r="VH47" s="306">
        <f t="shared" si="146"/>
        <v>7</v>
      </c>
      <c r="VI47" s="306">
        <f t="shared" si="147"/>
        <v>6</v>
      </c>
      <c r="VJ47" s="306">
        <f t="shared" si="148"/>
        <v>6</v>
      </c>
      <c r="VK47" s="306">
        <f t="shared" si="149"/>
        <v>4</v>
      </c>
      <c r="VL47" s="306">
        <f t="shared" si="150"/>
        <v>2</v>
      </c>
      <c r="VN47" s="306">
        <f t="shared" si="151"/>
        <v>0</v>
      </c>
      <c r="WR47" s="357"/>
      <c r="WS47" s="184" t="s">
        <v>131</v>
      </c>
      <c r="WT47" s="225" t="s">
        <v>213</v>
      </c>
      <c r="WU47" s="246" t="s">
        <v>20</v>
      </c>
      <c r="WV47" s="246" t="s">
        <v>14</v>
      </c>
      <c r="WW47" s="246" t="s">
        <v>43</v>
      </c>
      <c r="WX47" s="246" t="s">
        <v>10</v>
      </c>
      <c r="WY47" s="246" t="s">
        <v>185</v>
      </c>
      <c r="WZ47" s="246" t="s">
        <v>199</v>
      </c>
      <c r="XA47" s="246" t="s">
        <v>22</v>
      </c>
      <c r="XB47" s="246" t="s">
        <v>43</v>
      </c>
      <c r="XC47" s="246" t="s">
        <v>43</v>
      </c>
      <c r="XD47" s="246" t="s">
        <v>43</v>
      </c>
      <c r="XE47" s="246" t="s">
        <v>2</v>
      </c>
      <c r="XF47" s="246" t="s">
        <v>43</v>
      </c>
      <c r="XG47" s="159" t="s">
        <v>12</v>
      </c>
      <c r="XH47" s="159" t="s">
        <v>2</v>
      </c>
      <c r="XI47" s="246" t="s">
        <v>2</v>
      </c>
      <c r="XJ47" s="246" t="s">
        <v>10</v>
      </c>
      <c r="XK47" s="246" t="s">
        <v>2</v>
      </c>
      <c r="XL47" s="246" t="s">
        <v>43</v>
      </c>
      <c r="XM47" s="225" t="s">
        <v>260</v>
      </c>
      <c r="XN47" s="159" t="s">
        <v>11</v>
      </c>
      <c r="XO47" s="159" t="s">
        <v>2</v>
      </c>
      <c r="XP47" s="246" t="s">
        <v>6</v>
      </c>
      <c r="XQ47" s="246" t="s">
        <v>43</v>
      </c>
      <c r="XR47" s="246" t="s">
        <v>43</v>
      </c>
      <c r="XS47" s="225" t="s">
        <v>201</v>
      </c>
      <c r="XT47" s="166" t="s">
        <v>5</v>
      </c>
      <c r="XU47" s="166" t="s">
        <v>5</v>
      </c>
      <c r="XV47" s="246" t="s">
        <v>43</v>
      </c>
      <c r="XW47" s="246" t="s">
        <v>20</v>
      </c>
      <c r="XX47" s="225" t="s">
        <v>21</v>
      </c>
      <c r="XY47" s="246" t="s">
        <v>43</v>
      </c>
      <c r="XZ47" s="166" t="s">
        <v>7</v>
      </c>
      <c r="YA47" s="166" t="s">
        <v>7</v>
      </c>
      <c r="YB47" s="246" t="s">
        <v>43</v>
      </c>
      <c r="YC47" s="246" t="s">
        <v>14</v>
      </c>
      <c r="YD47" s="246" t="s">
        <v>185</v>
      </c>
      <c r="YE47" s="246" t="s">
        <v>43</v>
      </c>
      <c r="YF47" s="246" t="s">
        <v>1</v>
      </c>
      <c r="YG47" s="246" t="s">
        <v>205</v>
      </c>
      <c r="YH47" s="246" t="s">
        <v>10</v>
      </c>
      <c r="YI47" s="246" t="s">
        <v>14</v>
      </c>
      <c r="YJ47" s="246" t="s">
        <v>43</v>
      </c>
      <c r="YK47" s="225" t="s">
        <v>214</v>
      </c>
      <c r="YL47" s="246" t="s">
        <v>43</v>
      </c>
      <c r="YM47" s="246" t="s">
        <v>1</v>
      </c>
      <c r="YN47" s="148" t="s">
        <v>278</v>
      </c>
      <c r="YO47" s="391"/>
      <c r="AFZ47" s="307"/>
    </row>
    <row r="48" spans="1:858" s="306" customFormat="1" ht="19.5" thickTop="1" thickBot="1" x14ac:dyDescent="0.3">
      <c r="A48" s="70">
        <v>39</v>
      </c>
      <c r="B48" s="305" t="s">
        <v>58</v>
      </c>
      <c r="C48" s="305" t="s">
        <v>0</v>
      </c>
      <c r="D48" s="305"/>
      <c r="E48" s="52" t="s">
        <v>50</v>
      </c>
      <c r="F48" s="128">
        <v>20995.351455408421</v>
      </c>
      <c r="X48" s="355"/>
      <c r="BO48" s="309"/>
      <c r="CH48" s="309"/>
      <c r="DG48" s="357"/>
      <c r="GM48" s="357"/>
      <c r="JN48" s="357"/>
      <c r="JO48" s="307"/>
      <c r="JR48" s="309"/>
      <c r="JS48" s="356">
        <f>+IF(ISERROR(INDEX(LZ14:LZ45,MATCH($JQ$47,$JQ$14:$JQ$45,0))),"",INDEX(LZ14:LZ45,MATCH($JQ$47,$JQ$14:$JQ$45,0)))</f>
        <v>10</v>
      </c>
      <c r="JT48" s="356">
        <f t="shared" ref="JT48:KO48" si="160">+IF(ISERROR(INDEX(MA14:MA45,MATCH($JQ$47,$JQ$14:$JQ$45,0))),"",INDEX(MA14:MA45,MATCH($JQ$47,$JQ$14:$JQ$45,0)))</f>
        <v>10</v>
      </c>
      <c r="JU48" s="356">
        <f t="shared" si="160"/>
        <v>16</v>
      </c>
      <c r="JV48" s="356">
        <f t="shared" si="160"/>
        <v>28</v>
      </c>
      <c r="JW48" s="356">
        <f t="shared" si="160"/>
        <v>17</v>
      </c>
      <c r="JX48" s="356">
        <f t="shared" si="160"/>
        <v>21</v>
      </c>
      <c r="JY48" s="356">
        <f t="shared" si="160"/>
        <v>19</v>
      </c>
      <c r="JZ48" s="356">
        <f t="shared" si="160"/>
        <v>23</v>
      </c>
      <c r="KA48" s="356">
        <f t="shared" si="160"/>
        <v>18</v>
      </c>
      <c r="KB48" s="356">
        <f t="shared" si="160"/>
        <v>9</v>
      </c>
      <c r="KC48" s="356">
        <f t="shared" si="160"/>
        <v>18</v>
      </c>
      <c r="KD48" s="356">
        <f t="shared" si="160"/>
        <v>21</v>
      </c>
      <c r="KE48" s="356">
        <f t="shared" si="160"/>
        <v>17</v>
      </c>
      <c r="KF48" s="356">
        <f t="shared" si="160"/>
        <v>10</v>
      </c>
      <c r="KG48" s="356">
        <f t="shared" si="160"/>
        <v>18</v>
      </c>
      <c r="KH48" s="356">
        <f t="shared" si="160"/>
        <v>11</v>
      </c>
      <c r="KI48" s="356">
        <f t="shared" si="160"/>
        <v>4</v>
      </c>
      <c r="KJ48" s="356">
        <f t="shared" si="160"/>
        <v>9</v>
      </c>
      <c r="KK48" s="356">
        <f t="shared" si="160"/>
        <v>8</v>
      </c>
      <c r="KL48" s="356">
        <f t="shared" si="160"/>
        <v>4</v>
      </c>
      <c r="KM48" s="356">
        <f t="shared" si="160"/>
        <v>3</v>
      </c>
      <c r="KN48" s="356">
        <f t="shared" si="160"/>
        <v>28</v>
      </c>
      <c r="KO48" s="356">
        <f t="shared" si="160"/>
        <v>23</v>
      </c>
      <c r="KR48" s="309"/>
      <c r="KS48" s="356">
        <f>+IF(ISERROR(INDEX(MY14:MY44,MATCH($KR$47,$KR$14:$KR$44,0))),"",INDEX(MY14:MY44,MATCH($KR$47,$KR$14:$KR$44,0)))</f>
        <v>25</v>
      </c>
      <c r="KT48" s="356">
        <f t="shared" ref="KT48:LG48" si="161">+IF(ISERROR(INDEX(MZ14:MZ44,MATCH($KR$47,$KR$14:$KR$44,0))),"",INDEX(MZ14:MZ44,MATCH($KR$47,$KR$14:$KR$44,0)))</f>
        <v>29</v>
      </c>
      <c r="KU48" s="356">
        <f t="shared" si="161"/>
        <v>28</v>
      </c>
      <c r="KV48" s="356">
        <f t="shared" si="161"/>
        <v>17</v>
      </c>
      <c r="KW48" s="356">
        <f t="shared" si="161"/>
        <v>16</v>
      </c>
      <c r="KX48" s="356">
        <f t="shared" si="161"/>
        <v>28</v>
      </c>
      <c r="KY48" s="356">
        <f t="shared" si="161"/>
        <v>29</v>
      </c>
      <c r="KZ48" s="356">
        <f t="shared" si="161"/>
        <v>29</v>
      </c>
      <c r="LA48" s="356">
        <f t="shared" si="161"/>
        <v>13</v>
      </c>
      <c r="LB48" s="356">
        <f t="shared" si="161"/>
        <v>26</v>
      </c>
      <c r="LC48" s="356">
        <f t="shared" si="161"/>
        <v>14</v>
      </c>
      <c r="LD48" s="356">
        <f t="shared" si="161"/>
        <v>13</v>
      </c>
      <c r="LE48" s="356">
        <f t="shared" si="161"/>
        <v>11</v>
      </c>
      <c r="LF48" s="356">
        <f t="shared" si="161"/>
        <v>26</v>
      </c>
      <c r="LG48" s="356">
        <f t="shared" si="161"/>
        <v>15</v>
      </c>
      <c r="LX48" s="309"/>
      <c r="LY48" s="309"/>
      <c r="NV48" s="357"/>
      <c r="QN48" s="357"/>
      <c r="QO48" s="66" t="s">
        <v>132</v>
      </c>
      <c r="QP48" s="204" t="s">
        <v>195</v>
      </c>
      <c r="QQ48" s="246" t="s">
        <v>14</v>
      </c>
      <c r="QR48" s="166" t="s">
        <v>14</v>
      </c>
      <c r="QS48" s="318" t="s">
        <v>43</v>
      </c>
      <c r="QT48" s="254" t="s">
        <v>11</v>
      </c>
      <c r="QU48" s="182" t="s">
        <v>185</v>
      </c>
      <c r="QV48" s="254" t="s">
        <v>2</v>
      </c>
      <c r="QW48" s="131" t="s">
        <v>22</v>
      </c>
      <c r="QX48" s="216" t="s">
        <v>198</v>
      </c>
      <c r="QY48" s="246" t="s">
        <v>8</v>
      </c>
      <c r="QZ48" s="254" t="s">
        <v>22</v>
      </c>
      <c r="RA48" s="246" t="s">
        <v>11</v>
      </c>
      <c r="RB48" s="246" t="s">
        <v>43</v>
      </c>
      <c r="RC48" s="125" t="s">
        <v>12</v>
      </c>
      <c r="RD48" s="199" t="s">
        <v>2</v>
      </c>
      <c r="RE48" s="246" t="s">
        <v>11</v>
      </c>
      <c r="RF48" s="159" t="s">
        <v>6</v>
      </c>
      <c r="RG48" s="246" t="s">
        <v>8</v>
      </c>
      <c r="RH48" s="246" t="s">
        <v>43</v>
      </c>
      <c r="RI48" s="246" t="s">
        <v>43</v>
      </c>
      <c r="RJ48" s="125" t="s">
        <v>11</v>
      </c>
      <c r="RK48" s="182" t="s">
        <v>2</v>
      </c>
      <c r="RL48" s="141" t="s">
        <v>8</v>
      </c>
      <c r="RM48" s="124" t="s">
        <v>203</v>
      </c>
      <c r="RN48" s="334" t="s">
        <v>212</v>
      </c>
      <c r="RO48" s="124" t="s">
        <v>201</v>
      </c>
      <c r="RP48" s="246" t="s">
        <v>43</v>
      </c>
      <c r="RQ48" s="230" t="s">
        <v>5</v>
      </c>
      <c r="RR48" s="246" t="s">
        <v>43</v>
      </c>
      <c r="RS48" s="159" t="s">
        <v>10</v>
      </c>
      <c r="RT48" s="235" t="s">
        <v>21</v>
      </c>
      <c r="RU48" s="246" t="s">
        <v>43</v>
      </c>
      <c r="RV48" s="182" t="s">
        <v>7</v>
      </c>
      <c r="RW48" s="240" t="s">
        <v>3</v>
      </c>
      <c r="RX48" s="325" t="s">
        <v>202</v>
      </c>
      <c r="RY48" s="240" t="s">
        <v>20</v>
      </c>
      <c r="RZ48" s="159" t="s">
        <v>185</v>
      </c>
      <c r="SA48" s="190" t="s">
        <v>211</v>
      </c>
      <c r="SB48" s="246" t="s">
        <v>43</v>
      </c>
      <c r="SC48" s="254" t="s">
        <v>205</v>
      </c>
      <c r="SD48" s="182" t="s">
        <v>10</v>
      </c>
      <c r="SE48" s="159" t="s">
        <v>14</v>
      </c>
      <c r="SF48" s="176" t="s">
        <v>7</v>
      </c>
      <c r="SG48" s="225" t="s">
        <v>218</v>
      </c>
      <c r="SH48" s="254" t="s">
        <v>15</v>
      </c>
      <c r="SI48" s="131" t="s">
        <v>5</v>
      </c>
      <c r="SJ48" s="221" t="s">
        <v>261</v>
      </c>
      <c r="SK48" s="322">
        <f t="shared" si="103"/>
        <v>33.117289234630192</v>
      </c>
      <c r="SM48" s="362">
        <v>35</v>
      </c>
      <c r="SO48"/>
      <c r="SP48"/>
      <c r="TP48" s="357"/>
      <c r="TQ48" s="66" t="s">
        <v>132</v>
      </c>
      <c r="TR48" s="306">
        <f t="shared" si="104"/>
        <v>31</v>
      </c>
      <c r="TS48" s="306">
        <f t="shared" si="105"/>
        <v>2</v>
      </c>
      <c r="TT48" s="306">
        <f t="shared" si="106"/>
        <v>20</v>
      </c>
      <c r="TU48" s="306">
        <f t="shared" si="107"/>
        <v>18</v>
      </c>
      <c r="TV48" s="306">
        <f t="shared" si="108"/>
        <v>4</v>
      </c>
      <c r="TW48" s="306">
        <f t="shared" si="109"/>
        <v>24</v>
      </c>
      <c r="TX48" s="306">
        <f t="shared" si="110"/>
        <v>3</v>
      </c>
      <c r="TY48" s="306">
        <f t="shared" si="111"/>
        <v>33</v>
      </c>
      <c r="TZ48" s="306">
        <f t="shared" si="112"/>
        <v>33</v>
      </c>
      <c r="UA48" s="306">
        <f t="shared" si="113"/>
        <v>24</v>
      </c>
      <c r="UB48" s="306">
        <f t="shared" si="114"/>
        <v>4</v>
      </c>
      <c r="UC48" s="306">
        <f t="shared" si="115"/>
        <v>1</v>
      </c>
      <c r="UD48" s="306">
        <f t="shared" si="116"/>
        <v>27</v>
      </c>
      <c r="UE48" s="306">
        <f t="shared" si="117"/>
        <v>9</v>
      </c>
      <c r="UF48" s="306">
        <f t="shared" si="118"/>
        <v>24</v>
      </c>
      <c r="UG48" s="306">
        <f t="shared" si="119"/>
        <v>1</v>
      </c>
      <c r="UH48" s="306">
        <f t="shared" si="120"/>
        <v>4</v>
      </c>
      <c r="UI48" s="306">
        <f t="shared" si="121"/>
        <v>32</v>
      </c>
      <c r="UJ48" s="306">
        <f t="shared" si="122"/>
        <v>26</v>
      </c>
      <c r="UK48" s="306">
        <f t="shared" si="123"/>
        <v>31</v>
      </c>
      <c r="UL48" s="306">
        <f t="shared" si="124"/>
        <v>26</v>
      </c>
      <c r="UM48" s="306">
        <f t="shared" si="125"/>
        <v>28</v>
      </c>
      <c r="UN48" s="306">
        <f t="shared" si="126"/>
        <v>8</v>
      </c>
      <c r="UO48" s="306">
        <f t="shared" si="127"/>
        <v>13</v>
      </c>
      <c r="UP48" s="306">
        <f t="shared" si="128"/>
        <v>12</v>
      </c>
      <c r="UQ48" s="306">
        <f t="shared" si="129"/>
        <v>30</v>
      </c>
      <c r="UR48" s="306">
        <f t="shared" si="130"/>
        <v>13</v>
      </c>
      <c r="US48" s="306">
        <f t="shared" si="131"/>
        <v>22</v>
      </c>
      <c r="UT48" s="306">
        <f t="shared" si="132"/>
        <v>30</v>
      </c>
      <c r="UU48" s="306">
        <f t="shared" si="133"/>
        <v>22</v>
      </c>
      <c r="UV48" s="306">
        <f t="shared" si="134"/>
        <v>31</v>
      </c>
      <c r="UW48" s="306">
        <f t="shared" si="135"/>
        <v>33</v>
      </c>
      <c r="UX48" s="306">
        <f t="shared" si="136"/>
        <v>32</v>
      </c>
      <c r="UY48" s="306">
        <f t="shared" si="137"/>
        <v>19</v>
      </c>
      <c r="UZ48" s="306">
        <f t="shared" si="138"/>
        <v>5</v>
      </c>
      <c r="VA48" s="306">
        <f t="shared" si="139"/>
        <v>5</v>
      </c>
      <c r="VB48" s="306">
        <f t="shared" si="140"/>
        <v>25</v>
      </c>
      <c r="VC48" s="306">
        <f t="shared" si="141"/>
        <v>13</v>
      </c>
      <c r="VD48" s="306">
        <f t="shared" si="142"/>
        <v>13</v>
      </c>
      <c r="VE48" s="306">
        <f t="shared" si="143"/>
        <v>10</v>
      </c>
      <c r="VF48" s="306">
        <f t="shared" si="144"/>
        <v>17</v>
      </c>
      <c r="VG48" s="306">
        <f t="shared" si="145"/>
        <v>23</v>
      </c>
      <c r="VH48" s="306">
        <f t="shared" si="146"/>
        <v>29</v>
      </c>
      <c r="VI48" s="306">
        <f t="shared" si="147"/>
        <v>2</v>
      </c>
      <c r="VJ48" s="306">
        <f t="shared" si="148"/>
        <v>30</v>
      </c>
      <c r="VK48" s="306">
        <f t="shared" si="149"/>
        <v>32</v>
      </c>
      <c r="VL48" s="306">
        <f t="shared" si="150"/>
        <v>25</v>
      </c>
      <c r="VN48" s="306">
        <f t="shared" si="151"/>
        <v>0</v>
      </c>
      <c r="WR48" s="357"/>
      <c r="WS48" s="184" t="s">
        <v>132</v>
      </c>
      <c r="WT48" s="225" t="s">
        <v>195</v>
      </c>
      <c r="WU48" s="246" t="s">
        <v>14</v>
      </c>
      <c r="WV48" s="246" t="s">
        <v>14</v>
      </c>
      <c r="WW48" s="318" t="s">
        <v>43</v>
      </c>
      <c r="WX48" s="246" t="s">
        <v>11</v>
      </c>
      <c r="WY48" s="246" t="s">
        <v>185</v>
      </c>
      <c r="WZ48" s="246" t="s">
        <v>2</v>
      </c>
      <c r="XA48" s="246" t="s">
        <v>22</v>
      </c>
      <c r="XB48" s="225" t="s">
        <v>198</v>
      </c>
      <c r="XC48" s="246" t="s">
        <v>8</v>
      </c>
      <c r="XD48" s="246" t="s">
        <v>22</v>
      </c>
      <c r="XE48" s="246" t="s">
        <v>11</v>
      </c>
      <c r="XF48" s="246" t="s">
        <v>43</v>
      </c>
      <c r="XG48" s="159" t="s">
        <v>12</v>
      </c>
      <c r="XH48" s="159" t="s">
        <v>2</v>
      </c>
      <c r="XI48" s="246" t="s">
        <v>11</v>
      </c>
      <c r="XJ48" s="254" t="s">
        <v>6</v>
      </c>
      <c r="XK48" s="254" t="s">
        <v>8</v>
      </c>
      <c r="XL48" s="246" t="s">
        <v>43</v>
      </c>
      <c r="XM48" s="246" t="s">
        <v>43</v>
      </c>
      <c r="XN48" s="159" t="s">
        <v>11</v>
      </c>
      <c r="XO48" s="159" t="s">
        <v>2</v>
      </c>
      <c r="XP48" s="246" t="s">
        <v>8</v>
      </c>
      <c r="XQ48" s="225" t="s">
        <v>203</v>
      </c>
      <c r="XR48" s="334" t="s">
        <v>212</v>
      </c>
      <c r="XS48" s="225" t="s">
        <v>201</v>
      </c>
      <c r="XT48" s="246" t="s">
        <v>43</v>
      </c>
      <c r="XU48" s="246" t="s">
        <v>5</v>
      </c>
      <c r="XV48" s="246" t="s">
        <v>43</v>
      </c>
      <c r="XW48" s="159" t="s">
        <v>10</v>
      </c>
      <c r="XX48" s="225" t="s">
        <v>21</v>
      </c>
      <c r="XY48" s="246" t="s">
        <v>43</v>
      </c>
      <c r="XZ48" s="240" t="s">
        <v>7</v>
      </c>
      <c r="YA48" s="240" t="s">
        <v>3</v>
      </c>
      <c r="YB48" s="327" t="s">
        <v>202</v>
      </c>
      <c r="YC48" s="246" t="s">
        <v>20</v>
      </c>
      <c r="YD48" s="246" t="s">
        <v>185</v>
      </c>
      <c r="YE48" s="225" t="s">
        <v>211</v>
      </c>
      <c r="YF48" s="246" t="s">
        <v>43</v>
      </c>
      <c r="YG48" s="246" t="s">
        <v>205</v>
      </c>
      <c r="YH48" s="246" t="s">
        <v>10</v>
      </c>
      <c r="YI48" s="246" t="s">
        <v>14</v>
      </c>
      <c r="YJ48" s="159" t="s">
        <v>7</v>
      </c>
      <c r="YK48" s="124" t="s">
        <v>218</v>
      </c>
      <c r="YL48" s="159" t="s">
        <v>15</v>
      </c>
      <c r="YM48" s="246" t="s">
        <v>5</v>
      </c>
      <c r="YN48" s="246" t="s">
        <v>261</v>
      </c>
      <c r="YO48" s="391"/>
      <c r="AFZ48" s="307"/>
    </row>
    <row r="49" spans="1:858" s="306" customFormat="1" ht="19.5" thickTop="1" thickBot="1" x14ac:dyDescent="0.3">
      <c r="A49" s="70">
        <v>40</v>
      </c>
      <c r="B49" s="305" t="s">
        <v>59</v>
      </c>
      <c r="C49" s="305" t="s">
        <v>0</v>
      </c>
      <c r="D49" s="305"/>
      <c r="E49" s="52" t="s">
        <v>50</v>
      </c>
      <c r="F49" s="128">
        <v>22584.03091856368</v>
      </c>
      <c r="X49" s="355"/>
      <c r="AP49" s="392" t="s">
        <v>290</v>
      </c>
      <c r="AQ49" s="393" t="s">
        <v>291</v>
      </c>
      <c r="AR49" s="393"/>
      <c r="AS49" s="394"/>
      <c r="AT49" s="393"/>
      <c r="AU49" s="393"/>
      <c r="AV49" s="393"/>
      <c r="AW49" s="393" t="s">
        <v>292</v>
      </c>
      <c r="AX49" s="394"/>
      <c r="AY49" s="394"/>
      <c r="AZ49" s="395"/>
      <c r="BA49" s="394"/>
      <c r="BB49" s="394"/>
      <c r="BC49" s="396"/>
      <c r="BD49" s="397"/>
      <c r="BO49" s="309"/>
      <c r="BU49" s="392" t="s">
        <v>290</v>
      </c>
      <c r="BV49" s="393" t="s">
        <v>291</v>
      </c>
      <c r="BW49" s="394"/>
      <c r="BX49" s="394"/>
      <c r="BY49" s="394"/>
      <c r="BZ49" s="394"/>
      <c r="CA49" s="393" t="s">
        <v>292</v>
      </c>
      <c r="CB49" s="394"/>
      <c r="CC49" s="394"/>
      <c r="CD49" s="394"/>
      <c r="CE49" s="394"/>
      <c r="CF49" s="394"/>
      <c r="CG49" s="398"/>
      <c r="CH49" s="398"/>
      <c r="CI49" s="399"/>
      <c r="CJ49" s="399"/>
      <c r="CK49" s="399"/>
      <c r="CL49" s="400"/>
      <c r="CN49" s="316"/>
      <c r="CO49" s="316"/>
      <c r="CP49" s="316"/>
      <c r="DG49" s="357"/>
      <c r="GM49" s="357"/>
      <c r="JN49" s="357"/>
      <c r="JO49" s="307"/>
      <c r="JQ49" s="351" t="s">
        <v>273</v>
      </c>
      <c r="JR49" s="309"/>
      <c r="JS49" s="401">
        <f>+IF(OR(JS48="",JS47="*"),0,COUNTIF(NX402:NX432,JS47))</f>
        <v>0</v>
      </c>
      <c r="JT49" s="402">
        <f t="shared" ref="JT49:KO49" si="162">+IF(OR(JT48="",JT47="*"),0,COUNTIF(NY402:NY432,JT47))</f>
        <v>0</v>
      </c>
      <c r="JU49" s="402">
        <f t="shared" si="162"/>
        <v>0</v>
      </c>
      <c r="JV49" s="402">
        <f t="shared" si="162"/>
        <v>0</v>
      </c>
      <c r="JW49" s="402">
        <f t="shared" si="162"/>
        <v>0</v>
      </c>
      <c r="JX49" s="402">
        <f t="shared" si="162"/>
        <v>0</v>
      </c>
      <c r="JY49" s="402">
        <f t="shared" si="162"/>
        <v>0</v>
      </c>
      <c r="JZ49" s="402">
        <f t="shared" si="162"/>
        <v>0</v>
      </c>
      <c r="KA49" s="402">
        <f t="shared" si="162"/>
        <v>0</v>
      </c>
      <c r="KB49" s="402">
        <f t="shared" si="162"/>
        <v>0</v>
      </c>
      <c r="KC49" s="402">
        <f t="shared" si="162"/>
        <v>0</v>
      </c>
      <c r="KD49" s="402">
        <f t="shared" si="162"/>
        <v>0</v>
      </c>
      <c r="KE49" s="402">
        <f t="shared" si="162"/>
        <v>0</v>
      </c>
      <c r="KF49" s="402">
        <f t="shared" si="162"/>
        <v>0</v>
      </c>
      <c r="KG49" s="402">
        <f t="shared" si="162"/>
        <v>0</v>
      </c>
      <c r="KH49" s="402">
        <f t="shared" si="162"/>
        <v>0</v>
      </c>
      <c r="KI49" s="402">
        <f t="shared" si="162"/>
        <v>0</v>
      </c>
      <c r="KJ49" s="402">
        <f t="shared" si="162"/>
        <v>0</v>
      </c>
      <c r="KK49" s="402">
        <f t="shared" si="162"/>
        <v>0</v>
      </c>
      <c r="KL49" s="402">
        <f t="shared" si="162"/>
        <v>0</v>
      </c>
      <c r="KM49" s="402">
        <f t="shared" si="162"/>
        <v>0</v>
      </c>
      <c r="KN49" s="402">
        <f t="shared" si="162"/>
        <v>0</v>
      </c>
      <c r="KO49" s="403">
        <f t="shared" si="162"/>
        <v>0</v>
      </c>
      <c r="KR49" s="351" t="s">
        <v>273</v>
      </c>
      <c r="KS49" s="302">
        <f>+IF(OR(KS47="*",KS48=""),0,COUNTIF(OW402:OW432,KS47))</f>
        <v>0</v>
      </c>
      <c r="KT49" s="301">
        <f t="shared" ref="KT49:LG49" si="163">+IF(OR(KT47="*",KT48=""),0,COUNTIF(OX402:OX432,KT47))</f>
        <v>0</v>
      </c>
      <c r="KU49" s="301">
        <f t="shared" si="163"/>
        <v>0</v>
      </c>
      <c r="KV49" s="301">
        <f t="shared" si="163"/>
        <v>0</v>
      </c>
      <c r="KW49" s="301">
        <f t="shared" si="163"/>
        <v>0</v>
      </c>
      <c r="KX49" s="301">
        <f t="shared" si="163"/>
        <v>0</v>
      </c>
      <c r="KY49" s="301">
        <f t="shared" si="163"/>
        <v>0</v>
      </c>
      <c r="KZ49" s="301">
        <f t="shared" si="163"/>
        <v>0</v>
      </c>
      <c r="LA49" s="301">
        <f t="shared" si="163"/>
        <v>0</v>
      </c>
      <c r="LB49" s="301">
        <f t="shared" si="163"/>
        <v>0</v>
      </c>
      <c r="LC49" s="301">
        <f t="shared" si="163"/>
        <v>0</v>
      </c>
      <c r="LD49" s="301">
        <f t="shared" si="163"/>
        <v>0</v>
      </c>
      <c r="LE49" s="301">
        <f t="shared" si="163"/>
        <v>0</v>
      </c>
      <c r="LF49" s="301">
        <f t="shared" si="163"/>
        <v>0</v>
      </c>
      <c r="LG49" s="303">
        <f t="shared" si="163"/>
        <v>0</v>
      </c>
      <c r="LX49" s="309"/>
      <c r="LY49" s="309"/>
      <c r="NV49" s="357"/>
      <c r="QN49" s="357"/>
      <c r="QO49" s="66" t="s">
        <v>134</v>
      </c>
      <c r="QP49" s="204" t="s">
        <v>195</v>
      </c>
      <c r="QQ49" s="246" t="s">
        <v>14</v>
      </c>
      <c r="QR49" s="166" t="s">
        <v>14</v>
      </c>
      <c r="QS49" s="318" t="s">
        <v>43</v>
      </c>
      <c r="QT49" s="254" t="s">
        <v>11</v>
      </c>
      <c r="QU49" s="182" t="s">
        <v>185</v>
      </c>
      <c r="QV49" s="254" t="s">
        <v>2</v>
      </c>
      <c r="QW49" s="131" t="s">
        <v>22</v>
      </c>
      <c r="QX49" s="216" t="s">
        <v>198</v>
      </c>
      <c r="QY49" s="246" t="s">
        <v>8</v>
      </c>
      <c r="QZ49" s="254" t="s">
        <v>22</v>
      </c>
      <c r="RA49" s="254" t="s">
        <v>3</v>
      </c>
      <c r="RB49" s="246" t="s">
        <v>43</v>
      </c>
      <c r="RC49" s="125" t="s">
        <v>12</v>
      </c>
      <c r="RD49" s="199" t="s">
        <v>2</v>
      </c>
      <c r="RE49" s="131" t="s">
        <v>205</v>
      </c>
      <c r="RF49" s="159" t="s">
        <v>7</v>
      </c>
      <c r="RG49" s="159" t="s">
        <v>8</v>
      </c>
      <c r="RH49" s="246" t="s">
        <v>43</v>
      </c>
      <c r="RI49" s="246" t="s">
        <v>43</v>
      </c>
      <c r="RJ49" s="125" t="s">
        <v>11</v>
      </c>
      <c r="RK49" s="182" t="s">
        <v>2</v>
      </c>
      <c r="RL49" s="141" t="s">
        <v>12</v>
      </c>
      <c r="RM49" s="246" t="s">
        <v>43</v>
      </c>
      <c r="RN49" s="352" t="s">
        <v>200</v>
      </c>
      <c r="RO49" s="124" t="s">
        <v>201</v>
      </c>
      <c r="RP49" s="182" t="s">
        <v>14</v>
      </c>
      <c r="RQ49" s="254" t="s">
        <v>10</v>
      </c>
      <c r="RR49" s="246" t="s">
        <v>43</v>
      </c>
      <c r="RS49" s="159" t="s">
        <v>10</v>
      </c>
      <c r="RT49" s="235" t="s">
        <v>21</v>
      </c>
      <c r="RU49" s="246" t="s">
        <v>43</v>
      </c>
      <c r="RV49" s="240" t="s">
        <v>10</v>
      </c>
      <c r="RW49" s="182" t="s">
        <v>7</v>
      </c>
      <c r="RX49" s="325" t="s">
        <v>202</v>
      </c>
      <c r="RY49" s="240" t="s">
        <v>20</v>
      </c>
      <c r="RZ49" s="159" t="s">
        <v>185</v>
      </c>
      <c r="SA49" s="190" t="s">
        <v>211</v>
      </c>
      <c r="SB49" s="246" t="s">
        <v>43</v>
      </c>
      <c r="SC49" s="254" t="s">
        <v>205</v>
      </c>
      <c r="SD49" s="182" t="s">
        <v>10</v>
      </c>
      <c r="SE49" s="159" t="s">
        <v>14</v>
      </c>
      <c r="SF49" s="176" t="s">
        <v>7</v>
      </c>
      <c r="SG49" s="225" t="s">
        <v>218</v>
      </c>
      <c r="SH49" s="254" t="s">
        <v>15</v>
      </c>
      <c r="SI49" s="131" t="s">
        <v>5</v>
      </c>
      <c r="SJ49" s="221" t="s">
        <v>261</v>
      </c>
      <c r="SK49" s="322">
        <f t="shared" si="103"/>
        <v>1056.677617361782</v>
      </c>
      <c r="SM49" s="404">
        <v>36</v>
      </c>
      <c r="SO49"/>
      <c r="SP49"/>
      <c r="TP49" s="357"/>
      <c r="TQ49" s="66" t="s">
        <v>134</v>
      </c>
      <c r="TR49" s="306">
        <f t="shared" si="104"/>
        <v>31</v>
      </c>
      <c r="TS49" s="306">
        <f t="shared" si="105"/>
        <v>2</v>
      </c>
      <c r="TT49" s="306">
        <f t="shared" si="106"/>
        <v>20</v>
      </c>
      <c r="TU49" s="306">
        <f t="shared" si="107"/>
        <v>18</v>
      </c>
      <c r="TV49" s="306">
        <f t="shared" si="108"/>
        <v>4</v>
      </c>
      <c r="TW49" s="306">
        <f t="shared" si="109"/>
        <v>24</v>
      </c>
      <c r="TX49" s="306">
        <f t="shared" si="110"/>
        <v>3</v>
      </c>
      <c r="TY49" s="306">
        <f t="shared" si="111"/>
        <v>33</v>
      </c>
      <c r="TZ49" s="306">
        <f t="shared" si="112"/>
        <v>33</v>
      </c>
      <c r="UA49" s="306">
        <f t="shared" si="113"/>
        <v>24</v>
      </c>
      <c r="UB49" s="306">
        <f t="shared" si="114"/>
        <v>4</v>
      </c>
      <c r="UC49" s="306">
        <f t="shared" si="115"/>
        <v>3</v>
      </c>
      <c r="UD49" s="306">
        <f t="shared" si="116"/>
        <v>27</v>
      </c>
      <c r="UE49" s="306">
        <f t="shared" si="117"/>
        <v>9</v>
      </c>
      <c r="UF49" s="306">
        <f t="shared" si="118"/>
        <v>24</v>
      </c>
      <c r="UG49" s="306">
        <f t="shared" si="119"/>
        <v>7</v>
      </c>
      <c r="UH49" s="306">
        <f t="shared" si="120"/>
        <v>28</v>
      </c>
      <c r="UI49" s="306">
        <f t="shared" si="121"/>
        <v>32</v>
      </c>
      <c r="UJ49" s="306">
        <f t="shared" si="122"/>
        <v>26</v>
      </c>
      <c r="UK49" s="306">
        <f t="shared" si="123"/>
        <v>31</v>
      </c>
      <c r="UL49" s="306">
        <f t="shared" si="124"/>
        <v>26</v>
      </c>
      <c r="UM49" s="306">
        <f t="shared" si="125"/>
        <v>28</v>
      </c>
      <c r="UN49" s="306">
        <f t="shared" si="126"/>
        <v>10</v>
      </c>
      <c r="UO49" s="306">
        <f t="shared" si="127"/>
        <v>23</v>
      </c>
      <c r="UP49" s="306">
        <f t="shared" si="128"/>
        <v>11</v>
      </c>
      <c r="UQ49" s="306">
        <f t="shared" si="129"/>
        <v>30</v>
      </c>
      <c r="UR49" s="306">
        <f t="shared" si="130"/>
        <v>16</v>
      </c>
      <c r="US49" s="306">
        <f t="shared" si="131"/>
        <v>4</v>
      </c>
      <c r="UT49" s="306">
        <f t="shared" si="132"/>
        <v>30</v>
      </c>
      <c r="UU49" s="306">
        <f t="shared" si="133"/>
        <v>22</v>
      </c>
      <c r="UV49" s="306">
        <f t="shared" si="134"/>
        <v>31</v>
      </c>
      <c r="UW49" s="306">
        <f t="shared" si="135"/>
        <v>33</v>
      </c>
      <c r="UX49" s="306">
        <f t="shared" si="136"/>
        <v>4</v>
      </c>
      <c r="UY49" s="306">
        <f t="shared" si="137"/>
        <v>17</v>
      </c>
      <c r="UZ49" s="306">
        <f t="shared" si="138"/>
        <v>5</v>
      </c>
      <c r="VA49" s="306">
        <f t="shared" si="139"/>
        <v>5</v>
      </c>
      <c r="VB49" s="306">
        <f t="shared" si="140"/>
        <v>25</v>
      </c>
      <c r="VC49" s="306">
        <f t="shared" si="141"/>
        <v>13</v>
      </c>
      <c r="VD49" s="306">
        <f t="shared" si="142"/>
        <v>13</v>
      </c>
      <c r="VE49" s="306">
        <f t="shared" si="143"/>
        <v>10</v>
      </c>
      <c r="VF49" s="306">
        <f t="shared" si="144"/>
        <v>17</v>
      </c>
      <c r="VG49" s="306">
        <f t="shared" si="145"/>
        <v>23</v>
      </c>
      <c r="VH49" s="306">
        <f t="shared" si="146"/>
        <v>29</v>
      </c>
      <c r="VI49" s="306">
        <f t="shared" si="147"/>
        <v>2</v>
      </c>
      <c r="VJ49" s="306">
        <f t="shared" si="148"/>
        <v>30</v>
      </c>
      <c r="VK49" s="306">
        <f t="shared" si="149"/>
        <v>32</v>
      </c>
      <c r="VL49" s="306">
        <f t="shared" si="150"/>
        <v>25</v>
      </c>
      <c r="VN49" s="306">
        <f t="shared" si="151"/>
        <v>0</v>
      </c>
      <c r="WR49" s="357"/>
      <c r="WS49" s="133" t="s">
        <v>134</v>
      </c>
      <c r="WT49" s="127" t="s">
        <v>195</v>
      </c>
      <c r="WU49" s="200" t="s">
        <v>14</v>
      </c>
      <c r="WV49" s="200" t="s">
        <v>14</v>
      </c>
      <c r="WW49" s="353" t="s">
        <v>43</v>
      </c>
      <c r="WX49" s="200" t="s">
        <v>11</v>
      </c>
      <c r="WY49" s="200" t="s">
        <v>185</v>
      </c>
      <c r="WZ49" s="200" t="s">
        <v>2</v>
      </c>
      <c r="XA49" s="200" t="s">
        <v>22</v>
      </c>
      <c r="XB49" s="127" t="s">
        <v>198</v>
      </c>
      <c r="XC49" s="200" t="s">
        <v>8</v>
      </c>
      <c r="XD49" s="194" t="s">
        <v>22</v>
      </c>
      <c r="XE49" s="194" t="s">
        <v>3</v>
      </c>
      <c r="XF49" s="200" t="s">
        <v>43</v>
      </c>
      <c r="XG49" s="228" t="s">
        <v>12</v>
      </c>
      <c r="XH49" s="228" t="s">
        <v>2</v>
      </c>
      <c r="XI49" s="162" t="s">
        <v>205</v>
      </c>
      <c r="XJ49" s="162" t="s">
        <v>7</v>
      </c>
      <c r="XK49" s="162" t="s">
        <v>8</v>
      </c>
      <c r="XL49" s="200" t="s">
        <v>43</v>
      </c>
      <c r="XM49" s="200" t="s">
        <v>43</v>
      </c>
      <c r="XN49" s="228" t="s">
        <v>11</v>
      </c>
      <c r="XO49" s="228" t="s">
        <v>2</v>
      </c>
      <c r="XP49" s="200" t="s">
        <v>12</v>
      </c>
      <c r="XQ49" s="200" t="s">
        <v>43</v>
      </c>
      <c r="XR49" s="354" t="s">
        <v>200</v>
      </c>
      <c r="XS49" s="127" t="s">
        <v>201</v>
      </c>
      <c r="XT49" s="162" t="s">
        <v>14</v>
      </c>
      <c r="XU49" s="162" t="s">
        <v>10</v>
      </c>
      <c r="XV49" s="200" t="s">
        <v>43</v>
      </c>
      <c r="XW49" s="228" t="s">
        <v>10</v>
      </c>
      <c r="XX49" s="127" t="s">
        <v>21</v>
      </c>
      <c r="XY49" s="200" t="s">
        <v>43</v>
      </c>
      <c r="XZ49" s="228" t="s">
        <v>10</v>
      </c>
      <c r="YA49" s="228" t="s">
        <v>7</v>
      </c>
      <c r="YB49" s="354" t="s">
        <v>202</v>
      </c>
      <c r="YC49" s="200" t="s">
        <v>20</v>
      </c>
      <c r="YD49" s="200" t="s">
        <v>185</v>
      </c>
      <c r="YE49" s="127" t="s">
        <v>211</v>
      </c>
      <c r="YF49" s="200" t="s">
        <v>43</v>
      </c>
      <c r="YG49" s="200" t="s">
        <v>205</v>
      </c>
      <c r="YH49" s="200" t="s">
        <v>10</v>
      </c>
      <c r="YI49" s="200" t="s">
        <v>14</v>
      </c>
      <c r="YJ49" s="228" t="s">
        <v>7</v>
      </c>
      <c r="YK49" s="144" t="s">
        <v>218</v>
      </c>
      <c r="YL49" s="228" t="s">
        <v>15</v>
      </c>
      <c r="YM49" s="200" t="s">
        <v>5</v>
      </c>
      <c r="YN49" s="246" t="s">
        <v>261</v>
      </c>
      <c r="YO49" s="391"/>
      <c r="AFZ49" s="307"/>
    </row>
    <row r="50" spans="1:858" s="306" customFormat="1" ht="21.75" thickTop="1" x14ac:dyDescent="0.35">
      <c r="A50" s="70">
        <v>41</v>
      </c>
      <c r="B50" s="305" t="s">
        <v>60</v>
      </c>
      <c r="C50" s="305" t="s">
        <v>0</v>
      </c>
      <c r="D50" s="305"/>
      <c r="E50" s="52" t="s">
        <v>50</v>
      </c>
      <c r="F50" s="128">
        <v>22194.388357431144</v>
      </c>
      <c r="X50" s="355"/>
      <c r="AP50" s="405" t="s">
        <v>243</v>
      </c>
      <c r="AQ50" s="406" t="s">
        <v>293</v>
      </c>
      <c r="AR50" s="407"/>
      <c r="AS50" s="408"/>
      <c r="AT50" s="408"/>
      <c r="AU50" s="408"/>
      <c r="AV50" s="408"/>
      <c r="AW50" s="409" t="s">
        <v>294</v>
      </c>
      <c r="AX50" s="406"/>
      <c r="AY50" s="408"/>
      <c r="AZ50" s="406"/>
      <c r="BA50" s="410"/>
      <c r="BB50" s="408"/>
      <c r="BC50" s="406"/>
      <c r="BD50" s="411"/>
      <c r="BO50" s="309"/>
      <c r="BU50" s="412" t="s">
        <v>253</v>
      </c>
      <c r="BV50" s="406" t="s">
        <v>301</v>
      </c>
      <c r="BW50" s="408"/>
      <c r="BX50" s="408"/>
      <c r="BY50" s="408"/>
      <c r="BZ50" s="408"/>
      <c r="CA50" s="413" t="s">
        <v>302</v>
      </c>
      <c r="CB50" s="406"/>
      <c r="CC50" s="406"/>
      <c r="CD50" s="406"/>
      <c r="CE50" s="408"/>
      <c r="CF50" s="408"/>
      <c r="CG50" s="414"/>
      <c r="CH50" s="414"/>
      <c r="CI50" s="414"/>
      <c r="CJ50" s="414"/>
      <c r="CK50" s="414"/>
      <c r="CL50" s="415"/>
      <c r="CM50" s="316"/>
      <c r="CN50" s="316"/>
      <c r="CO50" s="316"/>
      <c r="CP50" s="316"/>
      <c r="DG50" s="357"/>
      <c r="GM50" s="357"/>
      <c r="JN50" s="357"/>
      <c r="JO50" s="307"/>
      <c r="JR50" s="309"/>
      <c r="JU50" s="307"/>
      <c r="KR50" s="309"/>
      <c r="LG50" s="309"/>
      <c r="LX50" s="309"/>
      <c r="LY50" s="309"/>
      <c r="NV50" s="357"/>
      <c r="QN50" s="357"/>
      <c r="TP50" s="357"/>
      <c r="WR50" s="357"/>
      <c r="AFZ50" s="307"/>
    </row>
    <row r="51" spans="1:858" s="306" customFormat="1" ht="21.75" thickBot="1" x14ac:dyDescent="0.4">
      <c r="A51" s="70">
        <v>42</v>
      </c>
      <c r="B51" s="305" t="s">
        <v>61</v>
      </c>
      <c r="C51" s="305" t="s">
        <v>0</v>
      </c>
      <c r="D51" s="305"/>
      <c r="E51" s="52" t="s">
        <v>50</v>
      </c>
      <c r="F51" s="128">
        <v>21999.553583574834</v>
      </c>
      <c r="X51" s="355"/>
      <c r="AP51" s="405" t="s">
        <v>329</v>
      </c>
      <c r="AQ51" s="406" t="s">
        <v>295</v>
      </c>
      <c r="AR51" s="407"/>
      <c r="AS51" s="408"/>
      <c r="AT51" s="406"/>
      <c r="AU51" s="406"/>
      <c r="AV51" s="408"/>
      <c r="AW51" s="416" t="s">
        <v>296</v>
      </c>
      <c r="AX51" s="406"/>
      <c r="AY51" s="408"/>
      <c r="AZ51" s="406"/>
      <c r="BA51" s="410"/>
      <c r="BB51" s="408"/>
      <c r="BC51" s="406"/>
      <c r="BD51" s="417"/>
      <c r="BO51" s="309"/>
      <c r="BU51" s="412" t="s">
        <v>254</v>
      </c>
      <c r="BV51" s="406" t="s">
        <v>303</v>
      </c>
      <c r="BW51" s="408"/>
      <c r="BX51" s="408"/>
      <c r="BY51" s="408"/>
      <c r="BZ51" s="408"/>
      <c r="CA51" s="418" t="s">
        <v>304</v>
      </c>
      <c r="CB51" s="406"/>
      <c r="CC51" s="408"/>
      <c r="CD51" s="406"/>
      <c r="CE51" s="406"/>
      <c r="CF51" s="406"/>
      <c r="CG51" s="414"/>
      <c r="CH51" s="414"/>
      <c r="CI51" s="414"/>
      <c r="CJ51" s="414"/>
      <c r="CK51" s="414"/>
      <c r="CL51" s="415"/>
      <c r="CM51" s="316"/>
      <c r="CN51" s="316"/>
      <c r="CO51" s="316"/>
      <c r="CP51" s="316"/>
      <c r="DG51" s="357"/>
      <c r="GM51" s="357"/>
      <c r="JN51" s="357"/>
      <c r="JO51" s="307"/>
      <c r="KR51" s="309"/>
      <c r="LG51" s="309"/>
      <c r="LX51" s="309"/>
      <c r="LY51" s="309"/>
      <c r="NV51" s="357"/>
      <c r="QN51" s="357"/>
      <c r="QO51" s="261" t="s">
        <v>272</v>
      </c>
      <c r="QP51" s="351"/>
      <c r="TP51" s="357"/>
      <c r="WR51" s="357"/>
      <c r="AFZ51" s="307"/>
    </row>
    <row r="52" spans="1:858" s="306" customFormat="1" ht="22.5" thickTop="1" thickBot="1" x14ac:dyDescent="0.4">
      <c r="A52" s="70">
        <v>43</v>
      </c>
      <c r="B52" s="305" t="s">
        <v>58</v>
      </c>
      <c r="C52" s="305" t="s">
        <v>16</v>
      </c>
      <c r="D52" s="305"/>
      <c r="E52" s="52" t="s">
        <v>50</v>
      </c>
      <c r="F52" s="128">
        <v>21542.844775229001</v>
      </c>
      <c r="X52" s="355"/>
      <c r="AP52" s="405" t="s">
        <v>247</v>
      </c>
      <c r="AQ52" s="406" t="s">
        <v>297</v>
      </c>
      <c r="AR52" s="407"/>
      <c r="AS52" s="408"/>
      <c r="AT52" s="406"/>
      <c r="AU52" s="406"/>
      <c r="AV52" s="408"/>
      <c r="AW52" s="416" t="s">
        <v>298</v>
      </c>
      <c r="AX52" s="406"/>
      <c r="AY52" s="408"/>
      <c r="AZ52" s="406"/>
      <c r="BA52" s="410"/>
      <c r="BB52" s="408"/>
      <c r="BC52" s="406"/>
      <c r="BD52" s="417"/>
      <c r="BO52" s="309"/>
      <c r="BU52" s="412" t="s">
        <v>252</v>
      </c>
      <c r="BV52" s="406" t="s">
        <v>305</v>
      </c>
      <c r="BW52" s="408"/>
      <c r="BX52" s="408"/>
      <c r="BY52" s="408"/>
      <c r="BZ52" s="408"/>
      <c r="CA52" s="418" t="s">
        <v>306</v>
      </c>
      <c r="CB52" s="406"/>
      <c r="CC52" s="408"/>
      <c r="CD52" s="406"/>
      <c r="CE52" s="408"/>
      <c r="CF52" s="408"/>
      <c r="CG52" s="414"/>
      <c r="CH52" s="414"/>
      <c r="CI52" s="414"/>
      <c r="CJ52" s="414"/>
      <c r="CK52" s="414"/>
      <c r="CL52" s="415"/>
      <c r="CM52" s="316"/>
      <c r="CN52" s="316"/>
      <c r="CO52" s="316"/>
      <c r="CP52" s="316"/>
      <c r="DG52" s="357"/>
      <c r="GM52" s="357"/>
      <c r="JN52" s="357"/>
      <c r="JO52" s="307"/>
      <c r="KR52" s="309"/>
      <c r="LG52" s="309"/>
      <c r="LX52" s="309"/>
      <c r="LY52" s="309"/>
      <c r="NV52" s="357"/>
      <c r="QN52" s="357"/>
      <c r="QO52" s="348" t="s">
        <v>111</v>
      </c>
      <c r="QP52" s="309" t="str">
        <f>+IF(ISERROR(INDEX(QP399:QP438,MATCH($QO$52,$QO$399:$QO$438,0))),"",INDEX(QP399:QP438,MATCH($QO$52,$QO$399:$QO$438,0)))</f>
        <v>4R</v>
      </c>
      <c r="QQ52" s="309" t="str">
        <f t="shared" ref="QQ52:SJ52" si="164">+IF(ISERROR(INDEX(QQ399:QQ438,MATCH($QO$52,$QO$399:$QO$438,0))),"",INDEX(QQ399:QQ438,MATCH($QO$52,$QO$399:$QO$438,0)))</f>
        <v>E</v>
      </c>
      <c r="QR52" s="309" t="str">
        <f t="shared" si="164"/>
        <v>Y</v>
      </c>
      <c r="QS52" s="309" t="str">
        <f t="shared" si="164"/>
        <v>11STS</v>
      </c>
      <c r="QT52" s="309" t="str">
        <f t="shared" si="164"/>
        <v>S</v>
      </c>
      <c r="QU52" s="309" t="str">
        <f t="shared" si="164"/>
        <v>T</v>
      </c>
      <c r="QV52" s="309" t="str">
        <f t="shared" si="164"/>
        <v>S</v>
      </c>
      <c r="QW52" s="309" t="str">
        <f t="shared" si="164"/>
        <v>H</v>
      </c>
      <c r="QX52" s="309" t="str">
        <f t="shared" si="164"/>
        <v>25R</v>
      </c>
      <c r="QY52" s="309" t="str">
        <f t="shared" si="164"/>
        <v>F</v>
      </c>
      <c r="QZ52" s="309" t="str">
        <f t="shared" si="164"/>
        <v>D</v>
      </c>
      <c r="RA52" s="309" t="str">
        <f t="shared" si="164"/>
        <v>Y</v>
      </c>
      <c r="RB52" s="309">
        <f t="shared" si="164"/>
        <v>0</v>
      </c>
      <c r="RC52" s="309" t="str">
        <f t="shared" si="164"/>
        <v>F</v>
      </c>
      <c r="RD52" s="309" t="str">
        <f t="shared" si="164"/>
        <v>H</v>
      </c>
      <c r="RE52" s="309" t="str">
        <f t="shared" si="164"/>
        <v>N</v>
      </c>
      <c r="RF52" s="309" t="str">
        <f t="shared" si="164"/>
        <v>V</v>
      </c>
      <c r="RG52" s="309" t="str">
        <f t="shared" si="164"/>
        <v>F</v>
      </c>
      <c r="RH52" s="309" t="str">
        <f t="shared" si="164"/>
        <v>47F</v>
      </c>
      <c r="RI52" s="309">
        <f t="shared" si="164"/>
        <v>0</v>
      </c>
      <c r="RJ52" s="309" t="str">
        <f t="shared" si="164"/>
        <v>D</v>
      </c>
      <c r="RK52" s="309" t="str">
        <f t="shared" si="164"/>
        <v>Y</v>
      </c>
      <c r="RL52" s="309" t="str">
        <f t="shared" si="164"/>
        <v>I</v>
      </c>
      <c r="RM52" s="309" t="str">
        <f t="shared" si="164"/>
        <v>70D</v>
      </c>
      <c r="RN52" s="309" t="str">
        <f t="shared" si="164"/>
        <v>70DA</v>
      </c>
      <c r="RO52" s="309" t="str">
        <f t="shared" si="164"/>
        <v>73A</v>
      </c>
      <c r="RP52" s="309">
        <f t="shared" si="164"/>
        <v>0</v>
      </c>
      <c r="RQ52" s="309" t="str">
        <f t="shared" si="164"/>
        <v>E</v>
      </c>
      <c r="RR52" s="309">
        <f t="shared" si="164"/>
        <v>0</v>
      </c>
      <c r="RS52" s="309" t="str">
        <f t="shared" si="164"/>
        <v>A</v>
      </c>
      <c r="RT52" s="309" t="str">
        <f t="shared" si="164"/>
        <v>77T</v>
      </c>
      <c r="RU52" s="309">
        <f t="shared" si="164"/>
        <v>0</v>
      </c>
      <c r="RV52" s="309" t="str">
        <f t="shared" si="164"/>
        <v>V</v>
      </c>
      <c r="RW52" s="309" t="str">
        <f t="shared" si="164"/>
        <v>V</v>
      </c>
      <c r="RX52" s="309" t="str">
        <f t="shared" si="164"/>
        <v>96HK</v>
      </c>
      <c r="RY52" s="309" t="str">
        <f t="shared" si="164"/>
        <v>H</v>
      </c>
      <c r="RZ52" s="309" t="str">
        <f t="shared" si="164"/>
        <v>K</v>
      </c>
      <c r="SA52" s="309">
        <f t="shared" si="164"/>
        <v>0</v>
      </c>
      <c r="SB52" s="309" t="str">
        <f t="shared" si="164"/>
        <v>S</v>
      </c>
      <c r="SC52" s="309" t="str">
        <f t="shared" si="164"/>
        <v>S</v>
      </c>
      <c r="SD52" s="309" t="str">
        <f t="shared" si="164"/>
        <v>T</v>
      </c>
      <c r="SE52" s="309" t="str">
        <f t="shared" si="164"/>
        <v>H</v>
      </c>
      <c r="SF52" s="309" t="str">
        <f t="shared" si="164"/>
        <v>V</v>
      </c>
      <c r="SG52" s="309">
        <f t="shared" si="164"/>
        <v>0</v>
      </c>
      <c r="SH52" s="309" t="str">
        <f t="shared" si="164"/>
        <v>T</v>
      </c>
      <c r="SI52" s="309" t="str">
        <f t="shared" si="164"/>
        <v>R</v>
      </c>
      <c r="SJ52" s="309" t="str">
        <f t="shared" si="164"/>
        <v>180VT</v>
      </c>
      <c r="TP52" s="357"/>
      <c r="WR52" s="357"/>
      <c r="AFZ52" s="307"/>
    </row>
    <row r="53" spans="1:858" s="306" customFormat="1" ht="22.5" thickTop="1" thickBot="1" x14ac:dyDescent="0.3">
      <c r="A53" s="70">
        <v>44</v>
      </c>
      <c r="B53" s="305" t="s">
        <v>58</v>
      </c>
      <c r="C53" s="305" t="s">
        <v>26</v>
      </c>
      <c r="D53" s="305"/>
      <c r="E53" s="53" t="s">
        <v>51</v>
      </c>
      <c r="F53" s="128">
        <v>17617.170001179878</v>
      </c>
      <c r="X53" s="355"/>
      <c r="AP53" s="419" t="s">
        <v>250</v>
      </c>
      <c r="AQ53" s="420" t="s">
        <v>299</v>
      </c>
      <c r="AR53" s="420"/>
      <c r="AS53" s="421"/>
      <c r="AT53" s="421"/>
      <c r="AU53" s="421"/>
      <c r="AV53" s="421"/>
      <c r="AW53" s="422" t="s">
        <v>300</v>
      </c>
      <c r="AX53" s="421"/>
      <c r="AY53" s="421"/>
      <c r="AZ53" s="420"/>
      <c r="BA53" s="420"/>
      <c r="BB53" s="421"/>
      <c r="BC53" s="420"/>
      <c r="BD53" s="423"/>
      <c r="BO53" s="309"/>
      <c r="BU53" s="424"/>
      <c r="BV53" s="408"/>
      <c r="BW53" s="408"/>
      <c r="BX53" s="408"/>
      <c r="BY53" s="408"/>
      <c r="BZ53" s="408"/>
      <c r="CA53" s="408"/>
      <c r="CB53" s="408"/>
      <c r="CC53" s="408"/>
      <c r="CD53" s="408"/>
      <c r="CE53" s="408"/>
      <c r="CF53" s="408"/>
      <c r="CG53" s="414"/>
      <c r="CH53" s="414"/>
      <c r="CI53" s="414"/>
      <c r="CJ53" s="414"/>
      <c r="CK53" s="414"/>
      <c r="CL53" s="415"/>
      <c r="CM53" s="316"/>
      <c r="CN53" s="316"/>
      <c r="CO53" s="316"/>
      <c r="CP53" s="316"/>
      <c r="DG53" s="357"/>
      <c r="GM53" s="357"/>
      <c r="JN53" s="357"/>
      <c r="JO53" s="307"/>
      <c r="KR53" s="309"/>
      <c r="LG53" s="309"/>
      <c r="LX53" s="309"/>
      <c r="LY53" s="309"/>
      <c r="NV53" s="357"/>
      <c r="QN53" s="357"/>
      <c r="QP53" s="425">
        <f>+IF(ISERROR(INDEX(TR14:TR49,MATCH($QO$52,$TQ$14:$TQ$49,0))),"",INDEX(TR14:TR49,MATCH($QO$52,$TQ$14:$TQ$49,0)))</f>
        <v>31</v>
      </c>
      <c r="QQ53" s="426">
        <f t="shared" ref="QQ53:SJ53" si="165">+IF(ISERROR(INDEX(TS14:TS49,MATCH($QO$52,$TQ$14:$TQ$49,0))),"",INDEX(TS14:TS49,MATCH($QO$52,$TQ$14:$TQ$49,0)))</f>
        <v>23</v>
      </c>
      <c r="QR53" s="426">
        <f t="shared" si="165"/>
        <v>12</v>
      </c>
      <c r="QS53" s="426">
        <f t="shared" si="165"/>
        <v>9</v>
      </c>
      <c r="QT53" s="426">
        <f t="shared" si="165"/>
        <v>12</v>
      </c>
      <c r="QU53" s="426">
        <f t="shared" si="165"/>
        <v>12</v>
      </c>
      <c r="QV53" s="426">
        <f t="shared" si="165"/>
        <v>12</v>
      </c>
      <c r="QW53" s="426">
        <f t="shared" si="165"/>
        <v>33</v>
      </c>
      <c r="QX53" s="426">
        <f t="shared" si="165"/>
        <v>33</v>
      </c>
      <c r="QY53" s="426">
        <f t="shared" si="165"/>
        <v>24</v>
      </c>
      <c r="QZ53" s="426">
        <f t="shared" si="165"/>
        <v>19</v>
      </c>
      <c r="RA53" s="426">
        <f t="shared" si="165"/>
        <v>23</v>
      </c>
      <c r="RB53" s="426">
        <f t="shared" si="165"/>
        <v>27</v>
      </c>
      <c r="RC53" s="426">
        <f t="shared" si="165"/>
        <v>26</v>
      </c>
      <c r="RD53" s="426">
        <f t="shared" si="165"/>
        <v>12</v>
      </c>
      <c r="RE53" s="426">
        <f t="shared" si="165"/>
        <v>7</v>
      </c>
      <c r="RF53" s="426">
        <f t="shared" si="165"/>
        <v>28</v>
      </c>
      <c r="RG53" s="426">
        <f t="shared" si="165"/>
        <v>32</v>
      </c>
      <c r="RH53" s="426">
        <f t="shared" si="165"/>
        <v>9</v>
      </c>
      <c r="RI53" s="426">
        <f t="shared" si="165"/>
        <v>31</v>
      </c>
      <c r="RJ53" s="426">
        <f t="shared" si="165"/>
        <v>26</v>
      </c>
      <c r="RK53" s="426">
        <f t="shared" si="165"/>
        <v>28</v>
      </c>
      <c r="RL53" s="426">
        <f t="shared" si="165"/>
        <v>10</v>
      </c>
      <c r="RM53" s="426">
        <f t="shared" si="165"/>
        <v>13</v>
      </c>
      <c r="RN53" s="426">
        <f t="shared" si="165"/>
        <v>12</v>
      </c>
      <c r="RO53" s="426">
        <f t="shared" si="165"/>
        <v>30</v>
      </c>
      <c r="RP53" s="426">
        <f t="shared" si="165"/>
        <v>13</v>
      </c>
      <c r="RQ53" s="426">
        <f t="shared" si="165"/>
        <v>3</v>
      </c>
      <c r="RR53" s="426">
        <f t="shared" si="165"/>
        <v>30</v>
      </c>
      <c r="RS53" s="426">
        <f t="shared" si="165"/>
        <v>22</v>
      </c>
      <c r="RT53" s="426">
        <f t="shared" si="165"/>
        <v>31</v>
      </c>
      <c r="RU53" s="426">
        <f t="shared" si="165"/>
        <v>33</v>
      </c>
      <c r="RV53" s="426">
        <f t="shared" si="165"/>
        <v>32</v>
      </c>
      <c r="RW53" s="426">
        <f t="shared" si="165"/>
        <v>17</v>
      </c>
      <c r="RX53" s="426">
        <f t="shared" si="165"/>
        <v>12</v>
      </c>
      <c r="RY53" s="426">
        <f t="shared" si="165"/>
        <v>18</v>
      </c>
      <c r="RZ53" s="426">
        <f t="shared" si="165"/>
        <v>25</v>
      </c>
      <c r="SA53" s="426">
        <f t="shared" si="165"/>
        <v>18</v>
      </c>
      <c r="SB53" s="426">
        <f t="shared" si="165"/>
        <v>23</v>
      </c>
      <c r="SC53" s="426">
        <f t="shared" si="165"/>
        <v>26</v>
      </c>
      <c r="SD53" s="426">
        <f t="shared" si="165"/>
        <v>19</v>
      </c>
      <c r="SE53" s="426">
        <f t="shared" si="165"/>
        <v>13</v>
      </c>
      <c r="SF53" s="426">
        <f t="shared" si="165"/>
        <v>29</v>
      </c>
      <c r="SG53" s="426">
        <f t="shared" si="165"/>
        <v>28</v>
      </c>
      <c r="SH53" s="426">
        <f t="shared" si="165"/>
        <v>30</v>
      </c>
      <c r="SI53" s="426">
        <f t="shared" si="165"/>
        <v>32</v>
      </c>
      <c r="SJ53" s="427">
        <f t="shared" si="165"/>
        <v>25</v>
      </c>
      <c r="TP53" s="357"/>
      <c r="WR53" s="357"/>
      <c r="AFZ53" s="307"/>
    </row>
    <row r="54" spans="1:858" s="306" customFormat="1" ht="19.5" thickTop="1" thickBot="1" x14ac:dyDescent="0.3">
      <c r="A54" s="70">
        <v>45</v>
      </c>
      <c r="B54" s="305" t="s">
        <v>62</v>
      </c>
      <c r="C54" s="305" t="s">
        <v>26</v>
      </c>
      <c r="D54" s="305"/>
      <c r="E54" s="53" t="s">
        <v>51</v>
      </c>
      <c r="F54" s="128">
        <v>22566.264992828299</v>
      </c>
      <c r="X54" s="355"/>
      <c r="BO54" s="309"/>
      <c r="BU54" s="428" t="s">
        <v>44</v>
      </c>
      <c r="BV54" s="429" t="s">
        <v>307</v>
      </c>
      <c r="BW54" s="414"/>
      <c r="BX54" s="430"/>
      <c r="BY54" s="430"/>
      <c r="BZ54" s="430"/>
      <c r="CA54" s="407" t="s">
        <v>308</v>
      </c>
      <c r="CB54" s="430"/>
      <c r="CC54" s="430"/>
      <c r="CD54" s="430"/>
      <c r="CE54" s="430"/>
      <c r="CF54" s="430"/>
      <c r="CG54" s="430"/>
      <c r="CH54" s="430"/>
      <c r="CI54" s="430"/>
      <c r="CJ54" s="430"/>
      <c r="CK54" s="430"/>
      <c r="CL54" s="431"/>
      <c r="CM54" s="137"/>
      <c r="CN54" s="137"/>
      <c r="CO54" s="137"/>
      <c r="CP54" s="318"/>
      <c r="DG54" s="357"/>
      <c r="GM54" s="357"/>
      <c r="JN54" s="357"/>
      <c r="JO54" s="307"/>
      <c r="KR54" s="309"/>
      <c r="LG54" s="309"/>
      <c r="LX54" s="309"/>
      <c r="LY54" s="309"/>
      <c r="NV54" s="357"/>
      <c r="QN54" s="357"/>
      <c r="QO54" s="351" t="s">
        <v>273</v>
      </c>
      <c r="QP54" s="302">
        <f>+IF(QP53="","",COUNTIF(WT400:WT435,QP52))</f>
        <v>0</v>
      </c>
      <c r="QQ54" s="301">
        <f t="shared" ref="QQ54:SJ54" si="166">+IF(QQ53="","",COUNTIF(WU400:WU435,QQ52))</f>
        <v>0</v>
      </c>
      <c r="QR54" s="301">
        <f t="shared" si="166"/>
        <v>0</v>
      </c>
      <c r="QS54" s="301">
        <f t="shared" si="166"/>
        <v>0</v>
      </c>
      <c r="QT54" s="301">
        <f t="shared" si="166"/>
        <v>0</v>
      </c>
      <c r="QU54" s="301">
        <f t="shared" si="166"/>
        <v>0</v>
      </c>
      <c r="QV54" s="301">
        <f t="shared" si="166"/>
        <v>0</v>
      </c>
      <c r="QW54" s="301">
        <f t="shared" si="166"/>
        <v>0</v>
      </c>
      <c r="QX54" s="301">
        <f t="shared" si="166"/>
        <v>0</v>
      </c>
      <c r="QY54" s="301">
        <f t="shared" si="166"/>
        <v>0</v>
      </c>
      <c r="QZ54" s="301">
        <f t="shared" si="166"/>
        <v>0</v>
      </c>
      <c r="RA54" s="301">
        <f t="shared" si="166"/>
        <v>0</v>
      </c>
      <c r="RB54" s="301">
        <f t="shared" si="166"/>
        <v>0</v>
      </c>
      <c r="RC54" s="301">
        <f t="shared" si="166"/>
        <v>0</v>
      </c>
      <c r="RD54" s="301">
        <f t="shared" si="166"/>
        <v>0</v>
      </c>
      <c r="RE54" s="301">
        <f t="shared" si="166"/>
        <v>0</v>
      </c>
      <c r="RF54" s="301">
        <f t="shared" si="166"/>
        <v>0</v>
      </c>
      <c r="RG54" s="301">
        <f t="shared" si="166"/>
        <v>0</v>
      </c>
      <c r="RH54" s="301">
        <f t="shared" si="166"/>
        <v>0</v>
      </c>
      <c r="RI54" s="301">
        <f t="shared" si="166"/>
        <v>0</v>
      </c>
      <c r="RJ54" s="301">
        <f t="shared" si="166"/>
        <v>0</v>
      </c>
      <c r="RK54" s="301">
        <f t="shared" si="166"/>
        <v>0</v>
      </c>
      <c r="RL54" s="301">
        <f t="shared" si="166"/>
        <v>0</v>
      </c>
      <c r="RM54" s="301">
        <f t="shared" si="166"/>
        <v>0</v>
      </c>
      <c r="RN54" s="301">
        <f t="shared" si="166"/>
        <v>0</v>
      </c>
      <c r="RO54" s="301">
        <f t="shared" si="166"/>
        <v>0</v>
      </c>
      <c r="RP54" s="301">
        <f t="shared" si="166"/>
        <v>0</v>
      </c>
      <c r="RQ54" s="301">
        <f t="shared" si="166"/>
        <v>0</v>
      </c>
      <c r="RR54" s="301">
        <f t="shared" si="166"/>
        <v>0</v>
      </c>
      <c r="RS54" s="301">
        <f t="shared" si="166"/>
        <v>0</v>
      </c>
      <c r="RT54" s="301">
        <f t="shared" si="166"/>
        <v>0</v>
      </c>
      <c r="RU54" s="301">
        <f t="shared" si="166"/>
        <v>0</v>
      </c>
      <c r="RV54" s="301">
        <f t="shared" si="166"/>
        <v>0</v>
      </c>
      <c r="RW54" s="301">
        <f t="shared" si="166"/>
        <v>0</v>
      </c>
      <c r="RX54" s="301">
        <f t="shared" si="166"/>
        <v>0</v>
      </c>
      <c r="RY54" s="301">
        <f t="shared" si="166"/>
        <v>0</v>
      </c>
      <c r="RZ54" s="301">
        <f t="shared" si="166"/>
        <v>0</v>
      </c>
      <c r="SA54" s="301">
        <f t="shared" si="166"/>
        <v>0</v>
      </c>
      <c r="SB54" s="301">
        <f t="shared" si="166"/>
        <v>0</v>
      </c>
      <c r="SC54" s="301">
        <f t="shared" si="166"/>
        <v>0</v>
      </c>
      <c r="SD54" s="301">
        <f t="shared" si="166"/>
        <v>0</v>
      </c>
      <c r="SE54" s="301">
        <f t="shared" si="166"/>
        <v>0</v>
      </c>
      <c r="SF54" s="301">
        <f t="shared" si="166"/>
        <v>0</v>
      </c>
      <c r="SG54" s="301">
        <f t="shared" si="166"/>
        <v>0</v>
      </c>
      <c r="SH54" s="301">
        <f t="shared" si="166"/>
        <v>0</v>
      </c>
      <c r="SI54" s="301">
        <f t="shared" si="166"/>
        <v>0</v>
      </c>
      <c r="SJ54" s="303">
        <f t="shared" si="166"/>
        <v>0</v>
      </c>
      <c r="TP54" s="357"/>
      <c r="WR54" s="357"/>
      <c r="AFZ54" s="307"/>
    </row>
    <row r="55" spans="1:858" s="306" customFormat="1" ht="18.75" thickTop="1" x14ac:dyDescent="0.25">
      <c r="A55" s="70">
        <v>46</v>
      </c>
      <c r="B55" s="305" t="s">
        <v>58</v>
      </c>
      <c r="C55" s="305" t="s">
        <v>28</v>
      </c>
      <c r="D55" s="305"/>
      <c r="E55" s="53" t="s">
        <v>51</v>
      </c>
      <c r="F55" s="128">
        <v>22322.855093608305</v>
      </c>
      <c r="X55" s="355"/>
      <c r="BO55" s="309"/>
      <c r="BU55" s="428" t="s">
        <v>46</v>
      </c>
      <c r="BV55" s="414" t="s">
        <v>309</v>
      </c>
      <c r="BW55" s="414"/>
      <c r="BX55" s="430"/>
      <c r="BY55" s="430"/>
      <c r="BZ55" s="430"/>
      <c r="CA55" s="432" t="s">
        <v>310</v>
      </c>
      <c r="CB55" s="430"/>
      <c r="CC55" s="430"/>
      <c r="CD55" s="430"/>
      <c r="CE55" s="430"/>
      <c r="CF55" s="430"/>
      <c r="CG55" s="430"/>
      <c r="CH55" s="430"/>
      <c r="CI55" s="430"/>
      <c r="CJ55" s="430"/>
      <c r="CK55" s="430"/>
      <c r="CL55" s="431"/>
      <c r="CM55" s="137"/>
      <c r="CN55" s="137"/>
      <c r="CO55" s="137"/>
      <c r="CP55" s="318"/>
      <c r="DG55" s="357"/>
      <c r="GM55" s="357"/>
      <c r="JN55" s="357"/>
      <c r="JO55" s="307"/>
      <c r="KR55" s="309"/>
      <c r="LG55" s="309"/>
      <c r="LX55" s="309"/>
      <c r="LY55" s="309"/>
      <c r="NV55" s="357"/>
      <c r="QN55" s="357"/>
      <c r="TP55" s="357"/>
      <c r="WR55" s="357"/>
      <c r="AFZ55" s="307"/>
    </row>
    <row r="56" spans="1:858" s="306" customFormat="1" ht="18.75" thickBot="1" x14ac:dyDescent="0.3">
      <c r="A56" s="70">
        <v>47</v>
      </c>
      <c r="B56" s="305" t="s">
        <v>60</v>
      </c>
      <c r="C56" s="305" t="s">
        <v>28</v>
      </c>
      <c r="D56" s="305"/>
      <c r="E56" s="53" t="s">
        <v>51</v>
      </c>
      <c r="F56" s="128">
        <v>19629.996133398407</v>
      </c>
      <c r="X56" s="355"/>
      <c r="BO56" s="309"/>
      <c r="BU56" s="433" t="s">
        <v>45</v>
      </c>
      <c r="BV56" s="434" t="s">
        <v>311</v>
      </c>
      <c r="BW56" s="434"/>
      <c r="BX56" s="421"/>
      <c r="BY56" s="421"/>
      <c r="BZ56" s="421"/>
      <c r="CA56" s="435" t="s">
        <v>312</v>
      </c>
      <c r="CB56" s="421"/>
      <c r="CC56" s="421"/>
      <c r="CD56" s="421"/>
      <c r="CE56" s="421"/>
      <c r="CF56" s="421"/>
      <c r="CG56" s="421"/>
      <c r="CH56" s="421"/>
      <c r="CI56" s="421"/>
      <c r="CJ56" s="421"/>
      <c r="CK56" s="421"/>
      <c r="CL56" s="436"/>
      <c r="CM56" s="137"/>
      <c r="CN56" s="137"/>
      <c r="CO56" s="137"/>
      <c r="CP56" s="137"/>
      <c r="DG56" s="357"/>
      <c r="GM56" s="357"/>
      <c r="JN56" s="357"/>
      <c r="JO56" s="307"/>
      <c r="KR56" s="309"/>
      <c r="LG56" s="309"/>
      <c r="LX56" s="309"/>
      <c r="LY56" s="309"/>
      <c r="NV56" s="357"/>
      <c r="QN56" s="357"/>
      <c r="TP56" s="357"/>
      <c r="WR56" s="357"/>
      <c r="AFZ56" s="307"/>
    </row>
    <row r="57" spans="1:858" s="306" customFormat="1" ht="21" x14ac:dyDescent="0.35">
      <c r="A57" s="70">
        <v>48</v>
      </c>
      <c r="B57" s="305" t="s">
        <v>63</v>
      </c>
      <c r="C57" s="305" t="s">
        <v>29</v>
      </c>
      <c r="D57" s="305"/>
      <c r="E57" s="54" t="s">
        <v>52</v>
      </c>
      <c r="F57" s="128">
        <v>-19.466046302699297</v>
      </c>
      <c r="X57" s="355"/>
      <c r="BO57" s="309"/>
      <c r="CH57" s="309"/>
      <c r="DG57" s="357"/>
      <c r="GM57" s="357"/>
      <c r="JN57" s="357"/>
      <c r="JO57" s="307"/>
      <c r="KR57" s="309"/>
      <c r="LG57" s="309"/>
      <c r="LX57" s="309"/>
      <c r="LY57" s="309"/>
      <c r="NV57" s="357"/>
      <c r="QN57" s="357"/>
      <c r="RI57" s="437" t="s">
        <v>256</v>
      </c>
      <c r="RJ57" s="438" t="s">
        <v>313</v>
      </c>
      <c r="RK57" s="439"/>
      <c r="RL57" s="439"/>
      <c r="RM57" s="439"/>
      <c r="RN57" s="439"/>
      <c r="RO57" s="439"/>
      <c r="RP57" s="439"/>
      <c r="RQ57" s="439"/>
      <c r="RR57" s="439"/>
      <c r="RS57" s="439"/>
      <c r="RT57" s="440"/>
      <c r="TP57" s="357"/>
      <c r="WR57" s="357"/>
      <c r="AFZ57" s="307"/>
    </row>
    <row r="58" spans="1:858" s="306" customFormat="1" ht="21" x14ac:dyDescent="0.35">
      <c r="A58" s="70">
        <v>49</v>
      </c>
      <c r="B58" s="305" t="s">
        <v>64</v>
      </c>
      <c r="C58" s="305" t="s">
        <v>31</v>
      </c>
      <c r="D58" s="305"/>
      <c r="E58" s="54" t="s">
        <v>52</v>
      </c>
      <c r="F58" s="128">
        <v>20.32993373612301</v>
      </c>
      <c r="X58" s="355"/>
      <c r="BO58" s="309"/>
      <c r="CH58" s="309"/>
      <c r="DG58" s="357"/>
      <c r="GM58" s="357"/>
      <c r="JN58" s="357"/>
      <c r="JO58" s="307"/>
      <c r="KR58" s="309"/>
      <c r="LG58" s="309"/>
      <c r="LX58" s="309"/>
      <c r="LY58" s="309"/>
      <c r="NV58" s="357"/>
      <c r="QN58" s="357"/>
      <c r="RI58" s="441" t="s">
        <v>260</v>
      </c>
      <c r="RJ58" s="407" t="s">
        <v>314</v>
      </c>
      <c r="RK58" s="430"/>
      <c r="RL58" s="430"/>
      <c r="RM58" s="430"/>
      <c r="RN58" s="430"/>
      <c r="RO58" s="430"/>
      <c r="RP58" s="430"/>
      <c r="RQ58" s="430"/>
      <c r="RR58" s="430"/>
      <c r="RS58" s="430"/>
      <c r="RT58" s="431"/>
      <c r="TP58" s="357"/>
      <c r="WR58" s="357"/>
      <c r="AFZ58" s="307"/>
    </row>
    <row r="59" spans="1:858" s="306" customFormat="1" ht="21" x14ac:dyDescent="0.35">
      <c r="A59" s="70">
        <v>50</v>
      </c>
      <c r="B59" s="305" t="s">
        <v>65</v>
      </c>
      <c r="C59" s="305" t="s">
        <v>32</v>
      </c>
      <c r="D59" s="305"/>
      <c r="E59" s="55" t="s">
        <v>53</v>
      </c>
      <c r="F59" s="128">
        <v>17351.233182986558</v>
      </c>
      <c r="X59" s="355"/>
      <c r="BO59" s="309"/>
      <c r="CH59" s="309"/>
      <c r="DG59" s="357"/>
      <c r="GM59" s="357"/>
      <c r="JN59" s="357"/>
      <c r="JO59" s="307"/>
      <c r="KR59" s="309"/>
      <c r="LG59" s="309"/>
      <c r="LX59" s="309"/>
      <c r="LY59" s="309"/>
      <c r="NV59" s="357"/>
      <c r="QN59" s="357"/>
      <c r="RI59" s="441" t="s">
        <v>255</v>
      </c>
      <c r="RJ59" s="409" t="s">
        <v>315</v>
      </c>
      <c r="RK59" s="430"/>
      <c r="RL59" s="430"/>
      <c r="RM59" s="430"/>
      <c r="RN59" s="430"/>
      <c r="RO59" s="430"/>
      <c r="RP59" s="430"/>
      <c r="RQ59" s="430"/>
      <c r="RR59" s="430"/>
      <c r="RS59" s="430"/>
      <c r="RT59" s="431"/>
      <c r="TP59" s="357"/>
      <c r="WR59" s="357"/>
      <c r="AFZ59" s="307"/>
    </row>
    <row r="60" spans="1:858" s="306" customFormat="1" ht="21.75" thickBot="1" x14ac:dyDescent="0.4">
      <c r="A60" s="70">
        <v>51</v>
      </c>
      <c r="B60" s="305" t="s">
        <v>64</v>
      </c>
      <c r="C60" s="305" t="s">
        <v>34</v>
      </c>
      <c r="D60" s="305"/>
      <c r="E60" s="55" t="s">
        <v>53</v>
      </c>
      <c r="F60" s="128">
        <v>-11.221651532353803</v>
      </c>
      <c r="X60" s="355"/>
      <c r="BO60" s="309"/>
      <c r="CH60" s="309"/>
      <c r="DG60" s="357"/>
      <c r="GM60" s="357"/>
      <c r="JN60" s="357"/>
      <c r="JO60" s="307"/>
      <c r="KR60" s="309"/>
      <c r="LG60" s="309"/>
      <c r="LX60" s="309"/>
      <c r="LY60" s="309"/>
      <c r="NV60" s="357"/>
      <c r="QN60" s="357"/>
      <c r="RI60" s="442" t="s">
        <v>258</v>
      </c>
      <c r="RJ60" s="435" t="s">
        <v>316</v>
      </c>
      <c r="RK60" s="421"/>
      <c r="RL60" s="421"/>
      <c r="RM60" s="421"/>
      <c r="RN60" s="421"/>
      <c r="RO60" s="421"/>
      <c r="RP60" s="421"/>
      <c r="RQ60" s="421"/>
      <c r="RR60" s="421"/>
      <c r="RS60" s="421"/>
      <c r="RT60" s="436"/>
      <c r="TP60" s="357"/>
      <c r="WR60" s="357"/>
      <c r="AFZ60" s="307"/>
    </row>
    <row r="61" spans="1:858" s="306" customFormat="1" ht="18" x14ac:dyDescent="0.25">
      <c r="A61" s="70">
        <v>52</v>
      </c>
      <c r="B61" s="305" t="s">
        <v>63</v>
      </c>
      <c r="C61" s="305" t="s">
        <v>34</v>
      </c>
      <c r="D61" s="305"/>
      <c r="E61" s="55" t="s">
        <v>53</v>
      </c>
      <c r="F61" s="128">
        <v>-32.732009009571783</v>
      </c>
      <c r="X61" s="355"/>
      <c r="BO61" s="309"/>
      <c r="CH61" s="309"/>
      <c r="DG61" s="357"/>
      <c r="GM61" s="357"/>
      <c r="JN61" s="357"/>
      <c r="JO61" s="307"/>
      <c r="KR61" s="309"/>
      <c r="LG61" s="309"/>
      <c r="LX61" s="309"/>
      <c r="LY61" s="309"/>
      <c r="NV61" s="357"/>
      <c r="QN61" s="357"/>
      <c r="TP61" s="357"/>
      <c r="WR61" s="357"/>
      <c r="AFZ61" s="307"/>
    </row>
    <row r="62" spans="1:858" ht="18.75" x14ac:dyDescent="0.3">
      <c r="A62" s="70">
        <v>53</v>
      </c>
      <c r="B62" s="59" t="s">
        <v>65</v>
      </c>
      <c r="C62" s="59" t="s">
        <v>35</v>
      </c>
      <c r="D62" s="44"/>
      <c r="E62" s="55" t="s">
        <v>53</v>
      </c>
      <c r="F62" s="128">
        <v>528.15578455078946</v>
      </c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JR62"/>
      <c r="JU62"/>
    </row>
    <row r="63" spans="1:858" ht="18.75" x14ac:dyDescent="0.3">
      <c r="A63" s="70">
        <v>54</v>
      </c>
      <c r="B63" s="59" t="s">
        <v>64</v>
      </c>
      <c r="C63" s="59" t="s">
        <v>36</v>
      </c>
      <c r="D63" s="44"/>
      <c r="E63" s="55" t="s">
        <v>53</v>
      </c>
      <c r="F63" s="128">
        <v>55.177176603401193</v>
      </c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JR63"/>
      <c r="JU63"/>
    </row>
    <row r="64" spans="1:858" ht="18.75" x14ac:dyDescent="0.3">
      <c r="A64" s="70">
        <v>55</v>
      </c>
      <c r="B64" s="59" t="s">
        <v>64</v>
      </c>
      <c r="C64" s="59" t="s">
        <v>37</v>
      </c>
      <c r="D64" s="44"/>
      <c r="E64" s="55" t="s">
        <v>53</v>
      </c>
      <c r="F64" s="128">
        <v>736.47354456284836</v>
      </c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JR64"/>
      <c r="JU64"/>
    </row>
    <row r="65" spans="1:281" ht="18.75" x14ac:dyDescent="0.3">
      <c r="A65" s="70">
        <v>56</v>
      </c>
      <c r="B65" s="59" t="s">
        <v>59</v>
      </c>
      <c r="C65" s="59" t="s">
        <v>17</v>
      </c>
      <c r="D65" s="44"/>
      <c r="E65" s="56" t="s">
        <v>54</v>
      </c>
      <c r="F65" s="128">
        <v>19740.533311472616</v>
      </c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JR65"/>
      <c r="JU65"/>
    </row>
    <row r="66" spans="1:281" ht="18.75" x14ac:dyDescent="0.3">
      <c r="A66" s="70">
        <v>57</v>
      </c>
      <c r="B66" s="59" t="s">
        <v>58</v>
      </c>
      <c r="C66" s="59" t="s">
        <v>17</v>
      </c>
      <c r="D66" s="44"/>
      <c r="E66" s="56" t="s">
        <v>54</v>
      </c>
      <c r="F66" s="128">
        <v>22180.805223292555</v>
      </c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JR66"/>
      <c r="JU66"/>
    </row>
    <row r="67" spans="1:281" ht="18.75" x14ac:dyDescent="0.3">
      <c r="A67" s="70">
        <v>58</v>
      </c>
      <c r="B67" s="59" t="s">
        <v>66</v>
      </c>
      <c r="C67" s="59" t="s">
        <v>17</v>
      </c>
      <c r="D67" s="44"/>
      <c r="E67" s="56" t="s">
        <v>54</v>
      </c>
      <c r="F67" s="128">
        <v>22826.964737414226</v>
      </c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JR67"/>
      <c r="JU67"/>
    </row>
    <row r="68" spans="1:281" ht="18.75" x14ac:dyDescent="0.3">
      <c r="A68" s="70">
        <v>59</v>
      </c>
      <c r="B68" s="59" t="s">
        <v>67</v>
      </c>
      <c r="C68" s="59" t="s">
        <v>17</v>
      </c>
      <c r="D68" s="44"/>
      <c r="E68" s="56" t="s">
        <v>54</v>
      </c>
      <c r="F68" s="128">
        <v>22706.411614956225</v>
      </c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JR68"/>
      <c r="JU68"/>
    </row>
    <row r="69" spans="1:281" ht="18.75" x14ac:dyDescent="0.3">
      <c r="A69" s="70">
        <v>60</v>
      </c>
      <c r="B69" s="59" t="s">
        <v>68</v>
      </c>
      <c r="C69" s="59" t="s">
        <v>17</v>
      </c>
      <c r="D69" s="44"/>
      <c r="E69" s="56" t="s">
        <v>54</v>
      </c>
      <c r="F69" s="128">
        <v>22989.552289169143</v>
      </c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JR69"/>
      <c r="JU69"/>
    </row>
    <row r="70" spans="1:281" ht="18.75" x14ac:dyDescent="0.3">
      <c r="A70" s="70">
        <v>61</v>
      </c>
      <c r="B70" s="59" t="s">
        <v>58</v>
      </c>
      <c r="C70" s="59" t="s">
        <v>23</v>
      </c>
      <c r="D70" s="44"/>
      <c r="E70" s="57" t="s">
        <v>55</v>
      </c>
      <c r="F70" s="128">
        <v>21179.71820512729</v>
      </c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JR70"/>
      <c r="JU70"/>
    </row>
    <row r="71" spans="1:281" ht="18.75" x14ac:dyDescent="0.3">
      <c r="A71" s="70">
        <v>62</v>
      </c>
      <c r="B71" s="59" t="s">
        <v>59</v>
      </c>
      <c r="C71" s="59" t="s">
        <v>23</v>
      </c>
      <c r="D71" s="44"/>
      <c r="E71" s="57" t="s">
        <v>55</v>
      </c>
      <c r="F71" s="128">
        <v>22225.720214458433</v>
      </c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JR71"/>
      <c r="JU71"/>
    </row>
    <row r="72" spans="1:281" ht="18.75" x14ac:dyDescent="0.3">
      <c r="A72" s="70">
        <v>63</v>
      </c>
      <c r="B72" s="59" t="s">
        <v>69</v>
      </c>
      <c r="C72" s="59" t="s">
        <v>23</v>
      </c>
      <c r="D72" s="44"/>
      <c r="E72" s="57" t="s">
        <v>55</v>
      </c>
      <c r="F72" s="128">
        <v>23090.872506233121</v>
      </c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JR72"/>
      <c r="JU72"/>
    </row>
    <row r="73" spans="1:281" ht="18.75" x14ac:dyDescent="0.3">
      <c r="A73" s="70">
        <v>64</v>
      </c>
      <c r="B73" s="59" t="s">
        <v>58</v>
      </c>
      <c r="C73" s="59" t="s">
        <v>25</v>
      </c>
      <c r="D73" s="44"/>
      <c r="E73" s="58" t="s">
        <v>56</v>
      </c>
      <c r="F73" s="128">
        <v>22466.032376025196</v>
      </c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JR73"/>
      <c r="JU73"/>
    </row>
    <row r="74" spans="1:281" ht="18.75" x14ac:dyDescent="0.3">
      <c r="A74" s="70">
        <v>65</v>
      </c>
      <c r="B74" s="59" t="s">
        <v>59</v>
      </c>
      <c r="C74" s="59" t="s">
        <v>25</v>
      </c>
      <c r="D74" s="44"/>
      <c r="E74" s="58" t="s">
        <v>56</v>
      </c>
      <c r="F74" s="128">
        <v>20371.58562007557</v>
      </c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JR74"/>
      <c r="JU74"/>
    </row>
    <row r="75" spans="1:281" ht="18.75" x14ac:dyDescent="0.3">
      <c r="A75" s="70">
        <v>66</v>
      </c>
      <c r="B75" s="59" t="s">
        <v>69</v>
      </c>
      <c r="C75" s="59" t="s">
        <v>25</v>
      </c>
      <c r="D75" s="44"/>
      <c r="E75" s="58" t="s">
        <v>56</v>
      </c>
      <c r="F75" s="128">
        <v>23003.985718769578</v>
      </c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JR75"/>
      <c r="JU75"/>
    </row>
    <row r="76" spans="1:281" ht="18.75" x14ac:dyDescent="0.3">
      <c r="A76" s="70">
        <v>67</v>
      </c>
      <c r="B76" s="59" t="s">
        <v>135</v>
      </c>
      <c r="C76" s="60" t="s">
        <v>136</v>
      </c>
      <c r="D76" s="45" t="s">
        <v>137</v>
      </c>
      <c r="E76" s="44"/>
      <c r="F76" s="128">
        <v>170.67307872433921</v>
      </c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JR76"/>
      <c r="JU76"/>
    </row>
    <row r="77" spans="1:281" ht="18.75" x14ac:dyDescent="0.3">
      <c r="A77" s="70">
        <v>68</v>
      </c>
      <c r="B77" s="59" t="s">
        <v>138</v>
      </c>
      <c r="C77" s="60" t="s">
        <v>136</v>
      </c>
      <c r="D77" s="45" t="s">
        <v>137</v>
      </c>
      <c r="E77" s="44"/>
      <c r="F77" s="128">
        <v>230.9526516805802</v>
      </c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JR77"/>
      <c r="JU77"/>
    </row>
    <row r="78" spans="1:281" ht="18.75" x14ac:dyDescent="0.3">
      <c r="A78" s="70">
        <v>69</v>
      </c>
      <c r="B78" s="59" t="s">
        <v>135</v>
      </c>
      <c r="C78" s="61" t="s">
        <v>139</v>
      </c>
      <c r="D78" s="45" t="s">
        <v>140</v>
      </c>
      <c r="E78" s="44"/>
      <c r="F78" s="128">
        <v>46.506860597284216</v>
      </c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JR78"/>
      <c r="JU78"/>
    </row>
    <row r="79" spans="1:281" ht="18.75" x14ac:dyDescent="0.3">
      <c r="A79" s="70">
        <v>70</v>
      </c>
      <c r="B79" s="59" t="s">
        <v>141</v>
      </c>
      <c r="C79" s="60" t="s">
        <v>142</v>
      </c>
      <c r="D79" s="45" t="s">
        <v>143</v>
      </c>
      <c r="E79" s="44"/>
      <c r="F79" s="128">
        <v>153.55087545868523</v>
      </c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JR79"/>
      <c r="JU79"/>
    </row>
    <row r="80" spans="1:281" ht="18.75" x14ac:dyDescent="0.3">
      <c r="A80" s="70">
        <v>71</v>
      </c>
      <c r="B80" s="59" t="s">
        <v>135</v>
      </c>
      <c r="C80" s="62" t="s">
        <v>144</v>
      </c>
      <c r="D80" s="45" t="s">
        <v>145</v>
      </c>
      <c r="E80" s="44"/>
      <c r="F80" s="128">
        <v>363.03917236841528</v>
      </c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JR80"/>
      <c r="JU80"/>
    </row>
    <row r="81" spans="1:281" ht="18.75" x14ac:dyDescent="0.3">
      <c r="A81" s="70">
        <v>72</v>
      </c>
      <c r="B81" s="59" t="s">
        <v>146</v>
      </c>
      <c r="C81" s="62" t="s">
        <v>144</v>
      </c>
      <c r="D81" s="45" t="s">
        <v>145</v>
      </c>
      <c r="E81" s="44"/>
      <c r="F81" s="128">
        <v>179.38360965168582</v>
      </c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JR81"/>
      <c r="JU81"/>
    </row>
    <row r="82" spans="1:281" ht="18.75" x14ac:dyDescent="0.3">
      <c r="A82" s="70">
        <v>73</v>
      </c>
      <c r="B82" s="59" t="s">
        <v>138</v>
      </c>
      <c r="C82" s="62" t="s">
        <v>144</v>
      </c>
      <c r="D82" s="45" t="s">
        <v>145</v>
      </c>
      <c r="E82" s="44"/>
      <c r="F82" s="128">
        <v>249.77764064792322</v>
      </c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JR82"/>
      <c r="JU82"/>
    </row>
    <row r="83" spans="1:281" ht="18.75" x14ac:dyDescent="0.3">
      <c r="A83" s="70">
        <v>74</v>
      </c>
      <c r="B83" s="59" t="s">
        <v>135</v>
      </c>
      <c r="C83" s="63" t="s">
        <v>147</v>
      </c>
      <c r="D83" s="45" t="s">
        <v>148</v>
      </c>
      <c r="E83" s="44"/>
      <c r="F83" s="128">
        <v>-3.1772835945010911</v>
      </c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JR83"/>
      <c r="JU83"/>
    </row>
    <row r="84" spans="1:281" ht="18.75" x14ac:dyDescent="0.3">
      <c r="A84" s="70">
        <v>75</v>
      </c>
      <c r="B84" s="59" t="s">
        <v>135</v>
      </c>
      <c r="C84" s="61" t="s">
        <v>149</v>
      </c>
      <c r="D84" s="45" t="s">
        <v>148</v>
      </c>
      <c r="E84" s="44"/>
      <c r="F84" s="128">
        <v>1.7460599325122104</v>
      </c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JR84"/>
      <c r="JU84"/>
    </row>
    <row r="85" spans="1:281" ht="18.75" x14ac:dyDescent="0.3">
      <c r="A85" s="70">
        <v>76</v>
      </c>
      <c r="B85" s="59" t="s">
        <v>138</v>
      </c>
      <c r="C85" s="60" t="s">
        <v>142</v>
      </c>
      <c r="D85" s="45" t="s">
        <v>143</v>
      </c>
      <c r="E85" s="44"/>
      <c r="F85" s="128">
        <v>177.73546150353849</v>
      </c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JR85"/>
      <c r="JU85"/>
    </row>
    <row r="86" spans="1:281" ht="18.75" x14ac:dyDescent="0.3">
      <c r="A86" s="70">
        <v>77</v>
      </c>
      <c r="B86" s="59" t="s">
        <v>138</v>
      </c>
      <c r="C86" s="62" t="s">
        <v>150</v>
      </c>
      <c r="D86" s="45" t="s">
        <v>151</v>
      </c>
      <c r="E86" s="44"/>
      <c r="F86" s="128">
        <v>217.53462971489921</v>
      </c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JR86"/>
      <c r="JU86"/>
    </row>
    <row r="87" spans="1:281" ht="18.75" x14ac:dyDescent="0.3">
      <c r="A87" s="70">
        <v>78</v>
      </c>
      <c r="B87" s="59" t="s">
        <v>135</v>
      </c>
      <c r="C87" s="62" t="s">
        <v>150</v>
      </c>
      <c r="D87" s="45" t="s">
        <v>151</v>
      </c>
      <c r="E87" s="44"/>
      <c r="F87" s="128">
        <v>170.01081164359454</v>
      </c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JR87"/>
      <c r="JU87"/>
    </row>
    <row r="88" spans="1:281" ht="18.75" x14ac:dyDescent="0.3">
      <c r="A88" s="70">
        <v>79</v>
      </c>
      <c r="B88" s="59" t="s">
        <v>138</v>
      </c>
      <c r="C88" s="62" t="s">
        <v>152</v>
      </c>
      <c r="D88" s="45" t="s">
        <v>153</v>
      </c>
      <c r="E88" s="44"/>
      <c r="F88" s="128">
        <v>240.55684338962539</v>
      </c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JR88"/>
      <c r="JU88"/>
    </row>
    <row r="89" spans="1:281" ht="18.75" x14ac:dyDescent="0.3">
      <c r="A89" s="70">
        <v>80</v>
      </c>
      <c r="B89" s="46" t="s">
        <v>141</v>
      </c>
      <c r="C89" s="60" t="s">
        <v>154</v>
      </c>
      <c r="D89" s="45" t="s">
        <v>155</v>
      </c>
      <c r="E89" s="44"/>
      <c r="F89" s="128">
        <v>220.12253680779818</v>
      </c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JR89"/>
      <c r="JU89"/>
    </row>
    <row r="90" spans="1:281" ht="18.75" x14ac:dyDescent="0.3">
      <c r="A90" s="70">
        <v>82</v>
      </c>
      <c r="B90" s="59" t="s">
        <v>135</v>
      </c>
      <c r="C90" s="60" t="s">
        <v>156</v>
      </c>
      <c r="D90" s="45" t="s">
        <v>157</v>
      </c>
      <c r="E90" s="44"/>
      <c r="F90" s="128">
        <v>194.45730242315619</v>
      </c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JR90"/>
      <c r="JU90"/>
    </row>
    <row r="91" spans="1:281" ht="18.75" x14ac:dyDescent="0.3">
      <c r="A91" s="70">
        <v>83</v>
      </c>
      <c r="B91" s="59" t="s">
        <v>135</v>
      </c>
      <c r="C91" s="61" t="s">
        <v>158</v>
      </c>
      <c r="D91" s="45" t="s">
        <v>159</v>
      </c>
      <c r="E91" s="44"/>
      <c r="F91" s="128">
        <v>-8.408040914320793</v>
      </c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JR91"/>
      <c r="JU91"/>
    </row>
    <row r="92" spans="1:281" ht="18.75" x14ac:dyDescent="0.3">
      <c r="A92" s="70">
        <v>84</v>
      </c>
      <c r="B92" s="59" t="s">
        <v>138</v>
      </c>
      <c r="C92" s="60" t="s">
        <v>160</v>
      </c>
      <c r="D92" s="45" t="s">
        <v>161</v>
      </c>
      <c r="E92" s="44"/>
      <c r="F92" s="128">
        <v>113.93114076829221</v>
      </c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JR92"/>
      <c r="JU92"/>
    </row>
    <row r="93" spans="1:281" ht="18.75" x14ac:dyDescent="0.3">
      <c r="A93" s="70">
        <v>85</v>
      </c>
      <c r="B93" s="59" t="s">
        <v>141</v>
      </c>
      <c r="C93" s="60" t="s">
        <v>160</v>
      </c>
      <c r="D93" s="45" t="s">
        <v>161</v>
      </c>
      <c r="E93" s="44"/>
      <c r="F93" s="128">
        <v>146.67788411533621</v>
      </c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JR93"/>
      <c r="JU93"/>
    </row>
    <row r="94" spans="1:281" ht="18.75" x14ac:dyDescent="0.3">
      <c r="A94" s="70">
        <v>86</v>
      </c>
      <c r="B94" s="59" t="s">
        <v>162</v>
      </c>
      <c r="C94" s="60" t="s">
        <v>160</v>
      </c>
      <c r="D94" s="45" t="s">
        <v>161</v>
      </c>
      <c r="E94" s="44"/>
      <c r="F94" s="128">
        <v>192.77436383570523</v>
      </c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JR94"/>
      <c r="JU94"/>
    </row>
    <row r="95" spans="1:281" ht="18.75" x14ac:dyDescent="0.3">
      <c r="A95" s="70">
        <v>87</v>
      </c>
      <c r="B95" s="59" t="s">
        <v>138</v>
      </c>
      <c r="C95" s="62" t="s">
        <v>163</v>
      </c>
      <c r="D95" s="45" t="s">
        <v>164</v>
      </c>
      <c r="E95" s="44"/>
      <c r="F95" s="128">
        <v>289.31056951284319</v>
      </c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JR95"/>
      <c r="JU95"/>
    </row>
    <row r="96" spans="1:281" ht="18.75" x14ac:dyDescent="0.3">
      <c r="A96" s="70">
        <v>88</v>
      </c>
      <c r="B96" s="59" t="s">
        <v>138</v>
      </c>
      <c r="C96" s="63" t="s">
        <v>165</v>
      </c>
      <c r="D96" s="45" t="s">
        <v>166</v>
      </c>
      <c r="E96" s="44"/>
      <c r="F96" s="128">
        <v>213.05960366040017</v>
      </c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JR96"/>
      <c r="JU96"/>
    </row>
    <row r="97" spans="1:281" ht="18.75" x14ac:dyDescent="0.3">
      <c r="A97" s="70">
        <v>89</v>
      </c>
      <c r="B97" s="59" t="s">
        <v>138</v>
      </c>
      <c r="C97" s="62" t="s">
        <v>167</v>
      </c>
      <c r="D97" s="45" t="s">
        <v>168</v>
      </c>
      <c r="E97" s="44"/>
      <c r="F97" s="128">
        <v>125.85376063562872</v>
      </c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JR97"/>
      <c r="JU97"/>
    </row>
    <row r="98" spans="1:281" ht="18.75" x14ac:dyDescent="0.3">
      <c r="A98" s="70">
        <v>90</v>
      </c>
      <c r="B98" s="59" t="s">
        <v>138</v>
      </c>
      <c r="C98" s="61" t="s">
        <v>169</v>
      </c>
      <c r="D98" s="45" t="s">
        <v>170</v>
      </c>
      <c r="E98" s="44"/>
      <c r="F98" s="128">
        <v>127.94439383748171</v>
      </c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JR98"/>
      <c r="JU98"/>
    </row>
    <row r="99" spans="1:281" ht="18.75" x14ac:dyDescent="0.3">
      <c r="A99" s="70">
        <v>91</v>
      </c>
      <c r="B99" s="59" t="s">
        <v>146</v>
      </c>
      <c r="C99" s="61" t="s">
        <v>169</v>
      </c>
      <c r="D99" s="45" t="s">
        <v>170</v>
      </c>
      <c r="E99" s="44"/>
      <c r="F99" s="128">
        <v>24.560323243105898</v>
      </c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JR99"/>
      <c r="JU99"/>
    </row>
    <row r="100" spans="1:281" ht="18.75" x14ac:dyDescent="0.3">
      <c r="A100" s="70">
        <v>92</v>
      </c>
      <c r="B100" s="59" t="s">
        <v>171</v>
      </c>
      <c r="C100" s="61" t="s">
        <v>169</v>
      </c>
      <c r="D100" s="45" t="s">
        <v>170</v>
      </c>
      <c r="E100" s="44"/>
      <c r="F100" s="128">
        <v>41.861871110443204</v>
      </c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</row>
    <row r="101" spans="1:281" ht="18.75" x14ac:dyDescent="0.3">
      <c r="A101" s="70">
        <v>93</v>
      </c>
      <c r="B101" s="59" t="s">
        <v>135</v>
      </c>
      <c r="C101" s="60" t="s">
        <v>172</v>
      </c>
      <c r="D101" s="45" t="s">
        <v>173</v>
      </c>
      <c r="E101" s="44"/>
      <c r="F101" s="128">
        <v>184.27545401876318</v>
      </c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</row>
    <row r="102" spans="1:281" ht="18.75" x14ac:dyDescent="0.3">
      <c r="A102" s="70">
        <v>94</v>
      </c>
      <c r="B102" s="59" t="s">
        <v>162</v>
      </c>
      <c r="C102" s="62" t="s">
        <v>174</v>
      </c>
      <c r="D102" s="45" t="s">
        <v>175</v>
      </c>
      <c r="E102" s="44"/>
      <c r="F102" s="128">
        <v>122.4053677545822</v>
      </c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</row>
    <row r="103" spans="1:281" ht="18.75" x14ac:dyDescent="0.3">
      <c r="A103" s="70">
        <v>95</v>
      </c>
      <c r="B103" s="59" t="s">
        <v>135</v>
      </c>
      <c r="C103" s="63" t="s">
        <v>176</v>
      </c>
      <c r="D103" s="45" t="s">
        <v>177</v>
      </c>
      <c r="E103" s="44"/>
      <c r="F103" s="128">
        <v>31.137084221590186</v>
      </c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</row>
    <row r="104" spans="1:281" ht="18.75" x14ac:dyDescent="0.3">
      <c r="A104" s="70">
        <v>96</v>
      </c>
      <c r="B104" s="59" t="s">
        <v>146</v>
      </c>
      <c r="C104" s="61" t="s">
        <v>158</v>
      </c>
      <c r="D104" s="45" t="s">
        <v>159</v>
      </c>
      <c r="E104" s="44"/>
      <c r="F104" s="128">
        <v>24.578956142773421</v>
      </c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</row>
    <row r="105" spans="1:281" ht="18.75" x14ac:dyDescent="0.3">
      <c r="A105" s="70">
        <v>97</v>
      </c>
      <c r="B105" s="59" t="s">
        <v>178</v>
      </c>
      <c r="C105" s="61" t="s">
        <v>158</v>
      </c>
      <c r="D105" s="45" t="s">
        <v>159</v>
      </c>
      <c r="E105" s="44"/>
      <c r="F105" s="128">
        <v>55.696663310551202</v>
      </c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</row>
    <row r="106" spans="1:281" ht="18.75" x14ac:dyDescent="0.3">
      <c r="A106" s="70">
        <v>98</v>
      </c>
      <c r="B106" s="59" t="s">
        <v>141</v>
      </c>
      <c r="C106" s="60" t="s">
        <v>156</v>
      </c>
      <c r="D106" s="45" t="s">
        <v>157</v>
      </c>
      <c r="E106" s="44"/>
      <c r="F106" s="128" t="s">
        <v>424</v>
      </c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</row>
    <row r="107" spans="1:281" x14ac:dyDescent="0.25">
      <c r="F107" s="99"/>
    </row>
    <row r="108" spans="1:281" x14ac:dyDescent="0.25">
      <c r="F108" s="101"/>
    </row>
    <row r="109" spans="1:281" x14ac:dyDescent="0.25">
      <c r="F109" s="100"/>
    </row>
    <row r="110" spans="1:281" x14ac:dyDescent="0.25">
      <c r="F110" s="100"/>
    </row>
    <row r="111" spans="1:281" x14ac:dyDescent="0.25">
      <c r="F111" s="100"/>
    </row>
    <row r="112" spans="1:281" x14ac:dyDescent="0.25">
      <c r="F112" s="100"/>
    </row>
    <row r="113" spans="6:6" x14ac:dyDescent="0.25">
      <c r="F113" s="100"/>
    </row>
    <row r="114" spans="6:6" x14ac:dyDescent="0.25">
      <c r="F114" s="100"/>
    </row>
    <row r="115" spans="6:6" x14ac:dyDescent="0.25">
      <c r="F115" s="100"/>
    </row>
    <row r="116" spans="6:6" x14ac:dyDescent="0.25">
      <c r="F116" s="100"/>
    </row>
    <row r="117" spans="6:6" x14ac:dyDescent="0.25">
      <c r="F117" s="100"/>
    </row>
    <row r="118" spans="6:6" x14ac:dyDescent="0.25">
      <c r="F118" s="100"/>
    </row>
    <row r="119" spans="6:6" x14ac:dyDescent="0.25">
      <c r="F119" s="100"/>
    </row>
    <row r="120" spans="6:6" x14ac:dyDescent="0.25">
      <c r="F120"/>
    </row>
    <row r="121" spans="6:6" x14ac:dyDescent="0.25">
      <c r="F121"/>
    </row>
    <row r="122" spans="6:6" x14ac:dyDescent="0.25">
      <c r="F122"/>
    </row>
    <row r="123" spans="6:6" x14ac:dyDescent="0.25">
      <c r="F123"/>
    </row>
    <row r="124" spans="6:6" x14ac:dyDescent="0.25">
      <c r="F124"/>
    </row>
    <row r="125" spans="6:6" x14ac:dyDescent="0.25">
      <c r="F125"/>
    </row>
    <row r="126" spans="6:6" x14ac:dyDescent="0.25">
      <c r="F126"/>
    </row>
    <row r="127" spans="6:6" x14ac:dyDescent="0.25">
      <c r="F127"/>
    </row>
    <row r="128" spans="6:6" x14ac:dyDescent="0.25">
      <c r="F128" s="100"/>
    </row>
    <row r="398" spans="1:664" ht="18" x14ac:dyDescent="0.25">
      <c r="WT398" s="234" t="s">
        <v>38</v>
      </c>
      <c r="WU398" s="234">
        <v>9</v>
      </c>
      <c r="WV398" s="234">
        <v>10</v>
      </c>
      <c r="WW398" s="137" t="s">
        <v>38</v>
      </c>
      <c r="WX398" s="234">
        <v>11</v>
      </c>
      <c r="WY398" s="234">
        <v>12</v>
      </c>
      <c r="WZ398" s="234">
        <v>13</v>
      </c>
      <c r="XA398" s="234">
        <v>16</v>
      </c>
      <c r="XB398" s="234" t="s">
        <v>38</v>
      </c>
      <c r="XC398" s="234">
        <v>26</v>
      </c>
      <c r="XD398" s="234">
        <v>28</v>
      </c>
      <c r="XE398" s="234">
        <v>30</v>
      </c>
      <c r="XF398" s="234" t="s">
        <v>38</v>
      </c>
      <c r="XG398" s="234">
        <v>31</v>
      </c>
      <c r="XH398" s="234">
        <v>32</v>
      </c>
      <c r="XI398" s="234">
        <v>37</v>
      </c>
      <c r="XJ398" s="234">
        <v>38</v>
      </c>
      <c r="XK398" s="234">
        <v>40</v>
      </c>
      <c r="XL398" s="234" t="s">
        <v>38</v>
      </c>
      <c r="XM398" s="234" t="s">
        <v>38</v>
      </c>
      <c r="XN398" s="234">
        <v>57</v>
      </c>
      <c r="XO398" s="234">
        <v>60</v>
      </c>
      <c r="XP398" s="234">
        <v>67</v>
      </c>
      <c r="XQ398" s="234" t="s">
        <v>38</v>
      </c>
      <c r="XR398" s="187" t="s">
        <v>38</v>
      </c>
      <c r="XS398" s="187" t="s">
        <v>38</v>
      </c>
      <c r="XT398" s="234">
        <v>70</v>
      </c>
      <c r="XU398" s="234">
        <v>71</v>
      </c>
      <c r="XV398" s="234">
        <v>73</v>
      </c>
      <c r="XW398" s="234">
        <v>74</v>
      </c>
      <c r="XX398" s="234" t="s">
        <v>38</v>
      </c>
      <c r="XY398" s="234">
        <v>78</v>
      </c>
      <c r="XZ398" s="234">
        <v>85</v>
      </c>
      <c r="YA398" s="234">
        <v>86</v>
      </c>
      <c r="YB398" s="234" t="s">
        <v>38</v>
      </c>
      <c r="YC398" s="234">
        <v>96</v>
      </c>
      <c r="YD398" s="234">
        <v>98</v>
      </c>
      <c r="YE398" s="234" t="s">
        <v>38</v>
      </c>
      <c r="YF398" s="234">
        <v>104</v>
      </c>
      <c r="YG398" s="234">
        <v>120</v>
      </c>
      <c r="YH398" s="234">
        <v>140</v>
      </c>
      <c r="YI398" s="234">
        <v>149</v>
      </c>
      <c r="YJ398" s="234">
        <v>180</v>
      </c>
      <c r="YK398" s="234" t="s">
        <v>38</v>
      </c>
      <c r="YL398" s="234">
        <v>181</v>
      </c>
      <c r="YM398" s="234">
        <v>189</v>
      </c>
      <c r="YN398" s="68" t="s">
        <v>262</v>
      </c>
    </row>
    <row r="399" spans="1:664" s="18" customFormat="1" ht="18" x14ac:dyDescent="0.25">
      <c r="A399" s="270"/>
      <c r="X399" s="271"/>
      <c r="BO399" s="270"/>
      <c r="CH399" s="270"/>
      <c r="JR399" s="270"/>
      <c r="KR399" s="270"/>
      <c r="LG399" s="270"/>
      <c r="LX399" s="270"/>
      <c r="LY399" s="270"/>
      <c r="WT399" s="272"/>
      <c r="WU399" s="272" t="s">
        <v>40</v>
      </c>
      <c r="WV399" s="272" t="s">
        <v>40</v>
      </c>
      <c r="WW399" s="273"/>
      <c r="WX399" s="272" t="s">
        <v>40</v>
      </c>
      <c r="WY399" s="272" t="s">
        <v>40</v>
      </c>
      <c r="WZ399" s="272" t="s">
        <v>40</v>
      </c>
      <c r="XA399" s="274" t="s">
        <v>39</v>
      </c>
      <c r="XB399" s="272"/>
      <c r="XC399" s="274" t="s">
        <v>41</v>
      </c>
      <c r="XD399" s="274" t="s">
        <v>41</v>
      </c>
      <c r="XE399" s="272" t="s">
        <v>40</v>
      </c>
      <c r="XF399" s="272"/>
      <c r="XG399" s="274" t="s">
        <v>41</v>
      </c>
      <c r="XH399" s="274" t="s">
        <v>39</v>
      </c>
      <c r="XI399" s="272" t="s">
        <v>40</v>
      </c>
      <c r="XJ399" s="274" t="s">
        <v>41</v>
      </c>
      <c r="XK399" s="274" t="s">
        <v>39</v>
      </c>
      <c r="XL399" s="272"/>
      <c r="XM399" s="272"/>
      <c r="XN399" s="274" t="s">
        <v>41</v>
      </c>
      <c r="XO399" s="275" t="s">
        <v>42</v>
      </c>
      <c r="XP399" s="275" t="s">
        <v>42</v>
      </c>
      <c r="XQ399" s="272"/>
      <c r="XR399" s="273"/>
      <c r="XS399" s="273"/>
      <c r="XT399" s="275" t="s">
        <v>42</v>
      </c>
      <c r="XU399" s="274" t="s">
        <v>39</v>
      </c>
      <c r="XV399" s="275" t="s">
        <v>42</v>
      </c>
      <c r="XW399" s="274" t="s">
        <v>39</v>
      </c>
      <c r="XX399" s="272"/>
      <c r="XY399" s="274" t="s">
        <v>39</v>
      </c>
      <c r="XZ399" s="274" t="s">
        <v>39</v>
      </c>
      <c r="YA399" s="274" t="s">
        <v>41</v>
      </c>
      <c r="YB399" s="272"/>
      <c r="YC399" s="275" t="s">
        <v>42</v>
      </c>
      <c r="YD399" s="275" t="s">
        <v>42</v>
      </c>
      <c r="YE399" s="272"/>
      <c r="YF399" s="274" t="s">
        <v>39</v>
      </c>
      <c r="YG399" s="274" t="s">
        <v>39</v>
      </c>
      <c r="YH399" s="275" t="s">
        <v>42</v>
      </c>
      <c r="YI399" s="275" t="s">
        <v>42</v>
      </c>
      <c r="YJ399" s="274" t="s">
        <v>39</v>
      </c>
      <c r="YK399" s="272"/>
      <c r="YL399" s="275" t="s">
        <v>42</v>
      </c>
      <c r="YM399" s="275" t="s">
        <v>42</v>
      </c>
      <c r="YN399" s="276"/>
    </row>
    <row r="400" spans="1:664" ht="18.75" x14ac:dyDescent="0.3">
      <c r="NX400" s="30">
        <v>8</v>
      </c>
      <c r="NY400" s="30">
        <v>9</v>
      </c>
      <c r="NZ400" s="30">
        <v>11</v>
      </c>
      <c r="OA400" s="30">
        <v>33</v>
      </c>
      <c r="OB400" s="32" t="s">
        <v>38</v>
      </c>
      <c r="OC400" s="30">
        <v>35</v>
      </c>
      <c r="OD400" s="30">
        <v>36</v>
      </c>
      <c r="OE400" s="30">
        <v>38</v>
      </c>
      <c r="OF400" s="32" t="s">
        <v>38</v>
      </c>
      <c r="OG400" s="32" t="s">
        <v>38</v>
      </c>
      <c r="OH400" s="30">
        <v>55</v>
      </c>
      <c r="OI400" s="30">
        <v>57</v>
      </c>
      <c r="OJ400" s="30">
        <v>65</v>
      </c>
      <c r="OK400" s="30">
        <v>69</v>
      </c>
      <c r="OL400" s="30">
        <v>76</v>
      </c>
      <c r="OM400" s="30" t="s">
        <v>38</v>
      </c>
      <c r="ON400" s="30">
        <v>84</v>
      </c>
      <c r="OO400" s="30" t="s">
        <v>38</v>
      </c>
      <c r="OP400" s="30">
        <v>96</v>
      </c>
      <c r="OQ400" s="30">
        <v>170</v>
      </c>
      <c r="OR400" s="30">
        <v>172</v>
      </c>
      <c r="OS400" s="30">
        <v>178</v>
      </c>
      <c r="OT400" s="30">
        <v>194</v>
      </c>
      <c r="OU400" s="27"/>
      <c r="OV400" s="27"/>
      <c r="OW400" s="30">
        <v>11</v>
      </c>
      <c r="OX400" s="30">
        <v>18</v>
      </c>
      <c r="OY400" s="30">
        <v>28</v>
      </c>
      <c r="OZ400" s="30">
        <v>31</v>
      </c>
      <c r="PA400" s="30">
        <v>50</v>
      </c>
      <c r="PB400" s="30">
        <v>66</v>
      </c>
      <c r="PC400" s="30">
        <v>72</v>
      </c>
      <c r="PD400" s="30">
        <v>73</v>
      </c>
      <c r="PE400" s="30">
        <v>83</v>
      </c>
      <c r="PF400" s="30">
        <v>96</v>
      </c>
      <c r="PG400" s="30">
        <v>111</v>
      </c>
      <c r="PH400" s="30">
        <v>127</v>
      </c>
      <c r="PI400" s="30">
        <v>160</v>
      </c>
      <c r="PJ400" s="30">
        <v>190</v>
      </c>
      <c r="PK400" s="27"/>
      <c r="QO400" s="260" t="s">
        <v>81</v>
      </c>
      <c r="QP400" t="s">
        <v>195</v>
      </c>
      <c r="QQ400" t="s">
        <v>196</v>
      </c>
      <c r="QR400" t="s">
        <v>14</v>
      </c>
      <c r="QS400" t="s">
        <v>197</v>
      </c>
      <c r="QT400" t="s">
        <v>6</v>
      </c>
      <c r="QU400" t="s">
        <v>185</v>
      </c>
      <c r="QW400" t="s">
        <v>22</v>
      </c>
      <c r="QX400" t="s">
        <v>198</v>
      </c>
      <c r="QY400" t="s">
        <v>6</v>
      </c>
      <c r="QZ400" t="s">
        <v>20</v>
      </c>
      <c r="RA400" t="s">
        <v>199</v>
      </c>
      <c r="RC400" t="s">
        <v>12</v>
      </c>
      <c r="RD400" t="s">
        <v>2</v>
      </c>
      <c r="RE400" t="s">
        <v>1</v>
      </c>
      <c r="RF400" t="s">
        <v>7</v>
      </c>
      <c r="RG400" t="s">
        <v>8</v>
      </c>
      <c r="RJ400" t="s">
        <v>11</v>
      </c>
      <c r="RK400" t="s">
        <v>2</v>
      </c>
      <c r="RL400" t="s">
        <v>6</v>
      </c>
      <c r="RN400" t="s">
        <v>200</v>
      </c>
      <c r="RO400" t="s">
        <v>201</v>
      </c>
      <c r="RP400" t="s">
        <v>14</v>
      </c>
      <c r="RQ400" t="s">
        <v>5</v>
      </c>
      <c r="RS400" t="s">
        <v>10</v>
      </c>
      <c r="RT400" t="s">
        <v>21</v>
      </c>
      <c r="RV400" t="s">
        <v>7</v>
      </c>
      <c r="RW400" t="s">
        <v>3</v>
      </c>
      <c r="RX400" t="s">
        <v>202</v>
      </c>
      <c r="RY400" t="s">
        <v>20</v>
      </c>
      <c r="RZ400" t="s">
        <v>185</v>
      </c>
      <c r="SB400" t="s">
        <v>1</v>
      </c>
      <c r="SC400" t="s">
        <v>1</v>
      </c>
      <c r="SD400" t="s">
        <v>10</v>
      </c>
      <c r="SE400" t="s">
        <v>14</v>
      </c>
      <c r="SF400" t="s">
        <v>7</v>
      </c>
      <c r="SH400" t="s">
        <v>15</v>
      </c>
      <c r="SI400" t="s">
        <v>5</v>
      </c>
      <c r="SJ400" s="246" t="s">
        <v>261</v>
      </c>
      <c r="SK400" s="260" t="s">
        <v>81</v>
      </c>
      <c r="SL400" s="246" t="s">
        <v>261</v>
      </c>
      <c r="WS400" s="45" t="s">
        <v>81</v>
      </c>
      <c r="WT400" t="str">
        <f>+IF(TR14=0,WT14,"")</f>
        <v/>
      </c>
      <c r="WU400" s="27" t="str">
        <f t="shared" ref="WU400:YN400" si="167">+IF(TS14=0,WU14,"")</f>
        <v/>
      </c>
      <c r="WV400" s="27" t="str">
        <f t="shared" si="167"/>
        <v/>
      </c>
      <c r="WW400" s="27" t="str">
        <f t="shared" si="167"/>
        <v/>
      </c>
      <c r="WX400" s="27" t="str">
        <f t="shared" si="167"/>
        <v/>
      </c>
      <c r="WY400" s="27" t="str">
        <f t="shared" si="167"/>
        <v/>
      </c>
      <c r="WZ400" s="27" t="str">
        <f t="shared" si="167"/>
        <v/>
      </c>
      <c r="XA400" s="27" t="str">
        <f t="shared" si="167"/>
        <v/>
      </c>
      <c r="XB400" s="27" t="str">
        <f t="shared" si="167"/>
        <v/>
      </c>
      <c r="XC400" s="27" t="str">
        <f t="shared" si="167"/>
        <v/>
      </c>
      <c r="XD400" s="27" t="str">
        <f t="shared" si="167"/>
        <v/>
      </c>
      <c r="XE400" s="27" t="str">
        <f t="shared" si="167"/>
        <v/>
      </c>
      <c r="XF400" s="27" t="str">
        <f t="shared" si="167"/>
        <v/>
      </c>
      <c r="XG400" s="27" t="str">
        <f t="shared" si="167"/>
        <v/>
      </c>
      <c r="XH400" s="27" t="str">
        <f t="shared" si="167"/>
        <v/>
      </c>
      <c r="XI400" s="27" t="str">
        <f t="shared" si="167"/>
        <v/>
      </c>
      <c r="XJ400" s="27" t="str">
        <f t="shared" si="167"/>
        <v/>
      </c>
      <c r="XK400" s="27" t="str">
        <f t="shared" si="167"/>
        <v/>
      </c>
      <c r="XL400" s="27" t="str">
        <f t="shared" si="167"/>
        <v/>
      </c>
      <c r="XM400" s="27" t="str">
        <f t="shared" si="167"/>
        <v/>
      </c>
      <c r="XN400" s="27" t="str">
        <f t="shared" si="167"/>
        <v/>
      </c>
      <c r="XO400" s="27" t="str">
        <f t="shared" si="167"/>
        <v/>
      </c>
      <c r="XP400" s="27" t="str">
        <f t="shared" si="167"/>
        <v/>
      </c>
      <c r="XQ400" s="27" t="str">
        <f t="shared" si="167"/>
        <v/>
      </c>
      <c r="XR400" s="27" t="str">
        <f t="shared" si="167"/>
        <v/>
      </c>
      <c r="XS400" s="27" t="str">
        <f t="shared" si="167"/>
        <v/>
      </c>
      <c r="XT400" s="27" t="str">
        <f t="shared" si="167"/>
        <v/>
      </c>
      <c r="XU400" s="27" t="str">
        <f t="shared" si="167"/>
        <v/>
      </c>
      <c r="XV400" s="27" t="str">
        <f t="shared" si="167"/>
        <v/>
      </c>
      <c r="XW400" s="27" t="str">
        <f t="shared" si="167"/>
        <v/>
      </c>
      <c r="XX400" s="27" t="str">
        <f t="shared" si="167"/>
        <v/>
      </c>
      <c r="XY400" s="27" t="str">
        <f t="shared" si="167"/>
        <v/>
      </c>
      <c r="XZ400" s="27" t="str">
        <f t="shared" si="167"/>
        <v/>
      </c>
      <c r="YA400" s="27" t="str">
        <f t="shared" si="167"/>
        <v/>
      </c>
      <c r="YB400" s="27" t="str">
        <f t="shared" si="167"/>
        <v/>
      </c>
      <c r="YC400" s="27" t="str">
        <f t="shared" si="167"/>
        <v/>
      </c>
      <c r="YD400" s="27" t="str">
        <f t="shared" si="167"/>
        <v/>
      </c>
      <c r="YE400" s="27" t="str">
        <f t="shared" si="167"/>
        <v/>
      </c>
      <c r="YF400" s="27" t="str">
        <f t="shared" si="167"/>
        <v/>
      </c>
      <c r="YG400" s="27" t="str">
        <f t="shared" si="167"/>
        <v/>
      </c>
      <c r="YH400" s="27" t="str">
        <f t="shared" si="167"/>
        <v/>
      </c>
      <c r="YI400" s="27" t="str">
        <f t="shared" si="167"/>
        <v/>
      </c>
      <c r="YJ400" s="27" t="str">
        <f t="shared" si="167"/>
        <v/>
      </c>
      <c r="YK400" s="27" t="str">
        <f t="shared" si="167"/>
        <v/>
      </c>
      <c r="YL400" s="27" t="str">
        <f t="shared" si="167"/>
        <v/>
      </c>
      <c r="YM400" s="27" t="str">
        <f t="shared" si="167"/>
        <v/>
      </c>
      <c r="YN400" s="27" t="str">
        <f t="shared" si="167"/>
        <v/>
      </c>
    </row>
    <row r="401" spans="28:664" ht="18.75" x14ac:dyDescent="0.3">
      <c r="AB401" s="277" t="s">
        <v>0</v>
      </c>
      <c r="BQ401" s="277" t="s">
        <v>63</v>
      </c>
      <c r="JP401" s="68" t="s">
        <v>136</v>
      </c>
      <c r="JQ401" s="68" t="s">
        <v>135</v>
      </c>
      <c r="JR401"/>
      <c r="NX401" s="25" t="s">
        <v>39</v>
      </c>
      <c r="NY401" s="33" t="s">
        <v>40</v>
      </c>
      <c r="NZ401" s="33" t="s">
        <v>40</v>
      </c>
      <c r="OA401" s="25" t="s">
        <v>39</v>
      </c>
      <c r="OB401" s="31"/>
      <c r="OC401" s="25" t="s">
        <v>39</v>
      </c>
      <c r="OD401" s="25" t="s">
        <v>39</v>
      </c>
      <c r="OE401" s="25" t="s">
        <v>41</v>
      </c>
      <c r="OF401" s="31"/>
      <c r="OG401" s="31"/>
      <c r="OH401" s="25" t="s">
        <v>41</v>
      </c>
      <c r="OI401" s="25" t="s">
        <v>42</v>
      </c>
      <c r="OJ401" s="25" t="s">
        <v>42</v>
      </c>
      <c r="OK401" s="25" t="s">
        <v>42</v>
      </c>
      <c r="OL401" s="25" t="s">
        <v>39</v>
      </c>
      <c r="OM401" s="31"/>
      <c r="ON401" s="25" t="s">
        <v>39</v>
      </c>
      <c r="OO401" s="31"/>
      <c r="OP401" s="25" t="s">
        <v>39</v>
      </c>
      <c r="OQ401" s="25" t="s">
        <v>42</v>
      </c>
      <c r="OR401" s="25" t="s">
        <v>39</v>
      </c>
      <c r="OS401" s="25" t="s">
        <v>39</v>
      </c>
      <c r="OT401" s="25" t="s">
        <v>39</v>
      </c>
      <c r="OU401" s="27"/>
      <c r="OV401" s="27"/>
      <c r="OW401" s="25" t="s">
        <v>40</v>
      </c>
      <c r="OX401" s="25" t="s">
        <v>40</v>
      </c>
      <c r="OY401" s="25" t="s">
        <v>41</v>
      </c>
      <c r="OZ401" s="25" t="s">
        <v>40</v>
      </c>
      <c r="PA401" s="25" t="s">
        <v>38</v>
      </c>
      <c r="PB401" s="25" t="s">
        <v>40</v>
      </c>
      <c r="PC401" s="25" t="s">
        <v>39</v>
      </c>
      <c r="PD401" s="25" t="s">
        <v>40</v>
      </c>
      <c r="PE401" s="25" t="s">
        <v>39</v>
      </c>
      <c r="PF401" s="25" t="s">
        <v>39</v>
      </c>
      <c r="PG401" s="25" t="s">
        <v>39</v>
      </c>
      <c r="PH401" s="25" t="s">
        <v>39</v>
      </c>
      <c r="PI401" s="25" t="s">
        <v>39</v>
      </c>
      <c r="PJ401" s="25" t="s">
        <v>39</v>
      </c>
      <c r="PK401" s="27"/>
      <c r="QO401" s="260" t="s">
        <v>83</v>
      </c>
      <c r="QP401" t="s">
        <v>195</v>
      </c>
      <c r="QQ401" t="s">
        <v>196</v>
      </c>
      <c r="QR401" t="s">
        <v>14</v>
      </c>
      <c r="QS401" t="s">
        <v>197</v>
      </c>
      <c r="QT401" t="s">
        <v>6</v>
      </c>
      <c r="QU401" t="s">
        <v>185</v>
      </c>
      <c r="QW401" t="s">
        <v>22</v>
      </c>
      <c r="QX401" t="s">
        <v>198</v>
      </c>
      <c r="QY401" t="s">
        <v>6</v>
      </c>
      <c r="QZ401" t="s">
        <v>20</v>
      </c>
      <c r="RA401" t="s">
        <v>199</v>
      </c>
      <c r="RC401" t="s">
        <v>12</v>
      </c>
      <c r="RD401" t="s">
        <v>2</v>
      </c>
      <c r="RE401" t="s">
        <v>1</v>
      </c>
      <c r="RF401" t="s">
        <v>7</v>
      </c>
      <c r="RG401" t="s">
        <v>8</v>
      </c>
      <c r="RJ401" t="s">
        <v>11</v>
      </c>
      <c r="RK401" t="s">
        <v>2</v>
      </c>
      <c r="RL401" t="s">
        <v>6</v>
      </c>
      <c r="RN401" t="s">
        <v>200</v>
      </c>
      <c r="RO401" t="s">
        <v>201</v>
      </c>
      <c r="RP401" t="s">
        <v>14</v>
      </c>
      <c r="RQ401" t="s">
        <v>5</v>
      </c>
      <c r="RS401" t="s">
        <v>10</v>
      </c>
      <c r="RT401" t="s">
        <v>21</v>
      </c>
      <c r="RV401" t="s">
        <v>10</v>
      </c>
      <c r="RW401" t="s">
        <v>7</v>
      </c>
      <c r="RX401" t="s">
        <v>202</v>
      </c>
      <c r="RY401" t="s">
        <v>20</v>
      </c>
      <c r="RZ401" t="s">
        <v>185</v>
      </c>
      <c r="SB401" t="s">
        <v>1</v>
      </c>
      <c r="SC401" t="s">
        <v>1</v>
      </c>
      <c r="SD401" t="s">
        <v>10</v>
      </c>
      <c r="SE401" t="s">
        <v>14</v>
      </c>
      <c r="SF401" t="s">
        <v>7</v>
      </c>
      <c r="SH401" t="s">
        <v>15</v>
      </c>
      <c r="SI401" t="s">
        <v>5</v>
      </c>
      <c r="SJ401" s="246" t="s">
        <v>261</v>
      </c>
      <c r="SK401" s="260" t="s">
        <v>83</v>
      </c>
      <c r="SL401" s="246" t="s">
        <v>261</v>
      </c>
      <c r="WS401" s="45" t="s">
        <v>83</v>
      </c>
      <c r="WT401" s="27" t="str">
        <f t="shared" ref="WT401:WT435" si="168">+IF(TR15=0,WT15,"")</f>
        <v/>
      </c>
      <c r="WU401" s="27" t="str">
        <f t="shared" ref="WU401:WU435" si="169">+IF(TS15=0,WU15,"")</f>
        <v/>
      </c>
      <c r="WV401" s="27" t="str">
        <f t="shared" ref="WV401:WV435" si="170">+IF(TT15=0,WV15,"")</f>
        <v/>
      </c>
      <c r="WW401" s="27" t="str">
        <f t="shared" ref="WW401:WW435" si="171">+IF(TU15=0,WW15,"")</f>
        <v/>
      </c>
      <c r="WX401" s="27" t="str">
        <f t="shared" ref="WX401:WX435" si="172">+IF(TV15=0,WX15,"")</f>
        <v/>
      </c>
      <c r="WY401" s="27" t="str">
        <f t="shared" ref="WY401:WY435" si="173">+IF(TW15=0,WY15,"")</f>
        <v/>
      </c>
      <c r="WZ401" s="27" t="str">
        <f t="shared" ref="WZ401:WZ435" si="174">+IF(TX15=0,WZ15,"")</f>
        <v/>
      </c>
      <c r="XA401" s="27" t="str">
        <f t="shared" ref="XA401:XA435" si="175">+IF(TY15=0,XA15,"")</f>
        <v/>
      </c>
      <c r="XB401" s="27" t="str">
        <f t="shared" ref="XB401:XB435" si="176">+IF(TZ15=0,XB15,"")</f>
        <v/>
      </c>
      <c r="XC401" s="27" t="str">
        <f t="shared" ref="XC401:XC435" si="177">+IF(UA15=0,XC15,"")</f>
        <v/>
      </c>
      <c r="XD401" s="27" t="str">
        <f t="shared" ref="XD401:XD435" si="178">+IF(UB15=0,XD15,"")</f>
        <v/>
      </c>
      <c r="XE401" s="27" t="str">
        <f t="shared" ref="XE401:XE435" si="179">+IF(UC15=0,XE15,"")</f>
        <v/>
      </c>
      <c r="XF401" s="27" t="str">
        <f t="shared" ref="XF401:XF435" si="180">+IF(UD15=0,XF15,"")</f>
        <v/>
      </c>
      <c r="XG401" s="27" t="str">
        <f t="shared" ref="XG401:XG435" si="181">+IF(UE15=0,XG15,"")</f>
        <v/>
      </c>
      <c r="XH401" s="27" t="str">
        <f t="shared" ref="XH401:XH435" si="182">+IF(UF15=0,XH15,"")</f>
        <v/>
      </c>
      <c r="XI401" s="27" t="str">
        <f t="shared" ref="XI401:XI435" si="183">+IF(UG15=0,XI15,"")</f>
        <v/>
      </c>
      <c r="XJ401" s="27" t="str">
        <f t="shared" ref="XJ401:XJ435" si="184">+IF(UH15=0,XJ15,"")</f>
        <v/>
      </c>
      <c r="XK401" s="27" t="str">
        <f t="shared" ref="XK401:XK435" si="185">+IF(UI15=0,XK15,"")</f>
        <v/>
      </c>
      <c r="XL401" s="27" t="str">
        <f t="shared" ref="XL401:XL435" si="186">+IF(UJ15=0,XL15,"")</f>
        <v/>
      </c>
      <c r="XM401" s="27" t="str">
        <f t="shared" ref="XM401:XM435" si="187">+IF(UK15=0,XM15,"")</f>
        <v/>
      </c>
      <c r="XN401" s="27" t="str">
        <f t="shared" ref="XN401:XN435" si="188">+IF(UL15=0,XN15,"")</f>
        <v/>
      </c>
      <c r="XO401" s="27" t="str">
        <f t="shared" ref="XO401:XO435" si="189">+IF(UM15=0,XO15,"")</f>
        <v/>
      </c>
      <c r="XP401" s="27" t="str">
        <f t="shared" ref="XP401:XP435" si="190">+IF(UN15=0,XP15,"")</f>
        <v/>
      </c>
      <c r="XQ401" s="27" t="str">
        <f t="shared" ref="XQ401:XQ435" si="191">+IF(UO15=0,XQ15,"")</f>
        <v/>
      </c>
      <c r="XR401" s="27" t="str">
        <f t="shared" ref="XR401:XR435" si="192">+IF(UP15=0,XR15,"")</f>
        <v/>
      </c>
      <c r="XS401" s="27" t="str">
        <f t="shared" ref="XS401:XS435" si="193">+IF(UQ15=0,XS15,"")</f>
        <v/>
      </c>
      <c r="XT401" s="27" t="str">
        <f t="shared" ref="XT401:XT435" si="194">+IF(UR15=0,XT15,"")</f>
        <v/>
      </c>
      <c r="XU401" s="27" t="str">
        <f t="shared" ref="XU401:XU435" si="195">+IF(US15=0,XU15,"")</f>
        <v/>
      </c>
      <c r="XV401" s="27" t="str">
        <f t="shared" ref="XV401:XV435" si="196">+IF(UT15=0,XV15,"")</f>
        <v/>
      </c>
      <c r="XW401" s="27" t="str">
        <f t="shared" ref="XW401:XW435" si="197">+IF(UU15=0,XW15,"")</f>
        <v/>
      </c>
      <c r="XX401" s="27" t="str">
        <f t="shared" ref="XX401:XX435" si="198">+IF(UV15=0,XX15,"")</f>
        <v/>
      </c>
      <c r="XY401" s="27" t="str">
        <f t="shared" ref="XY401:XY435" si="199">+IF(UW15=0,XY15,"")</f>
        <v/>
      </c>
      <c r="XZ401" s="27" t="str">
        <f t="shared" ref="XZ401:XZ435" si="200">+IF(UX15=0,XZ15,"")</f>
        <v/>
      </c>
      <c r="YA401" s="27" t="str">
        <f t="shared" ref="YA401:YA435" si="201">+IF(UY15=0,YA15,"")</f>
        <v/>
      </c>
      <c r="YB401" s="27" t="str">
        <f t="shared" ref="YB401:YB435" si="202">+IF(UZ15=0,YB15,"")</f>
        <v/>
      </c>
      <c r="YC401" s="27" t="str">
        <f t="shared" ref="YC401:YC435" si="203">+IF(VA15=0,YC15,"")</f>
        <v/>
      </c>
      <c r="YD401" s="27" t="str">
        <f t="shared" ref="YD401:YD435" si="204">+IF(VB15=0,YD15,"")</f>
        <v/>
      </c>
      <c r="YE401" s="27" t="str">
        <f t="shared" ref="YE401:YE435" si="205">+IF(VC15=0,YE15,"")</f>
        <v/>
      </c>
      <c r="YF401" s="27" t="str">
        <f t="shared" ref="YF401:YF435" si="206">+IF(VD15=0,YF15,"")</f>
        <v/>
      </c>
      <c r="YG401" s="27" t="str">
        <f t="shared" ref="YG401:YG435" si="207">+IF(VE15=0,YG15,"")</f>
        <v/>
      </c>
      <c r="YH401" s="27" t="str">
        <f t="shared" ref="YH401:YH435" si="208">+IF(VF15=0,YH15,"")</f>
        <v/>
      </c>
      <c r="YI401" s="27" t="str">
        <f t="shared" ref="YI401:YI435" si="209">+IF(VG15=0,YI15,"")</f>
        <v/>
      </c>
      <c r="YJ401" s="27" t="str">
        <f t="shared" ref="YJ401:YJ435" si="210">+IF(VH15=0,YJ15,"")</f>
        <v/>
      </c>
      <c r="YK401" s="27" t="str">
        <f t="shared" ref="YK401:YK435" si="211">+IF(VI15=0,YK15,"")</f>
        <v/>
      </c>
      <c r="YL401" s="27" t="str">
        <f t="shared" ref="YL401:YL435" si="212">+IF(VJ15=0,YL15,"")</f>
        <v/>
      </c>
      <c r="YM401" s="27" t="str">
        <f t="shared" ref="YM401:YM435" si="213">+IF(VK15=0,YM15,"")</f>
        <v/>
      </c>
      <c r="YN401" s="27" t="str">
        <f t="shared" ref="YN401:YN435" si="214">+IF(VL15=0,YN15,"")</f>
        <v/>
      </c>
    </row>
    <row r="402" spans="28:664" ht="18.75" x14ac:dyDescent="0.3">
      <c r="AB402" s="277" t="s">
        <v>16</v>
      </c>
      <c r="BQ402" s="277" t="s">
        <v>64</v>
      </c>
      <c r="GO402" s="27"/>
      <c r="GP402" s="27"/>
      <c r="GQ402" s="29" t="s">
        <v>39</v>
      </c>
      <c r="GR402" s="29" t="s">
        <v>40</v>
      </c>
      <c r="GS402" s="29" t="s">
        <v>40</v>
      </c>
      <c r="GT402" s="29" t="s">
        <v>40</v>
      </c>
      <c r="GU402" s="29" t="s">
        <v>39</v>
      </c>
      <c r="GV402" s="29" t="s">
        <v>40</v>
      </c>
      <c r="GW402" s="29" t="s">
        <v>40</v>
      </c>
      <c r="GX402" s="29" t="s">
        <v>41</v>
      </c>
      <c r="GY402" s="29" t="s">
        <v>41</v>
      </c>
      <c r="GZ402" s="29" t="s">
        <v>41</v>
      </c>
      <c r="HA402" s="6"/>
      <c r="HB402" s="6"/>
      <c r="HC402" s="4" t="s">
        <v>42</v>
      </c>
      <c r="HD402" s="6"/>
      <c r="HE402" s="6"/>
      <c r="HF402" s="29"/>
      <c r="HG402" s="29" t="s">
        <v>39</v>
      </c>
      <c r="HH402" s="29" t="s">
        <v>39</v>
      </c>
      <c r="HI402" s="4" t="s">
        <v>42</v>
      </c>
      <c r="HJ402" s="4" t="s">
        <v>42</v>
      </c>
      <c r="HK402" s="29" t="s">
        <v>39</v>
      </c>
      <c r="HL402" s="29" t="s">
        <v>39</v>
      </c>
      <c r="HM402" s="29" t="s">
        <v>39</v>
      </c>
      <c r="HN402" s="29" t="s">
        <v>39</v>
      </c>
      <c r="HO402" s="29" t="s">
        <v>39</v>
      </c>
      <c r="HP402" s="29" t="s">
        <v>41</v>
      </c>
      <c r="HQ402" s="6"/>
      <c r="HR402" s="6"/>
      <c r="HS402" s="29" t="s">
        <v>41</v>
      </c>
      <c r="HT402" s="29" t="s">
        <v>39</v>
      </c>
      <c r="HU402" s="29" t="s">
        <v>39</v>
      </c>
      <c r="HV402" s="29" t="s">
        <v>39</v>
      </c>
      <c r="HW402" s="29" t="s">
        <v>39</v>
      </c>
      <c r="HX402" s="29" t="s">
        <v>39</v>
      </c>
      <c r="HY402" s="29" t="s">
        <v>39</v>
      </c>
      <c r="HZ402" s="7"/>
      <c r="IA402" s="4" t="s">
        <v>42</v>
      </c>
      <c r="IB402" s="29" t="s">
        <v>39</v>
      </c>
      <c r="IC402" s="27"/>
      <c r="ID402" s="28" t="s">
        <v>41</v>
      </c>
      <c r="IE402" s="28" t="s">
        <v>40</v>
      </c>
      <c r="IF402" s="28" t="s">
        <v>40</v>
      </c>
      <c r="IG402" s="28"/>
      <c r="IH402" s="28" t="s">
        <v>39</v>
      </c>
      <c r="II402" s="28" t="s">
        <v>39</v>
      </c>
      <c r="IJ402" s="28"/>
      <c r="IK402" s="28" t="s">
        <v>39</v>
      </c>
      <c r="IL402" s="28" t="s">
        <v>39</v>
      </c>
      <c r="IM402" s="28" t="s">
        <v>39</v>
      </c>
      <c r="IN402" s="28" t="s">
        <v>39</v>
      </c>
      <c r="IO402" s="28" t="s">
        <v>40</v>
      </c>
      <c r="IP402" s="28" t="s">
        <v>39</v>
      </c>
      <c r="IQ402" s="28" t="s">
        <v>41</v>
      </c>
      <c r="IR402" s="28" t="s">
        <v>41</v>
      </c>
      <c r="IS402" s="28" t="s">
        <v>39</v>
      </c>
      <c r="IT402" s="28" t="s">
        <v>39</v>
      </c>
      <c r="IU402" s="28" t="s">
        <v>39</v>
      </c>
      <c r="JP402" s="68" t="s">
        <v>139</v>
      </c>
      <c r="JQ402" s="68" t="s">
        <v>171</v>
      </c>
      <c r="JR402"/>
      <c r="NU402" s="34" t="s">
        <v>136</v>
      </c>
      <c r="NX402" t="str">
        <f>+IF(AND(NX14&lt;&gt;"*",LZ14=0),NX14,"")</f>
        <v/>
      </c>
      <c r="NY402" s="27" t="str">
        <f t="shared" ref="NY402:PJ408" si="215">+IF(AND(NY14&lt;&gt;"*",MA14=0),NY14,"")</f>
        <v/>
      </c>
      <c r="NZ402" s="27" t="str">
        <f t="shared" si="215"/>
        <v/>
      </c>
      <c r="OA402" s="27" t="str">
        <f t="shared" si="215"/>
        <v/>
      </c>
      <c r="OB402" s="27" t="str">
        <f t="shared" si="215"/>
        <v/>
      </c>
      <c r="OC402" s="27" t="str">
        <f t="shared" si="215"/>
        <v/>
      </c>
      <c r="OD402" s="27" t="str">
        <f t="shared" si="215"/>
        <v/>
      </c>
      <c r="OE402" s="27" t="str">
        <f t="shared" si="215"/>
        <v/>
      </c>
      <c r="OF402" s="27" t="str">
        <f t="shared" si="215"/>
        <v/>
      </c>
      <c r="OG402" s="27" t="str">
        <f t="shared" si="215"/>
        <v/>
      </c>
      <c r="OH402" s="27" t="str">
        <f t="shared" si="215"/>
        <v/>
      </c>
      <c r="OI402" s="27" t="str">
        <f t="shared" si="215"/>
        <v/>
      </c>
      <c r="OJ402" s="27" t="str">
        <f t="shared" si="215"/>
        <v/>
      </c>
      <c r="OK402" s="27" t="str">
        <f t="shared" si="215"/>
        <v/>
      </c>
      <c r="OL402" s="27" t="str">
        <f t="shared" si="215"/>
        <v/>
      </c>
      <c r="OM402" s="27" t="str">
        <f t="shared" si="215"/>
        <v/>
      </c>
      <c r="ON402" s="27" t="str">
        <f t="shared" si="215"/>
        <v/>
      </c>
      <c r="OO402" s="27" t="str">
        <f t="shared" si="215"/>
        <v/>
      </c>
      <c r="OP402" s="27" t="str">
        <f t="shared" si="215"/>
        <v/>
      </c>
      <c r="OQ402" s="27" t="str">
        <f t="shared" si="215"/>
        <v/>
      </c>
      <c r="OR402" s="27" t="str">
        <f t="shared" si="215"/>
        <v/>
      </c>
      <c r="OS402" s="27" t="str">
        <f t="shared" si="215"/>
        <v/>
      </c>
      <c r="OT402" s="27" t="str">
        <f t="shared" si="215"/>
        <v/>
      </c>
      <c r="OU402" s="27">
        <f t="shared" si="215"/>
        <v>0</v>
      </c>
      <c r="OV402" s="27" t="str">
        <f t="shared" si="215"/>
        <v>DPA1*01:03</v>
      </c>
      <c r="OW402" s="27"/>
      <c r="OX402" s="27" t="str">
        <f t="shared" si="215"/>
        <v/>
      </c>
      <c r="OY402" s="27" t="str">
        <f t="shared" si="215"/>
        <v/>
      </c>
      <c r="OZ402" s="27" t="str">
        <f t="shared" si="215"/>
        <v/>
      </c>
      <c r="PA402" s="27" t="str">
        <f t="shared" si="215"/>
        <v/>
      </c>
      <c r="PB402" s="27" t="str">
        <f t="shared" si="215"/>
        <v/>
      </c>
      <c r="PC402" s="27" t="str">
        <f t="shared" si="215"/>
        <v/>
      </c>
      <c r="PD402" s="27" t="str">
        <f t="shared" si="215"/>
        <v/>
      </c>
      <c r="PE402" s="27" t="str">
        <f t="shared" si="215"/>
        <v/>
      </c>
      <c r="PF402" s="27" t="str">
        <f t="shared" si="215"/>
        <v/>
      </c>
      <c r="PG402" s="27" t="str">
        <f t="shared" si="215"/>
        <v/>
      </c>
      <c r="PH402" s="27" t="str">
        <f t="shared" si="215"/>
        <v/>
      </c>
      <c r="PI402" s="27" t="str">
        <f t="shared" si="215"/>
        <v/>
      </c>
      <c r="PJ402" s="27" t="str">
        <f t="shared" si="215"/>
        <v/>
      </c>
      <c r="PK402" s="27" t="str">
        <f t="shared" ref="PK402:PK407" si="216">+IF(NM14=0,PK14,"")</f>
        <v/>
      </c>
      <c r="QO402" s="260" t="s">
        <v>84</v>
      </c>
      <c r="QP402" t="s">
        <v>195</v>
      </c>
      <c r="QQ402" t="s">
        <v>196</v>
      </c>
      <c r="QR402" t="s">
        <v>14</v>
      </c>
      <c r="QS402" t="s">
        <v>197</v>
      </c>
      <c r="QT402" t="s">
        <v>6</v>
      </c>
      <c r="QU402" t="s">
        <v>185</v>
      </c>
      <c r="QW402" t="s">
        <v>22</v>
      </c>
      <c r="QX402" t="s">
        <v>198</v>
      </c>
      <c r="QY402" t="s">
        <v>6</v>
      </c>
      <c r="QZ402" t="s">
        <v>20</v>
      </c>
      <c r="RA402" t="s">
        <v>199</v>
      </c>
      <c r="RC402" t="s">
        <v>12</v>
      </c>
      <c r="RD402" t="s">
        <v>2</v>
      </c>
      <c r="RE402" t="s">
        <v>1</v>
      </c>
      <c r="RF402" t="s">
        <v>7</v>
      </c>
      <c r="RG402" t="s">
        <v>8</v>
      </c>
      <c r="RJ402" t="s">
        <v>11</v>
      </c>
      <c r="RK402" t="s">
        <v>2</v>
      </c>
      <c r="RL402" t="s">
        <v>12</v>
      </c>
      <c r="RM402" t="s">
        <v>203</v>
      </c>
      <c r="RO402" t="s">
        <v>201</v>
      </c>
      <c r="RQ402" t="s">
        <v>20</v>
      </c>
      <c r="RS402" t="s">
        <v>10</v>
      </c>
      <c r="RT402" t="s">
        <v>21</v>
      </c>
      <c r="RV402" t="s">
        <v>7</v>
      </c>
      <c r="RW402" t="s">
        <v>3</v>
      </c>
      <c r="RX402" t="s">
        <v>202</v>
      </c>
      <c r="RY402" t="s">
        <v>20</v>
      </c>
      <c r="RZ402" t="s">
        <v>185</v>
      </c>
      <c r="SB402" t="s">
        <v>1</v>
      </c>
      <c r="SC402" t="s">
        <v>1</v>
      </c>
      <c r="SD402" t="s">
        <v>10</v>
      </c>
      <c r="SE402" t="s">
        <v>14</v>
      </c>
      <c r="SF402" t="s">
        <v>7</v>
      </c>
      <c r="SH402" t="s">
        <v>15</v>
      </c>
      <c r="SI402" t="s">
        <v>5</v>
      </c>
      <c r="SJ402" s="246" t="s">
        <v>261</v>
      </c>
      <c r="SK402" s="260" t="s">
        <v>84</v>
      </c>
      <c r="SL402" s="246" t="s">
        <v>261</v>
      </c>
      <c r="WS402" s="45" t="s">
        <v>84</v>
      </c>
      <c r="WT402" s="27" t="str">
        <f t="shared" si="168"/>
        <v/>
      </c>
      <c r="WU402" s="27" t="str">
        <f t="shared" si="169"/>
        <v/>
      </c>
      <c r="WV402" s="27" t="str">
        <f t="shared" si="170"/>
        <v/>
      </c>
      <c r="WW402" s="27" t="str">
        <f t="shared" si="171"/>
        <v/>
      </c>
      <c r="WX402" s="27" t="str">
        <f t="shared" si="172"/>
        <v/>
      </c>
      <c r="WY402" s="27" t="str">
        <f t="shared" si="173"/>
        <v/>
      </c>
      <c r="WZ402" s="27" t="str">
        <f t="shared" si="174"/>
        <v/>
      </c>
      <c r="XA402" s="27" t="str">
        <f t="shared" si="175"/>
        <v/>
      </c>
      <c r="XB402" s="27" t="str">
        <f t="shared" si="176"/>
        <v/>
      </c>
      <c r="XC402" s="27" t="str">
        <f t="shared" si="177"/>
        <v/>
      </c>
      <c r="XD402" s="27" t="str">
        <f t="shared" si="178"/>
        <v/>
      </c>
      <c r="XE402" s="27" t="str">
        <f t="shared" si="179"/>
        <v/>
      </c>
      <c r="XF402" s="27" t="str">
        <f t="shared" si="180"/>
        <v/>
      </c>
      <c r="XG402" s="27" t="str">
        <f t="shared" si="181"/>
        <v/>
      </c>
      <c r="XH402" s="27" t="str">
        <f t="shared" si="182"/>
        <v/>
      </c>
      <c r="XI402" s="27" t="str">
        <f t="shared" si="183"/>
        <v/>
      </c>
      <c r="XJ402" s="27" t="str">
        <f t="shared" si="184"/>
        <v/>
      </c>
      <c r="XK402" s="27" t="str">
        <f t="shared" si="185"/>
        <v/>
      </c>
      <c r="XL402" s="27" t="str">
        <f t="shared" si="186"/>
        <v/>
      </c>
      <c r="XM402" s="27" t="str">
        <f t="shared" si="187"/>
        <v/>
      </c>
      <c r="XN402" s="27" t="str">
        <f t="shared" si="188"/>
        <v/>
      </c>
      <c r="XO402" s="27" t="str">
        <f t="shared" si="189"/>
        <v/>
      </c>
      <c r="XP402" s="27" t="str">
        <f t="shared" si="190"/>
        <v/>
      </c>
      <c r="XQ402" s="27" t="str">
        <f t="shared" si="191"/>
        <v/>
      </c>
      <c r="XR402" s="27" t="str">
        <f t="shared" si="192"/>
        <v/>
      </c>
      <c r="XS402" s="27" t="str">
        <f t="shared" si="193"/>
        <v/>
      </c>
      <c r="XT402" s="27" t="str">
        <f t="shared" si="194"/>
        <v/>
      </c>
      <c r="XU402" s="27" t="str">
        <f t="shared" si="195"/>
        <v/>
      </c>
      <c r="XV402" s="27" t="str">
        <f t="shared" si="196"/>
        <v/>
      </c>
      <c r="XW402" s="27" t="str">
        <f t="shared" si="197"/>
        <v/>
      </c>
      <c r="XX402" s="27" t="str">
        <f t="shared" si="198"/>
        <v/>
      </c>
      <c r="XY402" s="27" t="str">
        <f t="shared" si="199"/>
        <v/>
      </c>
      <c r="XZ402" s="27" t="str">
        <f t="shared" si="200"/>
        <v/>
      </c>
      <c r="YA402" s="27" t="str">
        <f t="shared" si="201"/>
        <v/>
      </c>
      <c r="YB402" s="27" t="str">
        <f t="shared" si="202"/>
        <v/>
      </c>
      <c r="YC402" s="27" t="str">
        <f t="shared" si="203"/>
        <v/>
      </c>
      <c r="YD402" s="27" t="str">
        <f t="shared" si="204"/>
        <v/>
      </c>
      <c r="YE402" s="27" t="str">
        <f t="shared" si="205"/>
        <v/>
      </c>
      <c r="YF402" s="27" t="str">
        <f t="shared" si="206"/>
        <v/>
      </c>
      <c r="YG402" s="27" t="str">
        <f t="shared" si="207"/>
        <v/>
      </c>
      <c r="YH402" s="27" t="str">
        <f t="shared" si="208"/>
        <v/>
      </c>
      <c r="YI402" s="27" t="str">
        <f t="shared" si="209"/>
        <v/>
      </c>
      <c r="YJ402" s="27" t="str">
        <f t="shared" si="210"/>
        <v/>
      </c>
      <c r="YK402" s="27" t="str">
        <f t="shared" si="211"/>
        <v/>
      </c>
      <c r="YL402" s="27" t="str">
        <f t="shared" si="212"/>
        <v/>
      </c>
      <c r="YM402" s="27" t="str">
        <f t="shared" si="213"/>
        <v/>
      </c>
      <c r="YN402" s="27" t="str">
        <f t="shared" si="214"/>
        <v/>
      </c>
    </row>
    <row r="403" spans="28:664" ht="18.75" x14ac:dyDescent="0.3">
      <c r="AB403" s="277" t="s">
        <v>17</v>
      </c>
      <c r="BQ403" s="277" t="s">
        <v>65</v>
      </c>
      <c r="GO403" s="27"/>
      <c r="GP403" s="27"/>
      <c r="GQ403" s="29">
        <v>3</v>
      </c>
      <c r="GR403" s="29">
        <v>9</v>
      </c>
      <c r="GS403" s="29">
        <v>13</v>
      </c>
      <c r="GT403" s="29">
        <v>14</v>
      </c>
      <c r="GU403" s="29">
        <v>23</v>
      </c>
      <c r="GV403" s="29">
        <v>26</v>
      </c>
      <c r="GW403" s="29">
        <v>30</v>
      </c>
      <c r="GX403" s="29">
        <v>37</v>
      </c>
      <c r="GY403" s="29">
        <v>38</v>
      </c>
      <c r="GZ403" s="3">
        <v>40</v>
      </c>
      <c r="HA403" s="3" t="s">
        <v>38</v>
      </c>
      <c r="HB403" s="3" t="s">
        <v>38</v>
      </c>
      <c r="HC403" s="29">
        <v>45</v>
      </c>
      <c r="HD403" s="3" t="s">
        <v>38</v>
      </c>
      <c r="HE403" s="3" t="s">
        <v>38</v>
      </c>
      <c r="HF403" s="5"/>
      <c r="HG403" s="29">
        <v>56</v>
      </c>
      <c r="HH403" s="29">
        <v>57</v>
      </c>
      <c r="HI403" s="29">
        <v>66</v>
      </c>
      <c r="HJ403" s="29">
        <v>67</v>
      </c>
      <c r="HK403" s="29">
        <v>70</v>
      </c>
      <c r="HL403" s="3" t="s">
        <v>38</v>
      </c>
      <c r="HM403" s="3" t="s">
        <v>38</v>
      </c>
      <c r="HN403" s="29">
        <v>71</v>
      </c>
      <c r="HO403" s="29">
        <v>74</v>
      </c>
      <c r="HP403" s="29">
        <v>75</v>
      </c>
      <c r="HQ403" s="3" t="s">
        <v>38</v>
      </c>
      <c r="HR403" s="3" t="s">
        <v>38</v>
      </c>
      <c r="HS403" s="29">
        <v>86</v>
      </c>
      <c r="HT403" s="29">
        <v>87</v>
      </c>
      <c r="HU403" s="29">
        <v>116</v>
      </c>
      <c r="HV403" s="29">
        <v>125</v>
      </c>
      <c r="HW403" s="29">
        <v>126</v>
      </c>
      <c r="HX403" s="29">
        <v>130</v>
      </c>
      <c r="HY403" s="29">
        <v>135</v>
      </c>
      <c r="HZ403" s="3" t="s">
        <v>38</v>
      </c>
      <c r="IA403" s="29">
        <v>167</v>
      </c>
      <c r="IB403" s="29">
        <v>185</v>
      </c>
      <c r="IC403" s="27"/>
      <c r="ID403" s="28" t="s">
        <v>49</v>
      </c>
      <c r="IE403" s="28">
        <v>26</v>
      </c>
      <c r="IF403" s="28">
        <v>34</v>
      </c>
      <c r="IG403" s="28" t="s">
        <v>38</v>
      </c>
      <c r="IH403" s="28">
        <v>40</v>
      </c>
      <c r="II403" s="28">
        <v>45</v>
      </c>
      <c r="IJ403" s="28" t="s">
        <v>38</v>
      </c>
      <c r="IK403" s="28">
        <v>50</v>
      </c>
      <c r="IL403" s="28">
        <v>51</v>
      </c>
      <c r="IM403" s="28">
        <v>52</v>
      </c>
      <c r="IN403" s="28">
        <v>54</v>
      </c>
      <c r="IO403" s="28">
        <v>69</v>
      </c>
      <c r="IP403" s="28">
        <v>75</v>
      </c>
      <c r="IQ403" s="28">
        <v>76</v>
      </c>
      <c r="IR403" s="28">
        <v>129</v>
      </c>
      <c r="IS403" s="28">
        <v>160</v>
      </c>
      <c r="IT403" s="28">
        <v>175</v>
      </c>
      <c r="IU403" s="28">
        <v>187</v>
      </c>
      <c r="JP403" s="68" t="s">
        <v>144</v>
      </c>
      <c r="JQ403" s="68" t="s">
        <v>146</v>
      </c>
      <c r="JR403"/>
      <c r="NU403" s="34" t="s">
        <v>136</v>
      </c>
      <c r="NX403" s="27" t="str">
        <f t="shared" ref="NX403:NX432" si="217">+IF(AND(NX15&lt;&gt;"*",LZ15=0),NX15,"")</f>
        <v/>
      </c>
      <c r="NY403" s="27" t="str">
        <f t="shared" si="215"/>
        <v/>
      </c>
      <c r="NZ403" s="27" t="str">
        <f t="shared" si="215"/>
        <v/>
      </c>
      <c r="OA403" s="27" t="str">
        <f t="shared" si="215"/>
        <v/>
      </c>
      <c r="OB403" s="27" t="str">
        <f t="shared" si="215"/>
        <v/>
      </c>
      <c r="OC403" s="27" t="str">
        <f t="shared" si="215"/>
        <v/>
      </c>
      <c r="OD403" s="27" t="str">
        <f t="shared" si="215"/>
        <v/>
      </c>
      <c r="OE403" s="27" t="str">
        <f t="shared" si="215"/>
        <v/>
      </c>
      <c r="OF403" s="27" t="str">
        <f t="shared" si="215"/>
        <v/>
      </c>
      <c r="OG403" s="27" t="str">
        <f t="shared" si="215"/>
        <v/>
      </c>
      <c r="OH403" s="27" t="str">
        <f t="shared" si="215"/>
        <v/>
      </c>
      <c r="OI403" s="27" t="str">
        <f t="shared" si="215"/>
        <v/>
      </c>
      <c r="OJ403" s="27" t="str">
        <f t="shared" si="215"/>
        <v/>
      </c>
      <c r="OK403" s="27" t="str">
        <f t="shared" si="215"/>
        <v/>
      </c>
      <c r="OL403" s="27" t="str">
        <f t="shared" si="215"/>
        <v/>
      </c>
      <c r="OM403" s="27" t="str">
        <f t="shared" si="215"/>
        <v/>
      </c>
      <c r="ON403" s="27" t="str">
        <f t="shared" si="215"/>
        <v/>
      </c>
      <c r="OO403" s="27" t="str">
        <f t="shared" si="215"/>
        <v/>
      </c>
      <c r="OP403" s="27" t="str">
        <f t="shared" si="215"/>
        <v/>
      </c>
      <c r="OQ403" s="27" t="str">
        <f t="shared" si="215"/>
        <v/>
      </c>
      <c r="OR403" s="27" t="str">
        <f t="shared" si="215"/>
        <v/>
      </c>
      <c r="OS403" s="27" t="str">
        <f t="shared" si="215"/>
        <v/>
      </c>
      <c r="OT403" s="27" t="str">
        <f t="shared" si="215"/>
        <v/>
      </c>
      <c r="OU403" s="27">
        <f t="shared" si="215"/>
        <v>0</v>
      </c>
      <c r="OV403" s="27" t="str">
        <f t="shared" si="215"/>
        <v>DPA1*02:01</v>
      </c>
      <c r="OW403" s="27" t="str">
        <f t="shared" si="215"/>
        <v/>
      </c>
      <c r="OX403" s="27" t="str">
        <f t="shared" si="215"/>
        <v/>
      </c>
      <c r="OY403" s="27" t="str">
        <f t="shared" si="215"/>
        <v/>
      </c>
      <c r="OZ403" s="27" t="str">
        <f t="shared" si="215"/>
        <v/>
      </c>
      <c r="PA403" s="27" t="str">
        <f t="shared" si="215"/>
        <v/>
      </c>
      <c r="PB403" s="27" t="str">
        <f t="shared" si="215"/>
        <v/>
      </c>
      <c r="PC403" s="27" t="str">
        <f t="shared" si="215"/>
        <v/>
      </c>
      <c r="PD403" s="27" t="str">
        <f t="shared" si="215"/>
        <v/>
      </c>
      <c r="PE403" s="27" t="str">
        <f t="shared" si="215"/>
        <v/>
      </c>
      <c r="PF403" s="27" t="str">
        <f t="shared" si="215"/>
        <v/>
      </c>
      <c r="PG403" s="27" t="str">
        <f t="shared" si="215"/>
        <v/>
      </c>
      <c r="PH403" s="27" t="str">
        <f t="shared" si="215"/>
        <v/>
      </c>
      <c r="PI403" s="27" t="str">
        <f t="shared" si="215"/>
        <v/>
      </c>
      <c r="PJ403" s="27" t="str">
        <f t="shared" si="215"/>
        <v/>
      </c>
      <c r="PK403" s="27" t="str">
        <f t="shared" si="216"/>
        <v/>
      </c>
      <c r="QO403" s="260" t="s">
        <v>86</v>
      </c>
      <c r="QP403" t="s">
        <v>195</v>
      </c>
      <c r="QQ403" t="s">
        <v>20</v>
      </c>
      <c r="QR403" t="s">
        <v>2</v>
      </c>
      <c r="QS403" t="s">
        <v>204</v>
      </c>
      <c r="QT403" t="s">
        <v>1</v>
      </c>
      <c r="QU403" t="s">
        <v>15</v>
      </c>
      <c r="QV403" t="s">
        <v>1</v>
      </c>
      <c r="QW403" t="s">
        <v>22</v>
      </c>
      <c r="QX403" t="s">
        <v>198</v>
      </c>
      <c r="QY403" t="s">
        <v>2</v>
      </c>
      <c r="QZ403" t="s">
        <v>11</v>
      </c>
      <c r="RA403" t="s">
        <v>2</v>
      </c>
      <c r="RC403" t="s">
        <v>8</v>
      </c>
      <c r="RD403" t="s">
        <v>22</v>
      </c>
      <c r="RE403" t="s">
        <v>205</v>
      </c>
      <c r="RF403" t="s">
        <v>7</v>
      </c>
      <c r="RG403" t="s">
        <v>8</v>
      </c>
      <c r="RH403" t="s">
        <v>206</v>
      </c>
      <c r="RJ403" t="s">
        <v>11</v>
      </c>
      <c r="RK403" t="s">
        <v>2</v>
      </c>
      <c r="RL403" t="s">
        <v>6</v>
      </c>
      <c r="RO403" t="s">
        <v>207</v>
      </c>
      <c r="RP403" t="s">
        <v>14</v>
      </c>
      <c r="RQ403" t="s">
        <v>185</v>
      </c>
      <c r="RR403" t="s">
        <v>3</v>
      </c>
      <c r="RT403" t="s">
        <v>208</v>
      </c>
      <c r="RV403" t="s">
        <v>7</v>
      </c>
      <c r="RW403" t="s">
        <v>7</v>
      </c>
      <c r="RX403" t="s">
        <v>209</v>
      </c>
      <c r="RY403" t="s">
        <v>22</v>
      </c>
      <c r="RZ403" t="s">
        <v>185</v>
      </c>
      <c r="SB403" t="s">
        <v>1</v>
      </c>
      <c r="SC403" t="s">
        <v>1</v>
      </c>
      <c r="SD403" t="s">
        <v>15</v>
      </c>
      <c r="SE403" t="s">
        <v>22</v>
      </c>
      <c r="SF403" t="s">
        <v>7</v>
      </c>
      <c r="SH403" t="s">
        <v>15</v>
      </c>
      <c r="SI403" t="s">
        <v>5</v>
      </c>
      <c r="SJ403" s="246" t="s">
        <v>261</v>
      </c>
      <c r="SK403" s="260" t="s">
        <v>86</v>
      </c>
      <c r="SL403" s="246" t="s">
        <v>261</v>
      </c>
      <c r="WS403" s="45" t="s">
        <v>86</v>
      </c>
      <c r="WT403" s="27" t="str">
        <f t="shared" si="168"/>
        <v/>
      </c>
      <c r="WU403" s="27" t="str">
        <f t="shared" si="169"/>
        <v/>
      </c>
      <c r="WV403" s="27" t="str">
        <f t="shared" si="170"/>
        <v/>
      </c>
      <c r="WW403" s="27" t="str">
        <f t="shared" si="171"/>
        <v/>
      </c>
      <c r="WX403" s="27" t="str">
        <f t="shared" si="172"/>
        <v/>
      </c>
      <c r="WY403" s="27" t="str">
        <f t="shared" si="173"/>
        <v/>
      </c>
      <c r="WZ403" s="27" t="str">
        <f t="shared" si="174"/>
        <v/>
      </c>
      <c r="XA403" s="27" t="str">
        <f t="shared" si="175"/>
        <v/>
      </c>
      <c r="XB403" s="27" t="str">
        <f t="shared" si="176"/>
        <v/>
      </c>
      <c r="XC403" s="27" t="str">
        <f t="shared" si="177"/>
        <v/>
      </c>
      <c r="XD403" s="27" t="str">
        <f t="shared" si="178"/>
        <v/>
      </c>
      <c r="XE403" s="27" t="str">
        <f t="shared" si="179"/>
        <v/>
      </c>
      <c r="XF403" s="27" t="str">
        <f t="shared" si="180"/>
        <v/>
      </c>
      <c r="XG403" s="27" t="str">
        <f t="shared" si="181"/>
        <v/>
      </c>
      <c r="XH403" s="27" t="str">
        <f t="shared" si="182"/>
        <v/>
      </c>
      <c r="XI403" s="27" t="str">
        <f t="shared" si="183"/>
        <v/>
      </c>
      <c r="XJ403" s="27" t="str">
        <f t="shared" si="184"/>
        <v/>
      </c>
      <c r="XK403" s="27" t="str">
        <f t="shared" si="185"/>
        <v/>
      </c>
      <c r="XL403" s="27" t="str">
        <f t="shared" si="186"/>
        <v/>
      </c>
      <c r="XM403" s="27" t="str">
        <f t="shared" si="187"/>
        <v/>
      </c>
      <c r="XN403" s="27" t="str">
        <f t="shared" si="188"/>
        <v/>
      </c>
      <c r="XO403" s="27" t="str">
        <f t="shared" si="189"/>
        <v/>
      </c>
      <c r="XP403" s="27" t="str">
        <f t="shared" si="190"/>
        <v/>
      </c>
      <c r="XQ403" s="27" t="str">
        <f t="shared" si="191"/>
        <v/>
      </c>
      <c r="XR403" s="27" t="str">
        <f t="shared" si="192"/>
        <v/>
      </c>
      <c r="XS403" s="27" t="str">
        <f t="shared" si="193"/>
        <v/>
      </c>
      <c r="XT403" s="27" t="str">
        <f t="shared" si="194"/>
        <v/>
      </c>
      <c r="XU403" s="27" t="str">
        <f t="shared" si="195"/>
        <v/>
      </c>
      <c r="XV403" s="27" t="str">
        <f t="shared" si="196"/>
        <v/>
      </c>
      <c r="XW403" s="27" t="str">
        <f t="shared" si="197"/>
        <v/>
      </c>
      <c r="XX403" s="27" t="str">
        <f t="shared" si="198"/>
        <v/>
      </c>
      <c r="XY403" s="27" t="str">
        <f t="shared" si="199"/>
        <v/>
      </c>
      <c r="XZ403" s="27" t="str">
        <f t="shared" si="200"/>
        <v/>
      </c>
      <c r="YA403" s="27" t="str">
        <f t="shared" si="201"/>
        <v/>
      </c>
      <c r="YB403" s="27" t="str">
        <f t="shared" si="202"/>
        <v/>
      </c>
      <c r="YC403" s="27" t="str">
        <f t="shared" si="203"/>
        <v/>
      </c>
      <c r="YD403" s="27" t="str">
        <f t="shared" si="204"/>
        <v/>
      </c>
      <c r="YE403" s="27" t="str">
        <f t="shared" si="205"/>
        <v/>
      </c>
      <c r="YF403" s="27" t="str">
        <f t="shared" si="206"/>
        <v/>
      </c>
      <c r="YG403" s="27" t="str">
        <f t="shared" si="207"/>
        <v/>
      </c>
      <c r="YH403" s="27" t="str">
        <f t="shared" si="208"/>
        <v/>
      </c>
      <c r="YI403" s="27" t="str">
        <f t="shared" si="209"/>
        <v/>
      </c>
      <c r="YJ403" s="27" t="str">
        <f t="shared" si="210"/>
        <v/>
      </c>
      <c r="YK403" s="27" t="str">
        <f t="shared" si="211"/>
        <v/>
      </c>
      <c r="YL403" s="27" t="str">
        <f t="shared" si="212"/>
        <v/>
      </c>
      <c r="YM403" s="27" t="str">
        <f t="shared" si="213"/>
        <v/>
      </c>
      <c r="YN403" s="27" t="str">
        <f t="shared" si="214"/>
        <v/>
      </c>
    </row>
    <row r="404" spans="28:664" ht="18" x14ac:dyDescent="0.25">
      <c r="AB404" s="277" t="s">
        <v>23</v>
      </c>
      <c r="BQ404" s="277" t="s">
        <v>58</v>
      </c>
      <c r="GO404" s="8" t="s">
        <v>50</v>
      </c>
      <c r="GP404" s="1" t="s">
        <v>0</v>
      </c>
      <c r="GQ404" t="str">
        <f>+IF(DK14=0,GQ14,"")</f>
        <v/>
      </c>
      <c r="GR404" s="27" t="str">
        <f t="shared" ref="GR404:IB404" si="218">+IF(DL14=0,GR14,"")</f>
        <v/>
      </c>
      <c r="GS404" s="27" t="str">
        <f t="shared" si="218"/>
        <v/>
      </c>
      <c r="GT404" s="27" t="str">
        <f t="shared" si="218"/>
        <v/>
      </c>
      <c r="GU404" s="27" t="str">
        <f t="shared" si="218"/>
        <v/>
      </c>
      <c r="GV404" s="27" t="str">
        <f t="shared" si="218"/>
        <v/>
      </c>
      <c r="GW404" s="27" t="str">
        <f t="shared" si="218"/>
        <v>*</v>
      </c>
      <c r="GX404" s="27" t="str">
        <f t="shared" si="218"/>
        <v>*</v>
      </c>
      <c r="GY404" s="27" t="str">
        <f t="shared" si="218"/>
        <v/>
      </c>
      <c r="GZ404" s="27" t="str">
        <f t="shared" si="218"/>
        <v/>
      </c>
      <c r="HA404" s="27" t="str">
        <f t="shared" si="218"/>
        <v>45GE3</v>
      </c>
      <c r="HB404" s="27" t="str">
        <f t="shared" si="218"/>
        <v>*</v>
      </c>
      <c r="HC404" s="27" t="str">
        <f t="shared" si="218"/>
        <v/>
      </c>
      <c r="HD404" s="27" t="str">
        <f t="shared" si="218"/>
        <v>*</v>
      </c>
      <c r="HE404" s="27" t="str">
        <f t="shared" si="218"/>
        <v>*</v>
      </c>
      <c r="HF404" s="27" t="str">
        <f t="shared" si="218"/>
        <v/>
      </c>
      <c r="HG404" s="27" t="str">
        <f t="shared" si="218"/>
        <v/>
      </c>
      <c r="HH404" s="27" t="str">
        <f t="shared" si="218"/>
        <v>A</v>
      </c>
      <c r="HI404" s="27" t="str">
        <f t="shared" si="218"/>
        <v>D</v>
      </c>
      <c r="HJ404" s="27" t="str">
        <f t="shared" si="218"/>
        <v>I</v>
      </c>
      <c r="HK404" s="27" t="str">
        <f t="shared" si="218"/>
        <v/>
      </c>
      <c r="HL404" s="27" t="str">
        <f t="shared" si="218"/>
        <v/>
      </c>
      <c r="HM404" s="27" t="str">
        <f t="shared" si="218"/>
        <v/>
      </c>
      <c r="HN404" s="27" t="str">
        <f t="shared" si="218"/>
        <v/>
      </c>
      <c r="HO404" s="27" t="str">
        <f t="shared" si="218"/>
        <v/>
      </c>
      <c r="HP404" s="27" t="str">
        <f t="shared" si="218"/>
        <v>*</v>
      </c>
      <c r="HQ404" s="27" t="str">
        <f t="shared" si="218"/>
        <v/>
      </c>
      <c r="HR404" s="27" t="str">
        <f t="shared" si="218"/>
        <v>84QL3</v>
      </c>
      <c r="HS404" s="27" t="str">
        <f t="shared" si="218"/>
        <v>*</v>
      </c>
      <c r="HT404" s="27" t="str">
        <f t="shared" si="218"/>
        <v/>
      </c>
      <c r="HU404" s="27" t="str">
        <f t="shared" si="218"/>
        <v/>
      </c>
      <c r="HV404" s="27" t="str">
        <f t="shared" si="218"/>
        <v/>
      </c>
      <c r="HW404" s="27" t="str">
        <f t="shared" si="218"/>
        <v/>
      </c>
      <c r="HX404" s="27" t="str">
        <f t="shared" si="218"/>
        <v/>
      </c>
      <c r="HY404" s="27" t="str">
        <f t="shared" si="218"/>
        <v/>
      </c>
      <c r="HZ404" s="27" t="str">
        <f t="shared" si="218"/>
        <v/>
      </c>
      <c r="IA404" s="27" t="str">
        <f t="shared" si="218"/>
        <v/>
      </c>
      <c r="IB404" s="27" t="str">
        <f t="shared" si="218"/>
        <v/>
      </c>
      <c r="IC404" s="21" t="s">
        <v>58</v>
      </c>
      <c r="ID404" t="str">
        <f>+IF(EX14=0,ID14,"")</f>
        <v/>
      </c>
      <c r="IE404" s="27" t="str">
        <f t="shared" ref="IE404:IU404" si="219">+IF(EY14=0,IE14,"")</f>
        <v/>
      </c>
      <c r="IF404" s="27" t="str">
        <f t="shared" si="219"/>
        <v/>
      </c>
      <c r="IG404" s="27" t="str">
        <f t="shared" si="219"/>
        <v/>
      </c>
      <c r="IH404" s="27" t="str">
        <f t="shared" si="219"/>
        <v/>
      </c>
      <c r="II404" s="27" t="str">
        <f t="shared" si="219"/>
        <v>EpY</v>
      </c>
      <c r="IJ404" s="27" t="str">
        <f t="shared" si="219"/>
        <v>47KHL</v>
      </c>
      <c r="IK404" s="27" t="str">
        <f t="shared" si="219"/>
        <v>50LR</v>
      </c>
      <c r="IL404" s="27" t="str">
        <f t="shared" si="219"/>
        <v/>
      </c>
      <c r="IM404" s="27" t="str">
        <f t="shared" si="219"/>
        <v/>
      </c>
      <c r="IN404" s="27" t="str">
        <f t="shared" si="219"/>
        <v>*</v>
      </c>
      <c r="IO404" s="27" t="str">
        <f t="shared" si="219"/>
        <v>L</v>
      </c>
      <c r="IP404" s="27" t="str">
        <f t="shared" si="219"/>
        <v/>
      </c>
      <c r="IQ404" s="27" t="str">
        <f t="shared" si="219"/>
        <v>L</v>
      </c>
      <c r="IR404" s="27" t="str">
        <f t="shared" si="219"/>
        <v/>
      </c>
      <c r="IS404" s="27" t="str">
        <f t="shared" si="219"/>
        <v/>
      </c>
      <c r="IT404" s="27" t="str">
        <f t="shared" si="219"/>
        <v>E</v>
      </c>
      <c r="IU404" s="27" t="str">
        <f t="shared" si="219"/>
        <v/>
      </c>
      <c r="JP404" s="68" t="s">
        <v>147</v>
      </c>
      <c r="JQ404" s="68" t="s">
        <v>138</v>
      </c>
      <c r="JR404"/>
      <c r="NU404" s="35" t="s">
        <v>139</v>
      </c>
      <c r="NX404" s="27" t="str">
        <f t="shared" si="217"/>
        <v/>
      </c>
      <c r="NY404" s="27" t="str">
        <f t="shared" si="215"/>
        <v/>
      </c>
      <c r="NZ404" s="27" t="str">
        <f t="shared" si="215"/>
        <v/>
      </c>
      <c r="OA404" s="27" t="str">
        <f t="shared" si="215"/>
        <v/>
      </c>
      <c r="OB404" s="27" t="str">
        <f t="shared" si="215"/>
        <v/>
      </c>
      <c r="OC404" s="27" t="str">
        <f t="shared" si="215"/>
        <v/>
      </c>
      <c r="OD404" s="27" t="str">
        <f t="shared" si="215"/>
        <v/>
      </c>
      <c r="OE404" s="27" t="str">
        <f t="shared" si="215"/>
        <v/>
      </c>
      <c r="OF404" s="27" t="str">
        <f t="shared" si="215"/>
        <v/>
      </c>
      <c r="OG404" s="27" t="str">
        <f t="shared" si="215"/>
        <v/>
      </c>
      <c r="OH404" s="27" t="str">
        <f t="shared" si="215"/>
        <v/>
      </c>
      <c r="OI404" s="27" t="str">
        <f t="shared" si="215"/>
        <v/>
      </c>
      <c r="OJ404" s="27" t="str">
        <f t="shared" si="215"/>
        <v/>
      </c>
      <c r="OK404" s="27" t="str">
        <f t="shared" si="215"/>
        <v/>
      </c>
      <c r="OL404" s="27" t="str">
        <f t="shared" si="215"/>
        <v/>
      </c>
      <c r="OM404" s="27" t="str">
        <f t="shared" si="215"/>
        <v/>
      </c>
      <c r="ON404" s="27" t="str">
        <f t="shared" si="215"/>
        <v/>
      </c>
      <c r="OO404" s="27" t="str">
        <f t="shared" si="215"/>
        <v/>
      </c>
      <c r="OP404" s="27" t="str">
        <f t="shared" si="215"/>
        <v/>
      </c>
      <c r="OQ404" s="27" t="str">
        <f t="shared" si="215"/>
        <v/>
      </c>
      <c r="OR404" s="27" t="str">
        <f t="shared" si="215"/>
        <v/>
      </c>
      <c r="OS404" s="27" t="str">
        <f t="shared" si="215"/>
        <v/>
      </c>
      <c r="OT404" s="27" t="str">
        <f t="shared" si="215"/>
        <v/>
      </c>
      <c r="OU404" s="27">
        <f t="shared" si="215"/>
        <v>0</v>
      </c>
      <c r="OV404" s="27" t="str">
        <f t="shared" si="215"/>
        <v>DPA1*01:03</v>
      </c>
      <c r="OW404" s="27" t="str">
        <f t="shared" si="215"/>
        <v/>
      </c>
      <c r="OX404" s="27" t="str">
        <f t="shared" si="215"/>
        <v/>
      </c>
      <c r="OY404" s="27" t="str">
        <f t="shared" si="215"/>
        <v/>
      </c>
      <c r="OZ404" s="27" t="str">
        <f t="shared" si="215"/>
        <v/>
      </c>
      <c r="PA404" s="27" t="str">
        <f t="shared" si="215"/>
        <v/>
      </c>
      <c r="PB404" s="27" t="str">
        <f t="shared" si="215"/>
        <v/>
      </c>
      <c r="PC404" s="27" t="str">
        <f t="shared" si="215"/>
        <v/>
      </c>
      <c r="PD404" s="27" t="str">
        <f t="shared" si="215"/>
        <v/>
      </c>
      <c r="PE404" s="27" t="str">
        <f t="shared" si="215"/>
        <v/>
      </c>
      <c r="PF404" s="27" t="str">
        <f t="shared" si="215"/>
        <v/>
      </c>
      <c r="PG404" s="27" t="str">
        <f t="shared" si="215"/>
        <v/>
      </c>
      <c r="PH404" s="27" t="str">
        <f t="shared" si="215"/>
        <v/>
      </c>
      <c r="PI404" s="27" t="str">
        <f t="shared" si="215"/>
        <v/>
      </c>
      <c r="PJ404" s="27" t="str">
        <f t="shared" si="215"/>
        <v/>
      </c>
      <c r="PK404" s="27" t="str">
        <f t="shared" si="216"/>
        <v/>
      </c>
      <c r="QO404" s="260" t="s">
        <v>88</v>
      </c>
      <c r="QP404" t="s">
        <v>195</v>
      </c>
      <c r="QQ404" t="s">
        <v>20</v>
      </c>
      <c r="QR404" t="s">
        <v>2</v>
      </c>
      <c r="QS404" t="s">
        <v>204</v>
      </c>
      <c r="QT404" t="s">
        <v>1</v>
      </c>
      <c r="QU404" t="s">
        <v>15</v>
      </c>
      <c r="QV404" t="s">
        <v>1</v>
      </c>
      <c r="QW404" t="s">
        <v>22</v>
      </c>
      <c r="QX404" t="s">
        <v>198</v>
      </c>
      <c r="QY404" t="s">
        <v>8</v>
      </c>
      <c r="QZ404" t="s">
        <v>20</v>
      </c>
      <c r="RA404" t="s">
        <v>2</v>
      </c>
      <c r="RC404" t="s">
        <v>8</v>
      </c>
      <c r="RD404" t="s">
        <v>22</v>
      </c>
      <c r="RE404" t="s">
        <v>205</v>
      </c>
      <c r="RF404" t="s">
        <v>7</v>
      </c>
      <c r="RG404" t="s">
        <v>8</v>
      </c>
      <c r="RJ404" t="s">
        <v>11</v>
      </c>
      <c r="RK404" t="s">
        <v>2</v>
      </c>
      <c r="RL404" t="s">
        <v>6</v>
      </c>
      <c r="RO404" t="s">
        <v>207</v>
      </c>
      <c r="RP404" t="s">
        <v>14</v>
      </c>
      <c r="RQ404" t="s">
        <v>185</v>
      </c>
      <c r="RR404" t="s">
        <v>3</v>
      </c>
      <c r="RT404" t="s">
        <v>208</v>
      </c>
      <c r="RV404" t="s">
        <v>7</v>
      </c>
      <c r="RW404" t="s">
        <v>3</v>
      </c>
      <c r="RX404" t="s">
        <v>209</v>
      </c>
      <c r="RY404" t="s">
        <v>22</v>
      </c>
      <c r="RZ404" t="s">
        <v>185</v>
      </c>
      <c r="SB404" t="s">
        <v>1</v>
      </c>
      <c r="SC404" t="s">
        <v>1</v>
      </c>
      <c r="SD404" t="s">
        <v>15</v>
      </c>
      <c r="SE404" t="s">
        <v>22</v>
      </c>
      <c r="SF404" t="s">
        <v>7</v>
      </c>
      <c r="SH404" t="s">
        <v>15</v>
      </c>
      <c r="SI404" t="s">
        <v>5</v>
      </c>
      <c r="SJ404" s="246" t="s">
        <v>261</v>
      </c>
      <c r="SK404" s="260" t="s">
        <v>88</v>
      </c>
      <c r="SL404" s="246" t="s">
        <v>261</v>
      </c>
      <c r="WS404" s="45" t="s">
        <v>88</v>
      </c>
      <c r="WT404" s="27" t="str">
        <f t="shared" si="168"/>
        <v/>
      </c>
      <c r="WU404" s="27" t="str">
        <f t="shared" si="169"/>
        <v/>
      </c>
      <c r="WV404" s="27" t="str">
        <f t="shared" si="170"/>
        <v/>
      </c>
      <c r="WW404" s="27" t="str">
        <f t="shared" si="171"/>
        <v/>
      </c>
      <c r="WX404" s="27" t="str">
        <f t="shared" si="172"/>
        <v/>
      </c>
      <c r="WY404" s="27" t="str">
        <f t="shared" si="173"/>
        <v/>
      </c>
      <c r="WZ404" s="27" t="str">
        <f t="shared" si="174"/>
        <v/>
      </c>
      <c r="XA404" s="27" t="str">
        <f t="shared" si="175"/>
        <v/>
      </c>
      <c r="XB404" s="27" t="str">
        <f t="shared" si="176"/>
        <v/>
      </c>
      <c r="XC404" s="27" t="str">
        <f t="shared" si="177"/>
        <v/>
      </c>
      <c r="XD404" s="27" t="str">
        <f t="shared" si="178"/>
        <v/>
      </c>
      <c r="XE404" s="27" t="str">
        <f t="shared" si="179"/>
        <v/>
      </c>
      <c r="XF404" s="27" t="str">
        <f t="shared" si="180"/>
        <v/>
      </c>
      <c r="XG404" s="27" t="str">
        <f t="shared" si="181"/>
        <v/>
      </c>
      <c r="XH404" s="27" t="str">
        <f t="shared" si="182"/>
        <v/>
      </c>
      <c r="XI404" s="27" t="str">
        <f t="shared" si="183"/>
        <v/>
      </c>
      <c r="XJ404" s="27" t="str">
        <f t="shared" si="184"/>
        <v/>
      </c>
      <c r="XK404" s="27" t="str">
        <f t="shared" si="185"/>
        <v/>
      </c>
      <c r="XL404" s="27" t="str">
        <f t="shared" si="186"/>
        <v/>
      </c>
      <c r="XM404" s="27" t="str">
        <f t="shared" si="187"/>
        <v/>
      </c>
      <c r="XN404" s="27" t="str">
        <f t="shared" si="188"/>
        <v/>
      </c>
      <c r="XO404" s="27" t="str">
        <f t="shared" si="189"/>
        <v/>
      </c>
      <c r="XP404" s="27" t="str">
        <f t="shared" si="190"/>
        <v/>
      </c>
      <c r="XQ404" s="27" t="str">
        <f t="shared" si="191"/>
        <v/>
      </c>
      <c r="XR404" s="27" t="str">
        <f t="shared" si="192"/>
        <v/>
      </c>
      <c r="XS404" s="27" t="str">
        <f t="shared" si="193"/>
        <v/>
      </c>
      <c r="XT404" s="27" t="str">
        <f t="shared" si="194"/>
        <v/>
      </c>
      <c r="XU404" s="27" t="str">
        <f t="shared" si="195"/>
        <v/>
      </c>
      <c r="XV404" s="27" t="str">
        <f t="shared" si="196"/>
        <v/>
      </c>
      <c r="XW404" s="27" t="str">
        <f t="shared" si="197"/>
        <v/>
      </c>
      <c r="XX404" s="27" t="str">
        <f t="shared" si="198"/>
        <v/>
      </c>
      <c r="XY404" s="27" t="str">
        <f t="shared" si="199"/>
        <v/>
      </c>
      <c r="XZ404" s="27" t="str">
        <f t="shared" si="200"/>
        <v/>
      </c>
      <c r="YA404" s="27" t="str">
        <f t="shared" si="201"/>
        <v/>
      </c>
      <c r="YB404" s="27" t="str">
        <f t="shared" si="202"/>
        <v/>
      </c>
      <c r="YC404" s="27" t="str">
        <f t="shared" si="203"/>
        <v/>
      </c>
      <c r="YD404" s="27" t="str">
        <f t="shared" si="204"/>
        <v/>
      </c>
      <c r="YE404" s="27" t="str">
        <f t="shared" si="205"/>
        <v/>
      </c>
      <c r="YF404" s="27" t="str">
        <f t="shared" si="206"/>
        <v/>
      </c>
      <c r="YG404" s="27" t="str">
        <f t="shared" si="207"/>
        <v/>
      </c>
      <c r="YH404" s="27" t="str">
        <f t="shared" si="208"/>
        <v/>
      </c>
      <c r="YI404" s="27" t="str">
        <f t="shared" si="209"/>
        <v/>
      </c>
      <c r="YJ404" s="27" t="str">
        <f t="shared" si="210"/>
        <v/>
      </c>
      <c r="YK404" s="27" t="str">
        <f t="shared" si="211"/>
        <v/>
      </c>
      <c r="YL404" s="27" t="str">
        <f t="shared" si="212"/>
        <v/>
      </c>
      <c r="YM404" s="27" t="str">
        <f t="shared" si="213"/>
        <v/>
      </c>
      <c r="YN404" s="27" t="str">
        <f t="shared" si="214"/>
        <v/>
      </c>
    </row>
    <row r="405" spans="28:664" ht="19.5" x14ac:dyDescent="0.35">
      <c r="AB405" s="277" t="s">
        <v>25</v>
      </c>
      <c r="BQ405" s="277" t="s">
        <v>59</v>
      </c>
      <c r="GO405" s="8" t="s">
        <v>50</v>
      </c>
      <c r="GP405" s="1" t="s">
        <v>0</v>
      </c>
      <c r="GQ405" s="27" t="str">
        <f t="shared" ref="GQ405:GQ431" si="220">+IF(DK15=0,GQ15,"")</f>
        <v/>
      </c>
      <c r="GR405" s="27" t="str">
        <f t="shared" ref="GR405:GR431" si="221">+IF(DL15=0,GR15,"")</f>
        <v/>
      </c>
      <c r="GS405" s="27" t="str">
        <f t="shared" ref="GS405:GS431" si="222">+IF(DM15=0,GS15,"")</f>
        <v/>
      </c>
      <c r="GT405" s="27" t="str">
        <f t="shared" ref="GT405:GT431" si="223">+IF(DN15=0,GT15,"")</f>
        <v/>
      </c>
      <c r="GU405" s="27" t="str">
        <f t="shared" ref="GU405:GU431" si="224">+IF(DO15=0,GU15,"")</f>
        <v/>
      </c>
      <c r="GV405" s="27" t="str">
        <f t="shared" ref="GV405:GV431" si="225">+IF(DP15=0,GV15,"")</f>
        <v/>
      </c>
      <c r="GW405" s="27" t="str">
        <f t="shared" ref="GW405:GW431" si="226">+IF(DQ15=0,GW15,"")</f>
        <v>*</v>
      </c>
      <c r="GX405" s="27" t="str">
        <f t="shared" ref="GX405:GX431" si="227">+IF(DR15=0,GX15,"")</f>
        <v>*</v>
      </c>
      <c r="GY405" s="27" t="str">
        <f t="shared" ref="GY405:GY431" si="228">+IF(DS15=0,GY15,"")</f>
        <v/>
      </c>
      <c r="GZ405" s="27" t="str">
        <f t="shared" ref="GZ405:GZ431" si="229">+IF(DT15=0,GZ15,"")</f>
        <v/>
      </c>
      <c r="HA405" s="27" t="str">
        <f t="shared" ref="HA405:HA431" si="230">+IF(DU15=0,HA15,"")</f>
        <v>45GE3</v>
      </c>
      <c r="HB405" s="27" t="str">
        <f t="shared" ref="HB405:HB431" si="231">+IF(DV15=0,HB15,"")</f>
        <v>*</v>
      </c>
      <c r="HC405" s="27" t="str">
        <f t="shared" ref="HC405:HC431" si="232">+IF(DW15=0,HC15,"")</f>
        <v/>
      </c>
      <c r="HD405" s="27" t="str">
        <f t="shared" ref="HD405:HD431" si="233">+IF(DX15=0,HD15,"")</f>
        <v>*</v>
      </c>
      <c r="HE405" s="27" t="str">
        <f t="shared" ref="HE405:HE431" si="234">+IF(DY15=0,HE15,"")</f>
        <v>*</v>
      </c>
      <c r="HF405" s="27" t="str">
        <f t="shared" ref="HF405:HF431" si="235">+IF(DZ15=0,HF15,"")</f>
        <v/>
      </c>
      <c r="HG405" s="27" t="str">
        <f t="shared" ref="HG405:HG431" si="236">+IF(EA15=0,HG15,"")</f>
        <v/>
      </c>
      <c r="HH405" s="27" t="str">
        <f t="shared" ref="HH405:HH431" si="237">+IF(EB15=0,HH15,"")</f>
        <v>A</v>
      </c>
      <c r="HI405" s="27" t="str">
        <f t="shared" ref="HI405:HI431" si="238">+IF(EC15=0,HI15,"")</f>
        <v>D</v>
      </c>
      <c r="HJ405" s="27" t="str">
        <f t="shared" ref="HJ405:HJ431" si="239">+IF(ED15=0,HJ15,"")</f>
        <v>I</v>
      </c>
      <c r="HK405" s="27" t="str">
        <f t="shared" ref="HK405:HK431" si="240">+IF(EE15=0,HK15,"")</f>
        <v/>
      </c>
      <c r="HL405" s="27" t="str">
        <f t="shared" ref="HL405:HL431" si="241">+IF(EF15=0,HL15,"")</f>
        <v/>
      </c>
      <c r="HM405" s="27" t="str">
        <f t="shared" ref="HM405:HM431" si="242">+IF(EG15=0,HM15,"")</f>
        <v/>
      </c>
      <c r="HN405" s="27" t="str">
        <f t="shared" ref="HN405:HN431" si="243">+IF(EH15=0,HN15,"")</f>
        <v/>
      </c>
      <c r="HO405" s="27" t="str">
        <f t="shared" ref="HO405:HO431" si="244">+IF(EI15=0,HO15,"")</f>
        <v/>
      </c>
      <c r="HP405" s="27" t="str">
        <f t="shared" ref="HP405:HP431" si="245">+IF(EJ15=0,HP15,"")</f>
        <v>*</v>
      </c>
      <c r="HQ405" s="27" t="str">
        <f t="shared" ref="HQ405:HQ431" si="246">+IF(EK15=0,HQ15,"")</f>
        <v/>
      </c>
      <c r="HR405" s="27" t="str">
        <f t="shared" ref="HR405:HR431" si="247">+IF(EL15=0,HR15,"")</f>
        <v>84QL3</v>
      </c>
      <c r="HS405" s="27" t="str">
        <f t="shared" ref="HS405:HS431" si="248">+IF(EM15=0,HS15,"")</f>
        <v>*</v>
      </c>
      <c r="HT405" s="27" t="str">
        <f t="shared" ref="HT405:HT431" si="249">+IF(EN15=0,HT15,"")</f>
        <v/>
      </c>
      <c r="HU405" s="27" t="str">
        <f t="shared" ref="HU405:HU431" si="250">+IF(EO15=0,HU15,"")</f>
        <v/>
      </c>
      <c r="HV405" s="27" t="str">
        <f t="shared" ref="HV405:HV431" si="251">+IF(EP15=0,HV15,"")</f>
        <v/>
      </c>
      <c r="HW405" s="27" t="str">
        <f t="shared" ref="HW405:HW431" si="252">+IF(EQ15=0,HW15,"")</f>
        <v/>
      </c>
      <c r="HX405" s="27" t="str">
        <f t="shared" ref="HX405:HX431" si="253">+IF(ER15=0,HX15,"")</f>
        <v/>
      </c>
      <c r="HY405" s="27" t="str">
        <f t="shared" ref="HY405:HY431" si="254">+IF(ES15=0,HY15,"")</f>
        <v/>
      </c>
      <c r="HZ405" s="27" t="str">
        <f t="shared" ref="HZ405:HZ431" si="255">+IF(ET15=0,HZ15,"")</f>
        <v/>
      </c>
      <c r="IA405" s="27" t="str">
        <f t="shared" ref="IA405:IA431" si="256">+IF(EU15=0,IA15,"")</f>
        <v/>
      </c>
      <c r="IB405" s="27" t="str">
        <f t="shared" ref="IB405:IB431" si="257">+IF(EV15=0,IB15,"")</f>
        <v/>
      </c>
      <c r="IC405" s="22" t="s">
        <v>59</v>
      </c>
      <c r="ID405" s="27" t="str">
        <f t="shared" ref="ID405:ID431" si="258">+IF(EX15=0,ID15,"")</f>
        <v/>
      </c>
      <c r="IE405" s="27" t="str">
        <f t="shared" ref="IE405:IE431" si="259">+IF(EY15=0,IE15,"")</f>
        <v>*</v>
      </c>
      <c r="IF405" s="27" t="str">
        <f t="shared" ref="IF405:IF431" si="260">+IF(EZ15=0,IF15,"")</f>
        <v/>
      </c>
      <c r="IG405" s="27" t="str">
        <f t="shared" ref="IG405:IG431" si="261">+IF(FA15=0,IG15,"")</f>
        <v/>
      </c>
      <c r="IH405" s="27" t="str">
        <f t="shared" ref="IH405:IH431" si="262">+IF(FB15=0,IH15,"")</f>
        <v/>
      </c>
      <c r="II405" s="27" t="str">
        <f t="shared" ref="II405:II431" si="263">+IF(FC15=0,II15,"")</f>
        <v>EpY</v>
      </c>
      <c r="IJ405" s="27" t="str">
        <f t="shared" ref="IJ405:IJ431" si="264">+IF(FD15=0,IJ15,"")</f>
        <v>47QL4</v>
      </c>
      <c r="IK405" s="27" t="str">
        <f t="shared" ref="IK405:IK431" si="265">+IF(FE15=0,IK15,"")</f>
        <v>50LR</v>
      </c>
      <c r="IL405" s="27" t="str">
        <f t="shared" ref="IL405:IL431" si="266">+IF(FF15=0,IL15,"")</f>
        <v/>
      </c>
      <c r="IM405" s="27" t="str">
        <f t="shared" ref="IM405:IM431" si="267">+IF(FG15=0,IM15,"")</f>
        <v>R</v>
      </c>
      <c r="IN405" s="27" t="str">
        <f t="shared" ref="IN405:IN431" si="268">+IF(FH15=0,IN15,"")</f>
        <v/>
      </c>
      <c r="IO405" s="27" t="str">
        <f t="shared" ref="IO405:IO431" si="269">+IF(FI15=0,IO15,"")</f>
        <v>L</v>
      </c>
      <c r="IP405" s="27" t="str">
        <f t="shared" ref="IP405:IP431" si="270">+IF(FJ15=0,IP15,"")</f>
        <v/>
      </c>
      <c r="IQ405" s="27" t="str">
        <f t="shared" ref="IQ405:IQ431" si="271">+IF(FK15=0,IQ15,"")</f>
        <v/>
      </c>
      <c r="IR405" s="27" t="str">
        <f t="shared" ref="IR405:IR431" si="272">+IF(FL15=0,IR15,"")</f>
        <v/>
      </c>
      <c r="IS405" s="27" t="str">
        <f t="shared" ref="IS405:IS431" si="273">+IF(FM15=0,IS15,"")</f>
        <v/>
      </c>
      <c r="IT405" s="27" t="str">
        <f t="shared" ref="IT405:IT431" si="274">+IF(FN15=0,IT15,"")</f>
        <v>E</v>
      </c>
      <c r="IU405" s="27" t="str">
        <f t="shared" ref="IU405:IU431" si="275">+IF(FO15=0,IU15,"")</f>
        <v>*</v>
      </c>
      <c r="JP405" s="68" t="s">
        <v>149</v>
      </c>
      <c r="JQ405" s="68" t="s">
        <v>141</v>
      </c>
      <c r="JR405"/>
      <c r="NU405" s="36" t="s">
        <v>144</v>
      </c>
      <c r="NX405" s="27" t="str">
        <f t="shared" si="217"/>
        <v/>
      </c>
      <c r="NY405" s="27" t="str">
        <f t="shared" si="215"/>
        <v/>
      </c>
      <c r="NZ405" s="27" t="str">
        <f t="shared" si="215"/>
        <v/>
      </c>
      <c r="OA405" s="27" t="str">
        <f t="shared" si="215"/>
        <v/>
      </c>
      <c r="OB405" s="27" t="str">
        <f t="shared" si="215"/>
        <v/>
      </c>
      <c r="OC405" s="27" t="str">
        <f t="shared" si="215"/>
        <v/>
      </c>
      <c r="OD405" s="27" t="str">
        <f t="shared" si="215"/>
        <v/>
      </c>
      <c r="OE405" s="27" t="str">
        <f t="shared" si="215"/>
        <v/>
      </c>
      <c r="OF405" s="27" t="str">
        <f t="shared" si="215"/>
        <v/>
      </c>
      <c r="OG405" s="27" t="str">
        <f t="shared" si="215"/>
        <v/>
      </c>
      <c r="OH405" s="27" t="str">
        <f t="shared" si="215"/>
        <v/>
      </c>
      <c r="OI405" s="27" t="str">
        <f t="shared" si="215"/>
        <v/>
      </c>
      <c r="OJ405" s="27" t="str">
        <f t="shared" si="215"/>
        <v/>
      </c>
      <c r="OK405" s="27" t="str">
        <f t="shared" si="215"/>
        <v/>
      </c>
      <c r="OL405" s="27" t="str">
        <f t="shared" si="215"/>
        <v/>
      </c>
      <c r="OM405" s="27" t="str">
        <f t="shared" si="215"/>
        <v/>
      </c>
      <c r="ON405" s="27" t="str">
        <f t="shared" si="215"/>
        <v/>
      </c>
      <c r="OO405" s="27" t="str">
        <f t="shared" si="215"/>
        <v/>
      </c>
      <c r="OP405" s="27" t="str">
        <f t="shared" si="215"/>
        <v/>
      </c>
      <c r="OQ405" s="27" t="str">
        <f t="shared" si="215"/>
        <v/>
      </c>
      <c r="OR405" s="27" t="str">
        <f t="shared" si="215"/>
        <v/>
      </c>
      <c r="OS405" s="27" t="str">
        <f t="shared" si="215"/>
        <v/>
      </c>
      <c r="OT405" s="27" t="str">
        <f t="shared" si="215"/>
        <v/>
      </c>
      <c r="OU405" s="27">
        <f t="shared" si="215"/>
        <v>0</v>
      </c>
      <c r="OV405" s="27" t="str">
        <f t="shared" si="215"/>
        <v>DPA1*01:03</v>
      </c>
      <c r="OW405" s="27" t="str">
        <f t="shared" si="215"/>
        <v/>
      </c>
      <c r="OX405" s="27" t="str">
        <f t="shared" si="215"/>
        <v/>
      </c>
      <c r="OY405" s="27" t="str">
        <f t="shared" si="215"/>
        <v/>
      </c>
      <c r="OZ405" s="27" t="str">
        <f t="shared" si="215"/>
        <v/>
      </c>
      <c r="PA405" s="27" t="str">
        <f t="shared" si="215"/>
        <v/>
      </c>
      <c r="PB405" s="27" t="str">
        <f t="shared" si="215"/>
        <v/>
      </c>
      <c r="PC405" s="27" t="str">
        <f t="shared" si="215"/>
        <v/>
      </c>
      <c r="PD405" s="27" t="str">
        <f t="shared" si="215"/>
        <v/>
      </c>
      <c r="PE405" s="27" t="str">
        <f t="shared" si="215"/>
        <v/>
      </c>
      <c r="PF405" s="27" t="str">
        <f t="shared" si="215"/>
        <v/>
      </c>
      <c r="PG405" s="27" t="str">
        <f t="shared" si="215"/>
        <v/>
      </c>
      <c r="PH405" s="27" t="str">
        <f t="shared" si="215"/>
        <v/>
      </c>
      <c r="PI405" s="27" t="str">
        <f t="shared" si="215"/>
        <v/>
      </c>
      <c r="PJ405" s="27" t="str">
        <f t="shared" si="215"/>
        <v/>
      </c>
      <c r="PK405" s="27" t="str">
        <f t="shared" si="216"/>
        <v/>
      </c>
      <c r="QO405" s="260" t="s">
        <v>90</v>
      </c>
      <c r="QP405" t="s">
        <v>195</v>
      </c>
      <c r="QQ405" t="s">
        <v>20</v>
      </c>
      <c r="QR405" t="s">
        <v>14</v>
      </c>
      <c r="QT405" t="s">
        <v>7</v>
      </c>
      <c r="QU405" t="s">
        <v>185</v>
      </c>
      <c r="QV405" t="s">
        <v>22</v>
      </c>
      <c r="QW405" t="s">
        <v>22</v>
      </c>
      <c r="QX405" t="s">
        <v>198</v>
      </c>
      <c r="QY405" t="s">
        <v>8</v>
      </c>
      <c r="QZ405" t="s">
        <v>11</v>
      </c>
      <c r="RA405" t="s">
        <v>2</v>
      </c>
      <c r="RB405" t="s">
        <v>210</v>
      </c>
      <c r="RC405" t="s">
        <v>8</v>
      </c>
      <c r="RD405" t="s">
        <v>2</v>
      </c>
      <c r="RE405" t="s">
        <v>2</v>
      </c>
      <c r="RF405" t="s">
        <v>7</v>
      </c>
      <c r="RG405" t="s">
        <v>8</v>
      </c>
      <c r="RJ405" t="s">
        <v>11</v>
      </c>
      <c r="RK405" t="s">
        <v>2</v>
      </c>
      <c r="RL405" t="s">
        <v>6</v>
      </c>
      <c r="RN405" t="s">
        <v>200</v>
      </c>
      <c r="RO405" t="s">
        <v>201</v>
      </c>
      <c r="RP405" t="s">
        <v>14</v>
      </c>
      <c r="RQ405" t="s">
        <v>185</v>
      </c>
      <c r="RS405" t="s">
        <v>10</v>
      </c>
      <c r="RT405" t="s">
        <v>21</v>
      </c>
      <c r="RV405" t="s">
        <v>7</v>
      </c>
      <c r="RW405" t="s">
        <v>3</v>
      </c>
      <c r="RX405" t="s">
        <v>266</v>
      </c>
      <c r="RZ405" t="s">
        <v>20</v>
      </c>
      <c r="SA405" t="s">
        <v>211</v>
      </c>
      <c r="SC405" t="s">
        <v>205</v>
      </c>
      <c r="SD405" t="s">
        <v>15</v>
      </c>
      <c r="SE405" t="s">
        <v>14</v>
      </c>
      <c r="SH405" t="s">
        <v>15</v>
      </c>
      <c r="SI405" t="s">
        <v>5</v>
      </c>
      <c r="SJ405" s="246" t="s">
        <v>277</v>
      </c>
      <c r="SK405" s="260" t="s">
        <v>90</v>
      </c>
      <c r="SL405" s="246" t="s">
        <v>277</v>
      </c>
      <c r="WS405" s="45" t="s">
        <v>90</v>
      </c>
      <c r="WT405" s="27" t="str">
        <f t="shared" si="168"/>
        <v/>
      </c>
      <c r="WU405" s="27" t="str">
        <f t="shared" si="169"/>
        <v/>
      </c>
      <c r="WV405" s="27" t="str">
        <f t="shared" si="170"/>
        <v/>
      </c>
      <c r="WW405" s="27" t="str">
        <f t="shared" si="171"/>
        <v/>
      </c>
      <c r="WX405" s="27" t="str">
        <f t="shared" si="172"/>
        <v/>
      </c>
      <c r="WY405" s="27" t="str">
        <f t="shared" si="173"/>
        <v/>
      </c>
      <c r="WZ405" s="27" t="str">
        <f t="shared" si="174"/>
        <v/>
      </c>
      <c r="XA405" s="27" t="str">
        <f t="shared" si="175"/>
        <v/>
      </c>
      <c r="XB405" s="27" t="str">
        <f t="shared" si="176"/>
        <v/>
      </c>
      <c r="XC405" s="27" t="str">
        <f t="shared" si="177"/>
        <v/>
      </c>
      <c r="XD405" s="27" t="str">
        <f t="shared" si="178"/>
        <v/>
      </c>
      <c r="XE405" s="27" t="str">
        <f t="shared" si="179"/>
        <v/>
      </c>
      <c r="XF405" s="27" t="str">
        <f t="shared" si="180"/>
        <v/>
      </c>
      <c r="XG405" s="27" t="str">
        <f t="shared" si="181"/>
        <v/>
      </c>
      <c r="XH405" s="27" t="str">
        <f t="shared" si="182"/>
        <v/>
      </c>
      <c r="XI405" s="27" t="str">
        <f t="shared" si="183"/>
        <v/>
      </c>
      <c r="XJ405" s="27" t="str">
        <f t="shared" si="184"/>
        <v/>
      </c>
      <c r="XK405" s="27" t="str">
        <f t="shared" si="185"/>
        <v/>
      </c>
      <c r="XL405" s="27" t="str">
        <f t="shared" si="186"/>
        <v/>
      </c>
      <c r="XM405" s="27" t="str">
        <f t="shared" si="187"/>
        <v/>
      </c>
      <c r="XN405" s="27" t="str">
        <f t="shared" si="188"/>
        <v/>
      </c>
      <c r="XO405" s="27" t="str">
        <f t="shared" si="189"/>
        <v/>
      </c>
      <c r="XP405" s="27" t="str">
        <f t="shared" si="190"/>
        <v/>
      </c>
      <c r="XQ405" s="27" t="str">
        <f t="shared" si="191"/>
        <v/>
      </c>
      <c r="XR405" s="27" t="str">
        <f t="shared" si="192"/>
        <v/>
      </c>
      <c r="XS405" s="27" t="str">
        <f t="shared" si="193"/>
        <v/>
      </c>
      <c r="XT405" s="27" t="str">
        <f t="shared" si="194"/>
        <v/>
      </c>
      <c r="XU405" s="27" t="str">
        <f t="shared" si="195"/>
        <v/>
      </c>
      <c r="XV405" s="27" t="str">
        <f t="shared" si="196"/>
        <v/>
      </c>
      <c r="XW405" s="27" t="str">
        <f t="shared" si="197"/>
        <v/>
      </c>
      <c r="XX405" s="27" t="str">
        <f t="shared" si="198"/>
        <v/>
      </c>
      <c r="XY405" s="27" t="str">
        <f t="shared" si="199"/>
        <v/>
      </c>
      <c r="XZ405" s="27" t="str">
        <f t="shared" si="200"/>
        <v/>
      </c>
      <c r="YA405" s="27" t="str">
        <f t="shared" si="201"/>
        <v/>
      </c>
      <c r="YB405" s="27" t="str">
        <f t="shared" si="202"/>
        <v/>
      </c>
      <c r="YC405" s="27" t="str">
        <f t="shared" si="203"/>
        <v/>
      </c>
      <c r="YD405" s="27" t="str">
        <f t="shared" si="204"/>
        <v/>
      </c>
      <c r="YE405" s="27" t="str">
        <f t="shared" si="205"/>
        <v/>
      </c>
      <c r="YF405" s="27" t="str">
        <f t="shared" si="206"/>
        <v/>
      </c>
      <c r="YG405" s="27" t="str">
        <f t="shared" si="207"/>
        <v/>
      </c>
      <c r="YH405" s="27" t="str">
        <f t="shared" si="208"/>
        <v/>
      </c>
      <c r="YI405" s="27" t="str">
        <f t="shared" si="209"/>
        <v/>
      </c>
      <c r="YJ405" s="27" t="str">
        <f t="shared" si="210"/>
        <v/>
      </c>
      <c r="YK405" s="27" t="str">
        <f t="shared" si="211"/>
        <v/>
      </c>
      <c r="YL405" s="27" t="str">
        <f t="shared" si="212"/>
        <v/>
      </c>
      <c r="YM405" s="27" t="str">
        <f t="shared" si="213"/>
        <v/>
      </c>
      <c r="YN405" s="27" t="str">
        <f t="shared" si="214"/>
        <v/>
      </c>
    </row>
    <row r="406" spans="28:664" ht="19.5" x14ac:dyDescent="0.35">
      <c r="AB406" s="277" t="s">
        <v>26</v>
      </c>
      <c r="BQ406" s="277" t="s">
        <v>69</v>
      </c>
      <c r="GO406" s="8" t="s">
        <v>50</v>
      </c>
      <c r="GP406" s="1" t="s">
        <v>0</v>
      </c>
      <c r="GQ406" s="27" t="str">
        <f t="shared" si="220"/>
        <v/>
      </c>
      <c r="GR406" s="27" t="str">
        <f t="shared" si="221"/>
        <v/>
      </c>
      <c r="GS406" s="27" t="str">
        <f t="shared" si="222"/>
        <v/>
      </c>
      <c r="GT406" s="27" t="str">
        <f t="shared" si="223"/>
        <v/>
      </c>
      <c r="GU406" s="27" t="str">
        <f t="shared" si="224"/>
        <v/>
      </c>
      <c r="GV406" s="27" t="str">
        <f t="shared" si="225"/>
        <v/>
      </c>
      <c r="GW406" s="27" t="str">
        <f t="shared" si="226"/>
        <v>*</v>
      </c>
      <c r="GX406" s="27" t="str">
        <f t="shared" si="227"/>
        <v>*</v>
      </c>
      <c r="GY406" s="27" t="str">
        <f t="shared" si="228"/>
        <v/>
      </c>
      <c r="GZ406" s="27" t="str">
        <f t="shared" si="229"/>
        <v/>
      </c>
      <c r="HA406" s="27" t="str">
        <f t="shared" si="230"/>
        <v>45GE3</v>
      </c>
      <c r="HB406" s="27" t="str">
        <f t="shared" si="231"/>
        <v>*</v>
      </c>
      <c r="HC406" s="27" t="str">
        <f t="shared" si="232"/>
        <v/>
      </c>
      <c r="HD406" s="27" t="str">
        <f t="shared" si="233"/>
        <v>*</v>
      </c>
      <c r="HE406" s="27" t="str">
        <f t="shared" si="234"/>
        <v>*</v>
      </c>
      <c r="HF406" s="27" t="str">
        <f t="shared" si="235"/>
        <v/>
      </c>
      <c r="HG406" s="27" t="str">
        <f t="shared" si="236"/>
        <v/>
      </c>
      <c r="HH406" s="27" t="str">
        <f t="shared" si="237"/>
        <v>A</v>
      </c>
      <c r="HI406" s="27" t="str">
        <f t="shared" si="238"/>
        <v>D</v>
      </c>
      <c r="HJ406" s="27" t="str">
        <f t="shared" si="239"/>
        <v>I</v>
      </c>
      <c r="HK406" s="27" t="str">
        <f t="shared" si="240"/>
        <v/>
      </c>
      <c r="HL406" s="27" t="str">
        <f t="shared" si="241"/>
        <v/>
      </c>
      <c r="HM406" s="27" t="str">
        <f t="shared" si="242"/>
        <v/>
      </c>
      <c r="HN406" s="27" t="str">
        <f t="shared" si="243"/>
        <v/>
      </c>
      <c r="HO406" s="27" t="str">
        <f t="shared" si="244"/>
        <v/>
      </c>
      <c r="HP406" s="27" t="str">
        <f t="shared" si="245"/>
        <v>*</v>
      </c>
      <c r="HQ406" s="27" t="str">
        <f t="shared" si="246"/>
        <v/>
      </c>
      <c r="HR406" s="27" t="str">
        <f t="shared" si="247"/>
        <v>84QL3</v>
      </c>
      <c r="HS406" s="27" t="str">
        <f t="shared" si="248"/>
        <v>*</v>
      </c>
      <c r="HT406" s="27" t="str">
        <f t="shared" si="249"/>
        <v/>
      </c>
      <c r="HU406" s="27" t="str">
        <f t="shared" si="250"/>
        <v/>
      </c>
      <c r="HV406" s="27" t="str">
        <f t="shared" si="251"/>
        <v/>
      </c>
      <c r="HW406" s="27" t="str">
        <f t="shared" si="252"/>
        <v/>
      </c>
      <c r="HX406" s="27" t="str">
        <f t="shared" si="253"/>
        <v/>
      </c>
      <c r="HY406" s="27" t="str">
        <f t="shared" si="254"/>
        <v/>
      </c>
      <c r="HZ406" s="27" t="str">
        <f t="shared" si="255"/>
        <v/>
      </c>
      <c r="IA406" s="27" t="str">
        <f t="shared" si="256"/>
        <v/>
      </c>
      <c r="IB406" s="27" t="str">
        <f t="shared" si="257"/>
        <v/>
      </c>
      <c r="IC406" s="20" t="s">
        <v>60</v>
      </c>
      <c r="ID406" s="27" t="str">
        <f t="shared" si="258"/>
        <v/>
      </c>
      <c r="IE406" s="27" t="str">
        <f t="shared" si="259"/>
        <v/>
      </c>
      <c r="IF406" s="27" t="str">
        <f t="shared" si="260"/>
        <v/>
      </c>
      <c r="IG406" s="27" t="str">
        <f t="shared" si="261"/>
        <v>40GR3</v>
      </c>
      <c r="IH406" s="27" t="str">
        <f t="shared" si="262"/>
        <v>*</v>
      </c>
      <c r="II406" s="27" t="str">
        <f t="shared" si="263"/>
        <v>EpY</v>
      </c>
      <c r="IJ406" s="27" t="str">
        <f t="shared" si="264"/>
        <v/>
      </c>
      <c r="IK406" s="27" t="str">
        <f t="shared" si="265"/>
        <v/>
      </c>
      <c r="IL406" s="27" t="str">
        <f t="shared" si="266"/>
        <v>*</v>
      </c>
      <c r="IM406" s="27" t="str">
        <f t="shared" si="267"/>
        <v>R</v>
      </c>
      <c r="IN406" s="27" t="str">
        <f t="shared" si="268"/>
        <v/>
      </c>
      <c r="IO406" s="27" t="str">
        <f t="shared" si="269"/>
        <v>T</v>
      </c>
      <c r="IP406" s="27" t="str">
        <f t="shared" si="270"/>
        <v/>
      </c>
      <c r="IQ406" s="27" t="str">
        <f t="shared" si="271"/>
        <v>L</v>
      </c>
      <c r="IR406" s="27" t="str">
        <f t="shared" si="272"/>
        <v/>
      </c>
      <c r="IS406" s="27" t="str">
        <f t="shared" si="273"/>
        <v/>
      </c>
      <c r="IT406" s="27" t="str">
        <f t="shared" si="274"/>
        <v>E</v>
      </c>
      <c r="IU406" s="27" t="str">
        <f t="shared" si="275"/>
        <v/>
      </c>
      <c r="JP406" s="68" t="s">
        <v>142</v>
      </c>
      <c r="JQ406" s="68" t="s">
        <v>162</v>
      </c>
      <c r="JR406"/>
      <c r="NU406" s="36" t="s">
        <v>144</v>
      </c>
      <c r="NX406" s="27" t="str">
        <f t="shared" si="217"/>
        <v/>
      </c>
      <c r="NY406" s="27" t="str">
        <f t="shared" si="215"/>
        <v/>
      </c>
      <c r="NZ406" s="27" t="str">
        <f t="shared" si="215"/>
        <v/>
      </c>
      <c r="OA406" s="27" t="str">
        <f t="shared" si="215"/>
        <v/>
      </c>
      <c r="OB406" s="27" t="str">
        <f t="shared" si="215"/>
        <v/>
      </c>
      <c r="OC406" s="27" t="str">
        <f t="shared" si="215"/>
        <v/>
      </c>
      <c r="OD406" s="27" t="str">
        <f t="shared" si="215"/>
        <v/>
      </c>
      <c r="OE406" s="27" t="str">
        <f t="shared" si="215"/>
        <v/>
      </c>
      <c r="OF406" s="27" t="str">
        <f t="shared" si="215"/>
        <v/>
      </c>
      <c r="OG406" s="27" t="str">
        <f t="shared" si="215"/>
        <v/>
      </c>
      <c r="OH406" s="27" t="str">
        <f t="shared" si="215"/>
        <v/>
      </c>
      <c r="OI406" s="27" t="str">
        <f t="shared" si="215"/>
        <v/>
      </c>
      <c r="OJ406" s="27" t="str">
        <f t="shared" si="215"/>
        <v/>
      </c>
      <c r="OK406" s="27" t="str">
        <f t="shared" si="215"/>
        <v/>
      </c>
      <c r="OL406" s="27" t="str">
        <f t="shared" si="215"/>
        <v/>
      </c>
      <c r="OM406" s="27" t="str">
        <f t="shared" si="215"/>
        <v/>
      </c>
      <c r="ON406" s="27" t="str">
        <f t="shared" si="215"/>
        <v/>
      </c>
      <c r="OO406" s="27" t="str">
        <f t="shared" si="215"/>
        <v/>
      </c>
      <c r="OP406" s="27" t="str">
        <f t="shared" si="215"/>
        <v/>
      </c>
      <c r="OQ406" s="27" t="str">
        <f t="shared" si="215"/>
        <v/>
      </c>
      <c r="OR406" s="27" t="str">
        <f t="shared" si="215"/>
        <v/>
      </c>
      <c r="OS406" s="27" t="str">
        <f t="shared" si="215"/>
        <v/>
      </c>
      <c r="OT406" s="27" t="str">
        <f t="shared" si="215"/>
        <v/>
      </c>
      <c r="OU406" s="27">
        <f t="shared" si="215"/>
        <v>0</v>
      </c>
      <c r="OV406" s="27" t="str">
        <f t="shared" si="215"/>
        <v>DPA1*01:05</v>
      </c>
      <c r="OW406" s="27" t="str">
        <f t="shared" si="215"/>
        <v/>
      </c>
      <c r="OX406" s="27" t="str">
        <f t="shared" si="215"/>
        <v/>
      </c>
      <c r="OY406" s="27" t="str">
        <f t="shared" si="215"/>
        <v/>
      </c>
      <c r="OZ406" s="27" t="str">
        <f t="shared" si="215"/>
        <v/>
      </c>
      <c r="PA406" s="27" t="str">
        <f t="shared" si="215"/>
        <v/>
      </c>
      <c r="PB406" s="27" t="str">
        <f t="shared" si="215"/>
        <v/>
      </c>
      <c r="PC406" s="27" t="str">
        <f t="shared" si="215"/>
        <v/>
      </c>
      <c r="PD406" s="27" t="str">
        <f t="shared" si="215"/>
        <v/>
      </c>
      <c r="PE406" s="27" t="str">
        <f t="shared" si="215"/>
        <v/>
      </c>
      <c r="PF406" s="27" t="str">
        <f t="shared" si="215"/>
        <v/>
      </c>
      <c r="PG406" s="27" t="str">
        <f t="shared" si="215"/>
        <v/>
      </c>
      <c r="PH406" s="27" t="str">
        <f t="shared" si="215"/>
        <v/>
      </c>
      <c r="PI406" s="27" t="str">
        <f t="shared" si="215"/>
        <v/>
      </c>
      <c r="PJ406" s="27" t="str">
        <f t="shared" si="215"/>
        <v/>
      </c>
      <c r="PK406" s="27" t="str">
        <f t="shared" si="216"/>
        <v/>
      </c>
      <c r="QO406" s="260" t="s">
        <v>92</v>
      </c>
      <c r="QP406" t="s">
        <v>195</v>
      </c>
      <c r="QQ406" t="s">
        <v>20</v>
      </c>
      <c r="QR406" t="s">
        <v>14</v>
      </c>
      <c r="QT406" t="s">
        <v>7</v>
      </c>
      <c r="QU406" t="s">
        <v>185</v>
      </c>
      <c r="QV406" t="s">
        <v>22</v>
      </c>
      <c r="QW406" t="s">
        <v>22</v>
      </c>
      <c r="QX406" t="s">
        <v>198</v>
      </c>
      <c r="QY406" t="s">
        <v>8</v>
      </c>
      <c r="QZ406" t="s">
        <v>11</v>
      </c>
      <c r="RA406" t="s">
        <v>2</v>
      </c>
      <c r="RB406" t="s">
        <v>210</v>
      </c>
      <c r="RC406" t="s">
        <v>8</v>
      </c>
      <c r="RD406" t="s">
        <v>2</v>
      </c>
      <c r="RE406" t="s">
        <v>2</v>
      </c>
      <c r="RF406" t="s">
        <v>7</v>
      </c>
      <c r="RG406" t="s">
        <v>8</v>
      </c>
      <c r="RJ406" t="s">
        <v>11</v>
      </c>
      <c r="RK406" t="s">
        <v>2</v>
      </c>
      <c r="RL406" t="s">
        <v>12</v>
      </c>
      <c r="RM406" t="s">
        <v>203</v>
      </c>
      <c r="RN406" t="s">
        <v>212</v>
      </c>
      <c r="RO406" t="s">
        <v>201</v>
      </c>
      <c r="RQ406" t="s">
        <v>20</v>
      </c>
      <c r="RS406" t="s">
        <v>10</v>
      </c>
      <c r="RT406" t="s">
        <v>21</v>
      </c>
      <c r="RV406" t="s">
        <v>7</v>
      </c>
      <c r="RW406" t="s">
        <v>7</v>
      </c>
      <c r="RX406" t="s">
        <v>266</v>
      </c>
      <c r="RZ406" t="s">
        <v>20</v>
      </c>
      <c r="SA406" t="s">
        <v>211</v>
      </c>
      <c r="SC406" t="s">
        <v>205</v>
      </c>
      <c r="SD406" t="s">
        <v>15</v>
      </c>
      <c r="SE406" t="s">
        <v>14</v>
      </c>
      <c r="SH406" t="s">
        <v>15</v>
      </c>
      <c r="SI406" t="s">
        <v>5</v>
      </c>
      <c r="SJ406" s="246" t="s">
        <v>277</v>
      </c>
      <c r="SK406" s="260" t="s">
        <v>92</v>
      </c>
      <c r="SL406" s="246" t="s">
        <v>277</v>
      </c>
      <c r="WS406" s="45" t="s">
        <v>92</v>
      </c>
      <c r="WT406" s="27" t="str">
        <f t="shared" si="168"/>
        <v/>
      </c>
      <c r="WU406" s="27" t="str">
        <f t="shared" si="169"/>
        <v/>
      </c>
      <c r="WV406" s="27" t="str">
        <f t="shared" si="170"/>
        <v/>
      </c>
      <c r="WW406" s="27" t="str">
        <f t="shared" si="171"/>
        <v/>
      </c>
      <c r="WX406" s="27" t="str">
        <f t="shared" si="172"/>
        <v/>
      </c>
      <c r="WY406" s="27" t="str">
        <f t="shared" si="173"/>
        <v/>
      </c>
      <c r="WZ406" s="27" t="str">
        <f t="shared" si="174"/>
        <v/>
      </c>
      <c r="XA406" s="27" t="str">
        <f t="shared" si="175"/>
        <v/>
      </c>
      <c r="XB406" s="27" t="str">
        <f t="shared" si="176"/>
        <v/>
      </c>
      <c r="XC406" s="27" t="str">
        <f t="shared" si="177"/>
        <v/>
      </c>
      <c r="XD406" s="27" t="str">
        <f t="shared" si="178"/>
        <v/>
      </c>
      <c r="XE406" s="27" t="str">
        <f t="shared" si="179"/>
        <v/>
      </c>
      <c r="XF406" s="27" t="str">
        <f t="shared" si="180"/>
        <v/>
      </c>
      <c r="XG406" s="27" t="str">
        <f t="shared" si="181"/>
        <v/>
      </c>
      <c r="XH406" s="27" t="str">
        <f t="shared" si="182"/>
        <v/>
      </c>
      <c r="XI406" s="27" t="str">
        <f t="shared" si="183"/>
        <v/>
      </c>
      <c r="XJ406" s="27" t="str">
        <f t="shared" si="184"/>
        <v/>
      </c>
      <c r="XK406" s="27" t="str">
        <f t="shared" si="185"/>
        <v/>
      </c>
      <c r="XL406" s="27" t="str">
        <f t="shared" si="186"/>
        <v/>
      </c>
      <c r="XM406" s="27" t="str">
        <f t="shared" si="187"/>
        <v/>
      </c>
      <c r="XN406" s="27" t="str">
        <f t="shared" si="188"/>
        <v/>
      </c>
      <c r="XO406" s="27" t="str">
        <f t="shared" si="189"/>
        <v/>
      </c>
      <c r="XP406" s="27" t="str">
        <f t="shared" si="190"/>
        <v/>
      </c>
      <c r="XQ406" s="27" t="str">
        <f t="shared" si="191"/>
        <v/>
      </c>
      <c r="XR406" s="27" t="str">
        <f t="shared" si="192"/>
        <v/>
      </c>
      <c r="XS406" s="27" t="str">
        <f t="shared" si="193"/>
        <v/>
      </c>
      <c r="XT406" s="27" t="str">
        <f t="shared" si="194"/>
        <v/>
      </c>
      <c r="XU406" s="27" t="str">
        <f t="shared" si="195"/>
        <v/>
      </c>
      <c r="XV406" s="27" t="str">
        <f t="shared" si="196"/>
        <v/>
      </c>
      <c r="XW406" s="27" t="str">
        <f t="shared" si="197"/>
        <v/>
      </c>
      <c r="XX406" s="27" t="str">
        <f t="shared" si="198"/>
        <v/>
      </c>
      <c r="XY406" s="27" t="str">
        <f t="shared" si="199"/>
        <v/>
      </c>
      <c r="XZ406" s="27" t="str">
        <f t="shared" si="200"/>
        <v/>
      </c>
      <c r="YA406" s="27" t="str">
        <f t="shared" si="201"/>
        <v/>
      </c>
      <c r="YB406" s="27" t="str">
        <f t="shared" si="202"/>
        <v/>
      </c>
      <c r="YC406" s="27" t="str">
        <f t="shared" si="203"/>
        <v/>
      </c>
      <c r="YD406" s="27" t="str">
        <f t="shared" si="204"/>
        <v/>
      </c>
      <c r="YE406" s="27" t="str">
        <f t="shared" si="205"/>
        <v/>
      </c>
      <c r="YF406" s="27" t="str">
        <f t="shared" si="206"/>
        <v/>
      </c>
      <c r="YG406" s="27" t="str">
        <f t="shared" si="207"/>
        <v/>
      </c>
      <c r="YH406" s="27" t="str">
        <f t="shared" si="208"/>
        <v/>
      </c>
      <c r="YI406" s="27" t="str">
        <f t="shared" si="209"/>
        <v/>
      </c>
      <c r="YJ406" s="27" t="str">
        <f t="shared" si="210"/>
        <v/>
      </c>
      <c r="YK406" s="27" t="str">
        <f t="shared" si="211"/>
        <v/>
      </c>
      <c r="YL406" s="27" t="str">
        <f t="shared" si="212"/>
        <v/>
      </c>
      <c r="YM406" s="27" t="str">
        <f t="shared" si="213"/>
        <v/>
      </c>
      <c r="YN406" s="27" t="str">
        <f t="shared" si="214"/>
        <v/>
      </c>
    </row>
    <row r="407" spans="28:664" ht="19.5" x14ac:dyDescent="0.35">
      <c r="AB407" s="277" t="s">
        <v>28</v>
      </c>
      <c r="BQ407" s="277" t="s">
        <v>62</v>
      </c>
      <c r="GO407" s="8" t="s">
        <v>50</v>
      </c>
      <c r="GP407" s="1" t="s">
        <v>0</v>
      </c>
      <c r="GQ407" s="27" t="str">
        <f t="shared" si="220"/>
        <v/>
      </c>
      <c r="GR407" s="27" t="str">
        <f t="shared" si="221"/>
        <v/>
      </c>
      <c r="GS407" s="27" t="str">
        <f t="shared" si="222"/>
        <v/>
      </c>
      <c r="GT407" s="27" t="str">
        <f t="shared" si="223"/>
        <v/>
      </c>
      <c r="GU407" s="27" t="str">
        <f t="shared" si="224"/>
        <v/>
      </c>
      <c r="GV407" s="27" t="str">
        <f t="shared" si="225"/>
        <v/>
      </c>
      <c r="GW407" s="27" t="str">
        <f t="shared" si="226"/>
        <v>*</v>
      </c>
      <c r="GX407" s="27" t="str">
        <f t="shared" si="227"/>
        <v>*</v>
      </c>
      <c r="GY407" s="27" t="str">
        <f t="shared" si="228"/>
        <v/>
      </c>
      <c r="GZ407" s="27" t="str">
        <f t="shared" si="229"/>
        <v/>
      </c>
      <c r="HA407" s="27" t="str">
        <f t="shared" si="230"/>
        <v>45GE3</v>
      </c>
      <c r="HB407" s="27" t="str">
        <f t="shared" si="231"/>
        <v>*</v>
      </c>
      <c r="HC407" s="27" t="str">
        <f t="shared" si="232"/>
        <v/>
      </c>
      <c r="HD407" s="27" t="str">
        <f t="shared" si="233"/>
        <v>*</v>
      </c>
      <c r="HE407" s="27" t="str">
        <f t="shared" si="234"/>
        <v>*</v>
      </c>
      <c r="HF407" s="27" t="str">
        <f t="shared" si="235"/>
        <v/>
      </c>
      <c r="HG407" s="27" t="str">
        <f t="shared" si="236"/>
        <v/>
      </c>
      <c r="HH407" s="27" t="str">
        <f t="shared" si="237"/>
        <v>A</v>
      </c>
      <c r="HI407" s="27" t="str">
        <f t="shared" si="238"/>
        <v>D</v>
      </c>
      <c r="HJ407" s="27" t="str">
        <f t="shared" si="239"/>
        <v>I</v>
      </c>
      <c r="HK407" s="27" t="str">
        <f t="shared" si="240"/>
        <v/>
      </c>
      <c r="HL407" s="27" t="str">
        <f t="shared" si="241"/>
        <v/>
      </c>
      <c r="HM407" s="27" t="str">
        <f t="shared" si="242"/>
        <v/>
      </c>
      <c r="HN407" s="27" t="str">
        <f t="shared" si="243"/>
        <v/>
      </c>
      <c r="HO407" s="27" t="str">
        <f t="shared" si="244"/>
        <v/>
      </c>
      <c r="HP407" s="27" t="str">
        <f t="shared" si="245"/>
        <v>*</v>
      </c>
      <c r="HQ407" s="27" t="str">
        <f t="shared" si="246"/>
        <v/>
      </c>
      <c r="HR407" s="27" t="str">
        <f t="shared" si="247"/>
        <v>84QL3</v>
      </c>
      <c r="HS407" s="27" t="str">
        <f t="shared" si="248"/>
        <v>*</v>
      </c>
      <c r="HT407" s="27" t="str">
        <f t="shared" si="249"/>
        <v/>
      </c>
      <c r="HU407" s="27" t="str">
        <f t="shared" si="250"/>
        <v/>
      </c>
      <c r="HV407" s="27" t="str">
        <f t="shared" si="251"/>
        <v/>
      </c>
      <c r="HW407" s="27" t="str">
        <f t="shared" si="252"/>
        <v/>
      </c>
      <c r="HX407" s="27" t="str">
        <f t="shared" si="253"/>
        <v/>
      </c>
      <c r="HY407" s="27" t="str">
        <f t="shared" si="254"/>
        <v/>
      </c>
      <c r="HZ407" s="27" t="str">
        <f t="shared" si="255"/>
        <v/>
      </c>
      <c r="IA407" s="27" t="str">
        <f t="shared" si="256"/>
        <v/>
      </c>
      <c r="IB407" s="27" t="str">
        <f t="shared" si="257"/>
        <v/>
      </c>
      <c r="IC407" s="19" t="s">
        <v>61</v>
      </c>
      <c r="ID407" s="27" t="str">
        <f t="shared" si="258"/>
        <v/>
      </c>
      <c r="IE407" s="27" t="str">
        <f t="shared" si="259"/>
        <v/>
      </c>
      <c r="IF407" s="27" t="str">
        <f t="shared" si="260"/>
        <v/>
      </c>
      <c r="IG407" s="27" t="str">
        <f t="shared" si="261"/>
        <v>40GR3</v>
      </c>
      <c r="IH407" s="27" t="str">
        <f t="shared" si="262"/>
        <v>*</v>
      </c>
      <c r="II407" s="27" t="str">
        <f t="shared" si="263"/>
        <v>EpY</v>
      </c>
      <c r="IJ407" s="27" t="str">
        <f t="shared" si="264"/>
        <v>75S3</v>
      </c>
      <c r="IK407" s="27" t="str">
        <f t="shared" si="265"/>
        <v/>
      </c>
      <c r="IL407" s="27" t="str">
        <f t="shared" si="266"/>
        <v>*</v>
      </c>
      <c r="IM407" s="27" t="str">
        <f t="shared" si="267"/>
        <v>R</v>
      </c>
      <c r="IN407" s="27" t="str">
        <f t="shared" si="268"/>
        <v/>
      </c>
      <c r="IO407" s="27" t="str">
        <f t="shared" si="269"/>
        <v>L</v>
      </c>
      <c r="IP407" s="27" t="str">
        <f t="shared" si="270"/>
        <v>*</v>
      </c>
      <c r="IQ407" s="27" t="str">
        <f t="shared" si="271"/>
        <v>L</v>
      </c>
      <c r="IR407" s="27" t="str">
        <f t="shared" si="272"/>
        <v/>
      </c>
      <c r="IS407" s="27" t="str">
        <f t="shared" si="273"/>
        <v/>
      </c>
      <c r="IT407" s="27" t="str">
        <f t="shared" si="274"/>
        <v/>
      </c>
      <c r="IU407" s="27" t="str">
        <f t="shared" si="275"/>
        <v/>
      </c>
      <c r="JP407" s="68" t="s">
        <v>150</v>
      </c>
      <c r="JQ407" s="68" t="s">
        <v>178</v>
      </c>
      <c r="JR407"/>
      <c r="NU407" s="36" t="s">
        <v>144</v>
      </c>
      <c r="NX407" s="27" t="str">
        <f t="shared" si="217"/>
        <v/>
      </c>
      <c r="NY407" s="27" t="str">
        <f t="shared" si="215"/>
        <v/>
      </c>
      <c r="NZ407" s="27" t="str">
        <f t="shared" si="215"/>
        <v/>
      </c>
      <c r="OA407" s="27" t="str">
        <f t="shared" si="215"/>
        <v/>
      </c>
      <c r="OB407" s="27" t="str">
        <f t="shared" si="215"/>
        <v/>
      </c>
      <c r="OC407" s="27" t="str">
        <f t="shared" si="215"/>
        <v/>
      </c>
      <c r="OD407" s="27" t="str">
        <f t="shared" si="215"/>
        <v/>
      </c>
      <c r="OE407" s="27" t="str">
        <f t="shared" si="215"/>
        <v/>
      </c>
      <c r="OF407" s="27" t="str">
        <f t="shared" si="215"/>
        <v/>
      </c>
      <c r="OG407" s="27" t="str">
        <f t="shared" si="215"/>
        <v/>
      </c>
      <c r="OH407" s="27" t="str">
        <f t="shared" si="215"/>
        <v/>
      </c>
      <c r="OI407" s="27" t="str">
        <f t="shared" si="215"/>
        <v/>
      </c>
      <c r="OJ407" s="27" t="str">
        <f t="shared" si="215"/>
        <v/>
      </c>
      <c r="OK407" s="27" t="str">
        <f t="shared" si="215"/>
        <v/>
      </c>
      <c r="OL407" s="27" t="str">
        <f t="shared" si="215"/>
        <v/>
      </c>
      <c r="OM407" s="27" t="str">
        <f t="shared" si="215"/>
        <v/>
      </c>
      <c r="ON407" s="27" t="str">
        <f t="shared" si="215"/>
        <v/>
      </c>
      <c r="OO407" s="27" t="str">
        <f t="shared" si="215"/>
        <v/>
      </c>
      <c r="OP407" s="27" t="str">
        <f t="shared" si="215"/>
        <v/>
      </c>
      <c r="OQ407" s="27" t="str">
        <f t="shared" si="215"/>
        <v/>
      </c>
      <c r="OR407" s="27" t="str">
        <f t="shared" si="215"/>
        <v/>
      </c>
      <c r="OS407" s="27" t="str">
        <f t="shared" si="215"/>
        <v/>
      </c>
      <c r="OT407" s="27" t="str">
        <f t="shared" si="215"/>
        <v/>
      </c>
      <c r="OU407" s="27">
        <f t="shared" si="215"/>
        <v>0</v>
      </c>
      <c r="OV407" s="27" t="str">
        <f t="shared" si="215"/>
        <v>DPA1*02:01</v>
      </c>
      <c r="OW407" s="27" t="str">
        <f t="shared" si="215"/>
        <v/>
      </c>
      <c r="OX407" s="27" t="str">
        <f t="shared" si="215"/>
        <v/>
      </c>
      <c r="OY407" s="27" t="str">
        <f t="shared" si="215"/>
        <v/>
      </c>
      <c r="OZ407" s="27" t="str">
        <f t="shared" si="215"/>
        <v/>
      </c>
      <c r="PA407" s="27" t="str">
        <f t="shared" si="215"/>
        <v/>
      </c>
      <c r="PB407" s="27" t="str">
        <f t="shared" si="215"/>
        <v/>
      </c>
      <c r="PC407" s="27" t="str">
        <f t="shared" si="215"/>
        <v/>
      </c>
      <c r="PD407" s="27" t="str">
        <f t="shared" si="215"/>
        <v/>
      </c>
      <c r="PE407" s="27" t="str">
        <f t="shared" si="215"/>
        <v/>
      </c>
      <c r="PF407" s="27" t="str">
        <f t="shared" si="215"/>
        <v/>
      </c>
      <c r="PG407" s="27" t="str">
        <f t="shared" si="215"/>
        <v/>
      </c>
      <c r="PH407" s="27" t="str">
        <f t="shared" si="215"/>
        <v/>
      </c>
      <c r="PI407" s="27" t="str">
        <f t="shared" si="215"/>
        <v/>
      </c>
      <c r="PJ407" s="27" t="str">
        <f t="shared" si="215"/>
        <v/>
      </c>
      <c r="PK407" s="27" t="str">
        <f t="shared" si="216"/>
        <v/>
      </c>
      <c r="QO407" s="260" t="s">
        <v>97</v>
      </c>
      <c r="QP407" t="s">
        <v>195</v>
      </c>
      <c r="QQ407" t="s">
        <v>20</v>
      </c>
      <c r="QR407" t="s">
        <v>14</v>
      </c>
      <c r="QT407" t="s">
        <v>7</v>
      </c>
      <c r="QU407" t="s">
        <v>185</v>
      </c>
      <c r="QV407" t="s">
        <v>22</v>
      </c>
      <c r="QW407" t="s">
        <v>22</v>
      </c>
      <c r="QX407" t="s">
        <v>198</v>
      </c>
      <c r="QY407" t="s">
        <v>8</v>
      </c>
      <c r="QZ407" t="s">
        <v>11</v>
      </c>
      <c r="RA407" t="s">
        <v>2</v>
      </c>
      <c r="RB407" t="s">
        <v>210</v>
      </c>
      <c r="RC407" t="s">
        <v>8</v>
      </c>
      <c r="RD407" t="s">
        <v>2</v>
      </c>
      <c r="RE407" t="s">
        <v>2</v>
      </c>
      <c r="RF407" t="s">
        <v>7</v>
      </c>
      <c r="RG407" t="s">
        <v>8</v>
      </c>
      <c r="RJ407" t="s">
        <v>11</v>
      </c>
      <c r="RK407" t="s">
        <v>2</v>
      </c>
      <c r="RL407" t="s">
        <v>6</v>
      </c>
      <c r="RN407" t="s">
        <v>200</v>
      </c>
      <c r="RO407" t="s">
        <v>201</v>
      </c>
      <c r="RP407" t="s">
        <v>14</v>
      </c>
      <c r="RQ407" t="s">
        <v>5</v>
      </c>
      <c r="RS407" t="s">
        <v>20</v>
      </c>
      <c r="RT407" t="s">
        <v>21</v>
      </c>
      <c r="RV407" t="s">
        <v>7</v>
      </c>
      <c r="RW407" t="s">
        <v>7</v>
      </c>
      <c r="RX407" t="s">
        <v>266</v>
      </c>
      <c r="RZ407" t="s">
        <v>20</v>
      </c>
      <c r="SA407" t="s">
        <v>211</v>
      </c>
      <c r="SC407" t="s">
        <v>205</v>
      </c>
      <c r="SD407" t="s">
        <v>15</v>
      </c>
      <c r="SE407" t="s">
        <v>14</v>
      </c>
      <c r="SH407" t="s">
        <v>15</v>
      </c>
      <c r="SI407" t="s">
        <v>5</v>
      </c>
      <c r="SJ407" s="246" t="s">
        <v>277</v>
      </c>
      <c r="SK407" s="260" t="s">
        <v>97</v>
      </c>
      <c r="SL407" s="246" t="s">
        <v>277</v>
      </c>
      <c r="WS407" s="45" t="s">
        <v>93</v>
      </c>
      <c r="WT407" s="27" t="str">
        <f t="shared" si="168"/>
        <v/>
      </c>
      <c r="WU407" s="27" t="str">
        <f t="shared" si="169"/>
        <v/>
      </c>
      <c r="WV407" s="27" t="str">
        <f t="shared" si="170"/>
        <v/>
      </c>
      <c r="WW407" s="27" t="str">
        <f t="shared" si="171"/>
        <v/>
      </c>
      <c r="WX407" s="27" t="str">
        <f t="shared" si="172"/>
        <v/>
      </c>
      <c r="WY407" s="27" t="str">
        <f t="shared" si="173"/>
        <v/>
      </c>
      <c r="WZ407" s="27" t="str">
        <f t="shared" si="174"/>
        <v/>
      </c>
      <c r="XA407" s="27" t="str">
        <f t="shared" si="175"/>
        <v/>
      </c>
      <c r="XB407" s="27" t="str">
        <f t="shared" si="176"/>
        <v/>
      </c>
      <c r="XC407" s="27" t="str">
        <f t="shared" si="177"/>
        <v/>
      </c>
      <c r="XD407" s="27" t="str">
        <f t="shared" si="178"/>
        <v/>
      </c>
      <c r="XE407" s="27" t="str">
        <f t="shared" si="179"/>
        <v/>
      </c>
      <c r="XF407" s="27" t="str">
        <f t="shared" si="180"/>
        <v/>
      </c>
      <c r="XG407" s="27" t="str">
        <f t="shared" si="181"/>
        <v/>
      </c>
      <c r="XH407" s="27" t="str">
        <f t="shared" si="182"/>
        <v/>
      </c>
      <c r="XI407" s="27" t="str">
        <f t="shared" si="183"/>
        <v/>
      </c>
      <c r="XJ407" s="27" t="str">
        <f t="shared" si="184"/>
        <v/>
      </c>
      <c r="XK407" s="27" t="str">
        <f t="shared" si="185"/>
        <v/>
      </c>
      <c r="XL407" s="27" t="str">
        <f t="shared" si="186"/>
        <v/>
      </c>
      <c r="XM407" s="27" t="str">
        <f t="shared" si="187"/>
        <v/>
      </c>
      <c r="XN407" s="27" t="str">
        <f t="shared" si="188"/>
        <v/>
      </c>
      <c r="XO407" s="27" t="str">
        <f t="shared" si="189"/>
        <v/>
      </c>
      <c r="XP407" s="27" t="str">
        <f t="shared" si="190"/>
        <v/>
      </c>
      <c r="XQ407" s="27" t="str">
        <f t="shared" si="191"/>
        <v/>
      </c>
      <c r="XR407" s="27" t="str">
        <f t="shared" si="192"/>
        <v/>
      </c>
      <c r="XS407" s="27" t="str">
        <f t="shared" si="193"/>
        <v/>
      </c>
      <c r="XT407" s="27" t="str">
        <f t="shared" si="194"/>
        <v/>
      </c>
      <c r="XU407" s="27" t="str">
        <f t="shared" si="195"/>
        <v/>
      </c>
      <c r="XV407" s="27" t="str">
        <f t="shared" si="196"/>
        <v/>
      </c>
      <c r="XW407" s="27" t="str">
        <f t="shared" si="197"/>
        <v/>
      </c>
      <c r="XX407" s="27" t="str">
        <f t="shared" si="198"/>
        <v/>
      </c>
      <c r="XY407" s="27" t="str">
        <f t="shared" si="199"/>
        <v/>
      </c>
      <c r="XZ407" s="27" t="str">
        <f t="shared" si="200"/>
        <v/>
      </c>
      <c r="YA407" s="27" t="str">
        <f t="shared" si="201"/>
        <v/>
      </c>
      <c r="YB407" s="27" t="str">
        <f t="shared" si="202"/>
        <v/>
      </c>
      <c r="YC407" s="27" t="str">
        <f t="shared" si="203"/>
        <v/>
      </c>
      <c r="YD407" s="27" t="str">
        <f t="shared" si="204"/>
        <v/>
      </c>
      <c r="YE407" s="27" t="str">
        <f t="shared" si="205"/>
        <v/>
      </c>
      <c r="YF407" s="27" t="str">
        <f t="shared" si="206"/>
        <v/>
      </c>
      <c r="YG407" s="27" t="str">
        <f t="shared" si="207"/>
        <v/>
      </c>
      <c r="YH407" s="27" t="str">
        <f t="shared" si="208"/>
        <v/>
      </c>
      <c r="YI407" s="27" t="str">
        <f t="shared" si="209"/>
        <v/>
      </c>
      <c r="YJ407" s="27" t="str">
        <f t="shared" si="210"/>
        <v/>
      </c>
      <c r="YK407" s="27" t="str">
        <f t="shared" si="211"/>
        <v/>
      </c>
      <c r="YL407" s="27" t="str">
        <f t="shared" si="212"/>
        <v/>
      </c>
      <c r="YM407" s="27" t="str">
        <f t="shared" si="213"/>
        <v/>
      </c>
      <c r="YN407" s="27" t="str">
        <f t="shared" si="214"/>
        <v/>
      </c>
    </row>
    <row r="408" spans="28:664" ht="19.5" x14ac:dyDescent="0.35">
      <c r="AB408" s="277" t="s">
        <v>29</v>
      </c>
      <c r="BQ408" s="277" t="s">
        <v>60</v>
      </c>
      <c r="GO408" s="8" t="s">
        <v>50</v>
      </c>
      <c r="GP408" s="1" t="s">
        <v>16</v>
      </c>
      <c r="GQ408" s="27" t="str">
        <f t="shared" si="220"/>
        <v/>
      </c>
      <c r="GR408" s="27" t="str">
        <f t="shared" si="221"/>
        <v/>
      </c>
      <c r="GS408" s="27" t="str">
        <f t="shared" si="222"/>
        <v/>
      </c>
      <c r="GT408" s="27" t="str">
        <f t="shared" si="223"/>
        <v/>
      </c>
      <c r="GU408" s="27" t="str">
        <f t="shared" si="224"/>
        <v/>
      </c>
      <c r="GV408" s="27" t="str">
        <f t="shared" si="225"/>
        <v/>
      </c>
      <c r="GW408" s="27" t="str">
        <f t="shared" si="226"/>
        <v>*</v>
      </c>
      <c r="GX408" s="27" t="str">
        <f t="shared" si="227"/>
        <v>*</v>
      </c>
      <c r="GY408" s="27" t="str">
        <f t="shared" si="228"/>
        <v/>
      </c>
      <c r="GZ408" s="27" t="str">
        <f t="shared" si="229"/>
        <v/>
      </c>
      <c r="HA408" s="27" t="str">
        <f t="shared" si="230"/>
        <v>45GE3</v>
      </c>
      <c r="HB408" s="27" t="str">
        <f t="shared" si="231"/>
        <v>*</v>
      </c>
      <c r="HC408" s="27" t="str">
        <f t="shared" si="232"/>
        <v/>
      </c>
      <c r="HD408" s="27" t="str">
        <f t="shared" si="233"/>
        <v>*</v>
      </c>
      <c r="HE408" s="27" t="str">
        <f t="shared" si="234"/>
        <v>*</v>
      </c>
      <c r="HF408" s="27" t="str">
        <f t="shared" si="235"/>
        <v/>
      </c>
      <c r="HG408" s="27" t="str">
        <f t="shared" si="236"/>
        <v/>
      </c>
      <c r="HH408" s="27" t="str">
        <f t="shared" si="237"/>
        <v>A</v>
      </c>
      <c r="HI408" s="27" t="str">
        <f t="shared" si="238"/>
        <v>D</v>
      </c>
      <c r="HJ408" s="27" t="str">
        <f t="shared" si="239"/>
        <v>I</v>
      </c>
      <c r="HK408" s="27" t="str">
        <f t="shared" si="240"/>
        <v/>
      </c>
      <c r="HL408" s="27" t="str">
        <f t="shared" si="241"/>
        <v/>
      </c>
      <c r="HM408" s="27" t="str">
        <f t="shared" si="242"/>
        <v/>
      </c>
      <c r="HN408" s="27" t="str">
        <f t="shared" si="243"/>
        <v/>
      </c>
      <c r="HO408" s="27" t="str">
        <f t="shared" si="244"/>
        <v/>
      </c>
      <c r="HP408" s="27" t="str">
        <f t="shared" si="245"/>
        <v>*</v>
      </c>
      <c r="HQ408" s="27" t="str">
        <f t="shared" si="246"/>
        <v/>
      </c>
      <c r="HR408" s="27" t="str">
        <f t="shared" si="247"/>
        <v>84QL3</v>
      </c>
      <c r="HS408" s="27" t="str">
        <f t="shared" si="248"/>
        <v>*</v>
      </c>
      <c r="HT408" s="27" t="str">
        <f t="shared" si="249"/>
        <v/>
      </c>
      <c r="HU408" s="27" t="str">
        <f t="shared" si="250"/>
        <v/>
      </c>
      <c r="HV408" s="27" t="str">
        <f t="shared" si="251"/>
        <v/>
      </c>
      <c r="HW408" s="27" t="str">
        <f t="shared" si="252"/>
        <v/>
      </c>
      <c r="HX408" s="27" t="str">
        <f t="shared" si="253"/>
        <v/>
      </c>
      <c r="HY408" s="27" t="str">
        <f t="shared" si="254"/>
        <v>G</v>
      </c>
      <c r="HZ408" s="27" t="str">
        <f t="shared" si="255"/>
        <v/>
      </c>
      <c r="IA408" s="27" t="str">
        <f t="shared" si="256"/>
        <v/>
      </c>
      <c r="IB408" s="27" t="str">
        <f t="shared" si="257"/>
        <v/>
      </c>
      <c r="IC408" s="21" t="s">
        <v>58</v>
      </c>
      <c r="ID408" s="27" t="str">
        <f t="shared" si="258"/>
        <v/>
      </c>
      <c r="IE408" s="27" t="str">
        <f t="shared" si="259"/>
        <v/>
      </c>
      <c r="IF408" s="27" t="str">
        <f t="shared" si="260"/>
        <v/>
      </c>
      <c r="IG408" s="27" t="str">
        <f t="shared" si="261"/>
        <v/>
      </c>
      <c r="IH408" s="27" t="str">
        <f t="shared" si="262"/>
        <v/>
      </c>
      <c r="II408" s="27" t="str">
        <f t="shared" si="263"/>
        <v>EpY</v>
      </c>
      <c r="IJ408" s="27" t="str">
        <f t="shared" si="264"/>
        <v>47KHL</v>
      </c>
      <c r="IK408" s="27" t="str">
        <f t="shared" si="265"/>
        <v>50LR</v>
      </c>
      <c r="IL408" s="27" t="str">
        <f t="shared" si="266"/>
        <v/>
      </c>
      <c r="IM408" s="27" t="str">
        <f t="shared" si="267"/>
        <v/>
      </c>
      <c r="IN408" s="27" t="str">
        <f t="shared" si="268"/>
        <v>*</v>
      </c>
      <c r="IO408" s="27" t="str">
        <f t="shared" si="269"/>
        <v>L</v>
      </c>
      <c r="IP408" s="27" t="str">
        <f t="shared" si="270"/>
        <v/>
      </c>
      <c r="IQ408" s="27" t="str">
        <f t="shared" si="271"/>
        <v>L</v>
      </c>
      <c r="IR408" s="27" t="str">
        <f t="shared" si="272"/>
        <v/>
      </c>
      <c r="IS408" s="27" t="str">
        <f t="shared" si="273"/>
        <v/>
      </c>
      <c r="IT408" s="27" t="str">
        <f t="shared" si="274"/>
        <v>E</v>
      </c>
      <c r="IU408" s="27" t="str">
        <f t="shared" si="275"/>
        <v/>
      </c>
      <c r="JP408" s="68" t="s">
        <v>152</v>
      </c>
      <c r="JQ408" s="27"/>
      <c r="JR408" s="27"/>
      <c r="JS408" s="27"/>
      <c r="NU408" s="37" t="s">
        <v>147</v>
      </c>
      <c r="NX408" s="27" t="str">
        <f t="shared" si="217"/>
        <v/>
      </c>
      <c r="NY408" s="27" t="str">
        <f t="shared" si="215"/>
        <v/>
      </c>
      <c r="NZ408" s="27" t="str">
        <f t="shared" si="215"/>
        <v/>
      </c>
      <c r="OA408" s="27" t="str">
        <f t="shared" si="215"/>
        <v/>
      </c>
      <c r="OB408" s="27" t="str">
        <f t="shared" si="215"/>
        <v/>
      </c>
      <c r="OC408" s="27" t="str">
        <f t="shared" si="215"/>
        <v/>
      </c>
      <c r="OD408" s="27" t="str">
        <f t="shared" si="215"/>
        <v/>
      </c>
      <c r="OE408" s="27" t="str">
        <f t="shared" si="215"/>
        <v/>
      </c>
      <c r="OF408" s="27" t="str">
        <f t="shared" si="215"/>
        <v/>
      </c>
      <c r="OG408" s="27" t="str">
        <f t="shared" si="215"/>
        <v/>
      </c>
      <c r="OH408" s="27" t="str">
        <f t="shared" si="215"/>
        <v/>
      </c>
      <c r="OI408" s="27" t="str">
        <f t="shared" si="215"/>
        <v/>
      </c>
      <c r="OJ408" s="27" t="str">
        <f t="shared" si="215"/>
        <v/>
      </c>
      <c r="OK408" s="27" t="str">
        <f t="shared" si="215"/>
        <v/>
      </c>
      <c r="OL408" s="27" t="str">
        <f t="shared" si="215"/>
        <v/>
      </c>
      <c r="OM408" s="27" t="str">
        <f t="shared" si="215"/>
        <v/>
      </c>
      <c r="ON408" s="27" t="str">
        <f t="shared" si="215"/>
        <v/>
      </c>
      <c r="OO408" s="27" t="str">
        <f t="shared" si="215"/>
        <v/>
      </c>
      <c r="OP408" s="27" t="str">
        <f t="shared" si="215"/>
        <v/>
      </c>
      <c r="OQ408" s="27" t="str">
        <f t="shared" si="215"/>
        <v/>
      </c>
      <c r="OR408" s="27" t="str">
        <f t="shared" si="215"/>
        <v/>
      </c>
      <c r="OS408" s="27" t="str">
        <f t="shared" si="215"/>
        <v/>
      </c>
      <c r="OT408" s="27" t="str">
        <f t="shared" si="215"/>
        <v/>
      </c>
      <c r="OU408" s="27">
        <f t="shared" si="215"/>
        <v>0</v>
      </c>
      <c r="OV408" s="27" t="str">
        <f t="shared" si="215"/>
        <v>DPA1*01:03</v>
      </c>
      <c r="OW408" s="27" t="str">
        <f t="shared" si="215"/>
        <v/>
      </c>
      <c r="OX408" s="27" t="str">
        <f t="shared" si="215"/>
        <v/>
      </c>
      <c r="OY408" s="27" t="str">
        <f t="shared" si="215"/>
        <v/>
      </c>
      <c r="OZ408" s="27" t="str">
        <f t="shared" ref="OZ408:OZ432" si="276">+IF(AND(OZ20&lt;&gt;"*",NB20=0),OZ20,"")</f>
        <v/>
      </c>
      <c r="PA408" s="27" t="str">
        <f t="shared" ref="PA408:PA432" si="277">+IF(AND(PA20&lt;&gt;"*",NC20=0),PA20,"")</f>
        <v/>
      </c>
      <c r="PB408" s="27" t="str">
        <f t="shared" ref="PB408:PB432" si="278">+IF(AND(PB20&lt;&gt;"*",ND20=0),PB20,"")</f>
        <v/>
      </c>
      <c r="PC408" s="27" t="str">
        <f t="shared" ref="PC408:PC432" si="279">+IF(AND(PC20&lt;&gt;"*",NE20=0),PC20,"")</f>
        <v/>
      </c>
      <c r="PD408" s="27" t="str">
        <f t="shared" ref="PD408:PD432" si="280">+IF(AND(PD20&lt;&gt;"*",NF20=0),PD20,"")</f>
        <v/>
      </c>
      <c r="PE408" s="27" t="str">
        <f t="shared" ref="PE408:PE432" si="281">+IF(AND(PE20&lt;&gt;"*",NG20=0),PE20,"")</f>
        <v/>
      </c>
      <c r="PF408" s="27" t="str">
        <f t="shared" ref="PF408:PF432" si="282">+IF(AND(PF20&lt;&gt;"*",NH20=0),PF20,"")</f>
        <v/>
      </c>
      <c r="PG408" s="27" t="str">
        <f t="shared" ref="PG408:PG432" si="283">+IF(AND(PG20&lt;&gt;"*",NI20=0),PG20,"")</f>
        <v/>
      </c>
      <c r="PH408" s="27" t="str">
        <f t="shared" ref="PH408:PH432" si="284">+IF(AND(PH20&lt;&gt;"*",NJ20=0),PH20,"")</f>
        <v/>
      </c>
      <c r="PI408" s="27" t="str">
        <f t="shared" ref="PI408:PI432" si="285">+IF(AND(PI20&lt;&gt;"*",NK20=0),PI20,"")</f>
        <v/>
      </c>
      <c r="PJ408" s="27" t="str">
        <f t="shared" ref="PJ408:PJ432" si="286">+IF(AND(PJ20&lt;&gt;"*",NL20=0),PJ20,"")</f>
        <v/>
      </c>
      <c r="PK408" s="27" t="str">
        <f t="shared" ref="PK408:PK432" si="287">+IF(NM20=0,PK20,"")</f>
        <v/>
      </c>
      <c r="QO408" s="260" t="s">
        <v>93</v>
      </c>
      <c r="QP408" t="s">
        <v>195</v>
      </c>
      <c r="QQ408" t="s">
        <v>20</v>
      </c>
      <c r="QR408" t="s">
        <v>14</v>
      </c>
      <c r="QT408" t="s">
        <v>7</v>
      </c>
      <c r="QU408" t="s">
        <v>185</v>
      </c>
      <c r="QV408" t="s">
        <v>22</v>
      </c>
      <c r="QW408" t="s">
        <v>22</v>
      </c>
      <c r="QX408" t="s">
        <v>198</v>
      </c>
      <c r="QY408" t="s">
        <v>8</v>
      </c>
      <c r="QZ408" t="s">
        <v>11</v>
      </c>
      <c r="RA408" t="s">
        <v>2</v>
      </c>
      <c r="RB408" t="s">
        <v>210</v>
      </c>
      <c r="RC408" t="s">
        <v>8</v>
      </c>
      <c r="RD408" t="s">
        <v>2</v>
      </c>
      <c r="RE408" t="s">
        <v>2</v>
      </c>
      <c r="RF408" t="s">
        <v>7</v>
      </c>
      <c r="RG408" t="s">
        <v>8</v>
      </c>
      <c r="RJ408" t="s">
        <v>11</v>
      </c>
      <c r="RK408" t="s">
        <v>2</v>
      </c>
      <c r="RL408" t="s">
        <v>6</v>
      </c>
      <c r="RN408" t="s">
        <v>200</v>
      </c>
      <c r="RO408" t="s">
        <v>201</v>
      </c>
      <c r="RP408" t="s">
        <v>14</v>
      </c>
      <c r="RQ408" t="s">
        <v>5</v>
      </c>
      <c r="RS408" t="s">
        <v>10</v>
      </c>
      <c r="RT408" t="s">
        <v>21</v>
      </c>
      <c r="RV408" t="s">
        <v>7</v>
      </c>
      <c r="RW408" t="s">
        <v>7</v>
      </c>
      <c r="RX408" t="s">
        <v>266</v>
      </c>
      <c r="RZ408" t="s">
        <v>20</v>
      </c>
      <c r="SA408" t="s">
        <v>211</v>
      </c>
      <c r="SC408" t="s">
        <v>205</v>
      </c>
      <c r="SD408" t="s">
        <v>15</v>
      </c>
      <c r="SE408" t="s">
        <v>14</v>
      </c>
      <c r="SH408" t="s">
        <v>15</v>
      </c>
      <c r="SI408" t="s">
        <v>5</v>
      </c>
      <c r="SJ408" s="246" t="s">
        <v>277</v>
      </c>
      <c r="SK408" s="260" t="s">
        <v>93</v>
      </c>
      <c r="SL408" s="246" t="s">
        <v>277</v>
      </c>
      <c r="WS408" s="66" t="s">
        <v>97</v>
      </c>
      <c r="WT408" s="27" t="str">
        <f t="shared" si="168"/>
        <v/>
      </c>
      <c r="WU408" s="27" t="str">
        <f t="shared" si="169"/>
        <v/>
      </c>
      <c r="WV408" s="27" t="str">
        <f t="shared" si="170"/>
        <v/>
      </c>
      <c r="WW408" s="27" t="str">
        <f t="shared" si="171"/>
        <v/>
      </c>
      <c r="WX408" s="27" t="str">
        <f t="shared" si="172"/>
        <v/>
      </c>
      <c r="WY408" s="27" t="str">
        <f t="shared" si="173"/>
        <v/>
      </c>
      <c r="WZ408" s="27" t="str">
        <f t="shared" si="174"/>
        <v/>
      </c>
      <c r="XA408" s="27" t="str">
        <f t="shared" si="175"/>
        <v/>
      </c>
      <c r="XB408" s="27" t="str">
        <f t="shared" si="176"/>
        <v/>
      </c>
      <c r="XC408" s="27" t="str">
        <f t="shared" si="177"/>
        <v/>
      </c>
      <c r="XD408" s="27" t="str">
        <f t="shared" si="178"/>
        <v/>
      </c>
      <c r="XE408" s="27" t="str">
        <f t="shared" si="179"/>
        <v/>
      </c>
      <c r="XF408" s="27" t="str">
        <f t="shared" si="180"/>
        <v/>
      </c>
      <c r="XG408" s="27" t="str">
        <f t="shared" si="181"/>
        <v/>
      </c>
      <c r="XH408" s="27" t="str">
        <f t="shared" si="182"/>
        <v/>
      </c>
      <c r="XI408" s="27" t="str">
        <f t="shared" si="183"/>
        <v/>
      </c>
      <c r="XJ408" s="27" t="str">
        <f t="shared" si="184"/>
        <v/>
      </c>
      <c r="XK408" s="27" t="str">
        <f t="shared" si="185"/>
        <v/>
      </c>
      <c r="XL408" s="27" t="str">
        <f t="shared" si="186"/>
        <v/>
      </c>
      <c r="XM408" s="27" t="str">
        <f t="shared" si="187"/>
        <v/>
      </c>
      <c r="XN408" s="27" t="str">
        <f t="shared" si="188"/>
        <v/>
      </c>
      <c r="XO408" s="27" t="str">
        <f t="shared" si="189"/>
        <v/>
      </c>
      <c r="XP408" s="27" t="str">
        <f t="shared" si="190"/>
        <v/>
      </c>
      <c r="XQ408" s="27" t="str">
        <f t="shared" si="191"/>
        <v/>
      </c>
      <c r="XR408" s="27" t="str">
        <f t="shared" si="192"/>
        <v/>
      </c>
      <c r="XS408" s="27" t="str">
        <f t="shared" si="193"/>
        <v/>
      </c>
      <c r="XT408" s="27" t="str">
        <f t="shared" si="194"/>
        <v/>
      </c>
      <c r="XU408" s="27" t="str">
        <f t="shared" si="195"/>
        <v/>
      </c>
      <c r="XV408" s="27" t="str">
        <f t="shared" si="196"/>
        <v/>
      </c>
      <c r="XW408" s="27" t="str">
        <f t="shared" si="197"/>
        <v/>
      </c>
      <c r="XX408" s="27" t="str">
        <f t="shared" si="198"/>
        <v/>
      </c>
      <c r="XY408" s="27" t="str">
        <f t="shared" si="199"/>
        <v/>
      </c>
      <c r="XZ408" s="27" t="str">
        <f t="shared" si="200"/>
        <v/>
      </c>
      <c r="YA408" s="27" t="str">
        <f t="shared" si="201"/>
        <v/>
      </c>
      <c r="YB408" s="27" t="str">
        <f t="shared" si="202"/>
        <v/>
      </c>
      <c r="YC408" s="27" t="str">
        <f t="shared" si="203"/>
        <v/>
      </c>
      <c r="YD408" s="27" t="str">
        <f t="shared" si="204"/>
        <v/>
      </c>
      <c r="YE408" s="27" t="str">
        <f t="shared" si="205"/>
        <v/>
      </c>
      <c r="YF408" s="27" t="str">
        <f t="shared" si="206"/>
        <v/>
      </c>
      <c r="YG408" s="27" t="str">
        <f t="shared" si="207"/>
        <v/>
      </c>
      <c r="YH408" s="27" t="str">
        <f t="shared" si="208"/>
        <v/>
      </c>
      <c r="YI408" s="27" t="str">
        <f t="shared" si="209"/>
        <v/>
      </c>
      <c r="YJ408" s="27" t="str">
        <f t="shared" si="210"/>
        <v/>
      </c>
      <c r="YK408" s="27" t="str">
        <f t="shared" si="211"/>
        <v/>
      </c>
      <c r="YL408" s="27" t="str">
        <f t="shared" si="212"/>
        <v/>
      </c>
      <c r="YM408" s="27" t="str">
        <f t="shared" si="213"/>
        <v/>
      </c>
      <c r="YN408" s="27" t="str">
        <f t="shared" si="214"/>
        <v/>
      </c>
    </row>
    <row r="409" spans="28:664" ht="19.5" x14ac:dyDescent="0.35">
      <c r="AB409" s="277" t="s">
        <v>31</v>
      </c>
      <c r="BQ409" s="277" t="s">
        <v>61</v>
      </c>
      <c r="GO409" s="9" t="s">
        <v>51</v>
      </c>
      <c r="GP409" s="1" t="s">
        <v>26</v>
      </c>
      <c r="GQ409" s="27" t="str">
        <f t="shared" si="220"/>
        <v/>
      </c>
      <c r="GR409" s="27" t="str">
        <f t="shared" si="221"/>
        <v/>
      </c>
      <c r="GS409" s="27" t="str">
        <f t="shared" si="222"/>
        <v/>
      </c>
      <c r="GT409" s="27" t="str">
        <f t="shared" si="223"/>
        <v/>
      </c>
      <c r="GU409" s="27" t="str">
        <f t="shared" si="224"/>
        <v>L</v>
      </c>
      <c r="GV409" s="27" t="str">
        <f t="shared" si="225"/>
        <v/>
      </c>
      <c r="GW409" s="27" t="str">
        <f t="shared" si="226"/>
        <v/>
      </c>
      <c r="GX409" s="27" t="str">
        <f t="shared" si="227"/>
        <v/>
      </c>
      <c r="GY409" s="27" t="str">
        <f t="shared" si="228"/>
        <v/>
      </c>
      <c r="GZ409" s="27" t="str">
        <f t="shared" si="229"/>
        <v/>
      </c>
      <c r="HA409" s="27" t="str">
        <f t="shared" si="230"/>
        <v/>
      </c>
      <c r="HB409" s="27" t="str">
        <f t="shared" si="231"/>
        <v/>
      </c>
      <c r="HC409" s="27" t="str">
        <f t="shared" si="232"/>
        <v/>
      </c>
      <c r="HD409" s="27" t="str">
        <f t="shared" si="233"/>
        <v>52PL3</v>
      </c>
      <c r="HE409" s="27" t="str">
        <f t="shared" si="234"/>
        <v/>
      </c>
      <c r="HF409" s="27" t="str">
        <f t="shared" si="235"/>
        <v>55RL2</v>
      </c>
      <c r="HG409" s="27" t="str">
        <f t="shared" si="236"/>
        <v>*</v>
      </c>
      <c r="HH409" s="27" t="str">
        <f t="shared" si="237"/>
        <v/>
      </c>
      <c r="HI409" s="27" t="str">
        <f t="shared" si="238"/>
        <v>D</v>
      </c>
      <c r="HJ409" s="27" t="str">
        <f t="shared" si="239"/>
        <v>I</v>
      </c>
      <c r="HK409" s="27" t="str">
        <f t="shared" si="240"/>
        <v>*</v>
      </c>
      <c r="HL409" s="27" t="str">
        <f t="shared" si="241"/>
        <v/>
      </c>
      <c r="HM409" s="27" t="str">
        <f t="shared" si="242"/>
        <v/>
      </c>
      <c r="HN409" s="27" t="str">
        <f t="shared" si="243"/>
        <v/>
      </c>
      <c r="HO409" s="27" t="str">
        <f t="shared" si="244"/>
        <v/>
      </c>
      <c r="HP409" s="27" t="str">
        <f t="shared" si="245"/>
        <v/>
      </c>
      <c r="HQ409" s="27" t="str">
        <f t="shared" si="246"/>
        <v/>
      </c>
      <c r="HR409" s="27" t="str">
        <f t="shared" si="247"/>
        <v>84QL3</v>
      </c>
      <c r="HS409" s="27" t="str">
        <f t="shared" si="248"/>
        <v>*</v>
      </c>
      <c r="HT409" s="27" t="str">
        <f t="shared" si="249"/>
        <v/>
      </c>
      <c r="HU409" s="27" t="str">
        <f t="shared" si="250"/>
        <v/>
      </c>
      <c r="HV409" s="27" t="str">
        <f t="shared" si="251"/>
        <v/>
      </c>
      <c r="HW409" s="27" t="str">
        <f t="shared" si="252"/>
        <v/>
      </c>
      <c r="HX409" s="27" t="str">
        <f t="shared" si="253"/>
        <v/>
      </c>
      <c r="HY409" s="27" t="str">
        <f t="shared" si="254"/>
        <v/>
      </c>
      <c r="HZ409" s="27" t="str">
        <f t="shared" si="255"/>
        <v>*</v>
      </c>
      <c r="IA409" s="27" t="str">
        <f t="shared" si="256"/>
        <v/>
      </c>
      <c r="IB409" s="27" t="str">
        <f t="shared" si="257"/>
        <v>I</v>
      </c>
      <c r="IC409" s="21" t="s">
        <v>58</v>
      </c>
      <c r="ID409" s="27" t="str">
        <f t="shared" si="258"/>
        <v/>
      </c>
      <c r="IE409" s="27" t="str">
        <f t="shared" si="259"/>
        <v/>
      </c>
      <c r="IF409" s="27" t="str">
        <f t="shared" si="260"/>
        <v/>
      </c>
      <c r="IG409" s="27" t="str">
        <f t="shared" si="261"/>
        <v/>
      </c>
      <c r="IH409" s="27" t="str">
        <f t="shared" si="262"/>
        <v/>
      </c>
      <c r="II409" s="27" t="str">
        <f t="shared" si="263"/>
        <v>EpY</v>
      </c>
      <c r="IJ409" s="27" t="str">
        <f t="shared" si="264"/>
        <v>47KHL</v>
      </c>
      <c r="IK409" s="27" t="str">
        <f t="shared" si="265"/>
        <v>50LR</v>
      </c>
      <c r="IL409" s="27" t="str">
        <f t="shared" si="266"/>
        <v/>
      </c>
      <c r="IM409" s="27" t="str">
        <f t="shared" si="267"/>
        <v/>
      </c>
      <c r="IN409" s="27" t="str">
        <f t="shared" si="268"/>
        <v>*</v>
      </c>
      <c r="IO409" s="27" t="str">
        <f t="shared" si="269"/>
        <v>L</v>
      </c>
      <c r="IP409" s="27" t="str">
        <f t="shared" si="270"/>
        <v/>
      </c>
      <c r="IQ409" s="27" t="str">
        <f t="shared" si="271"/>
        <v>L</v>
      </c>
      <c r="IR409" s="27" t="str">
        <f t="shared" si="272"/>
        <v/>
      </c>
      <c r="IS409" s="27" t="str">
        <f t="shared" si="273"/>
        <v/>
      </c>
      <c r="IT409" s="27" t="str">
        <f t="shared" si="274"/>
        <v>E</v>
      </c>
      <c r="IU409" s="27" t="str">
        <f t="shared" si="275"/>
        <v/>
      </c>
      <c r="JP409" s="68" t="s">
        <v>154</v>
      </c>
      <c r="JQ409" s="27"/>
      <c r="JR409" s="27"/>
      <c r="JS409" s="27"/>
      <c r="NU409" s="35" t="s">
        <v>149</v>
      </c>
      <c r="NX409" s="27" t="str">
        <f t="shared" si="217"/>
        <v/>
      </c>
      <c r="NY409" s="27" t="str">
        <f t="shared" ref="NY409:NY432" si="288">+IF(AND(NY21&lt;&gt;"*",MA21=0),NY21,"")</f>
        <v/>
      </c>
      <c r="NZ409" s="27" t="str">
        <f t="shared" ref="NZ409:NZ432" si="289">+IF(AND(NZ21&lt;&gt;"*",MB21=0),NZ21,"")</f>
        <v/>
      </c>
      <c r="OA409" s="27" t="str">
        <f t="shared" ref="OA409:OA432" si="290">+IF(AND(OA21&lt;&gt;"*",MC21=0),OA21,"")</f>
        <v/>
      </c>
      <c r="OB409" s="27" t="str">
        <f t="shared" ref="OB409:OB432" si="291">+IF(AND(OB21&lt;&gt;"*",MD21=0),OB21,"")</f>
        <v/>
      </c>
      <c r="OC409" s="27" t="str">
        <f t="shared" ref="OC409:OC432" si="292">+IF(AND(OC21&lt;&gt;"*",ME21=0),OC21,"")</f>
        <v/>
      </c>
      <c r="OD409" s="27" t="str">
        <f t="shared" ref="OD409:OD432" si="293">+IF(AND(OD21&lt;&gt;"*",MF21=0),OD21,"")</f>
        <v/>
      </c>
      <c r="OE409" s="27" t="str">
        <f t="shared" ref="OE409:OE432" si="294">+IF(AND(OE21&lt;&gt;"*",MG21=0),OE21,"")</f>
        <v/>
      </c>
      <c r="OF409" s="27" t="str">
        <f t="shared" ref="OF409:OF432" si="295">+IF(AND(OF21&lt;&gt;"*",MH21=0),OF21,"")</f>
        <v/>
      </c>
      <c r="OG409" s="27" t="str">
        <f t="shared" ref="OG409:OG432" si="296">+IF(AND(OG21&lt;&gt;"*",MI21=0),OG21,"")</f>
        <v/>
      </c>
      <c r="OH409" s="27" t="str">
        <f t="shared" ref="OH409:OH432" si="297">+IF(AND(OH21&lt;&gt;"*",MJ21=0),OH21,"")</f>
        <v/>
      </c>
      <c r="OI409" s="27" t="str">
        <f t="shared" ref="OI409:OI432" si="298">+IF(AND(OI21&lt;&gt;"*",MK21=0),OI21,"")</f>
        <v/>
      </c>
      <c r="OJ409" s="27" t="str">
        <f t="shared" ref="OJ409:OJ432" si="299">+IF(AND(OJ21&lt;&gt;"*",ML21=0),OJ21,"")</f>
        <v/>
      </c>
      <c r="OK409" s="27" t="str">
        <f t="shared" ref="OK409:OK432" si="300">+IF(AND(OK21&lt;&gt;"*",MM21=0),OK21,"")</f>
        <v/>
      </c>
      <c r="OL409" s="27" t="str">
        <f t="shared" ref="OL409:OL432" si="301">+IF(AND(OL21&lt;&gt;"*",MN21=0),OL21,"")</f>
        <v/>
      </c>
      <c r="OM409" s="27" t="str">
        <f t="shared" ref="OM409:OM432" si="302">+IF(AND(OM21&lt;&gt;"*",MO21=0),OM21,"")</f>
        <v/>
      </c>
      <c r="ON409" s="27" t="str">
        <f t="shared" ref="ON409:ON432" si="303">+IF(AND(ON21&lt;&gt;"*",MP21=0),ON21,"")</f>
        <v/>
      </c>
      <c r="OO409" s="27" t="str">
        <f t="shared" ref="OO409:OO432" si="304">+IF(AND(OO21&lt;&gt;"*",MQ21=0),OO21,"")</f>
        <v/>
      </c>
      <c r="OP409" s="27" t="str">
        <f t="shared" ref="OP409:OP432" si="305">+IF(AND(OP21&lt;&gt;"*",MR21=0),OP21,"")</f>
        <v/>
      </c>
      <c r="OQ409" s="27" t="str">
        <f t="shared" ref="OQ409:OQ432" si="306">+IF(AND(OQ21&lt;&gt;"*",MS21=0),OQ21,"")</f>
        <v/>
      </c>
      <c r="OR409" s="27" t="str">
        <f t="shared" ref="OR409:OR432" si="307">+IF(AND(OR21&lt;&gt;"*",MT21=0),OR21,"")</f>
        <v/>
      </c>
      <c r="OS409" s="27" t="str">
        <f t="shared" ref="OS409:OS432" si="308">+IF(AND(OS21&lt;&gt;"*",MU21=0),OS21,"")</f>
        <v/>
      </c>
      <c r="OT409" s="27" t="str">
        <f t="shared" ref="OT409:OT432" si="309">+IF(AND(OT21&lt;&gt;"*",MV21=0),OT21,"")</f>
        <v/>
      </c>
      <c r="OU409" s="27">
        <f t="shared" ref="OU409:OU432" si="310">+IF(AND(OU21&lt;&gt;"*",MW21=0),OU21,"")</f>
        <v>0</v>
      </c>
      <c r="OV409" s="27" t="str">
        <f t="shared" ref="OV409:OV432" si="311">+IF(AND(OV21&lt;&gt;"*",MX21=0),OV21,"")</f>
        <v>DPA1*01:03</v>
      </c>
      <c r="OW409" s="27" t="str">
        <f t="shared" ref="OW409:OW432" si="312">+IF(AND(OW21&lt;&gt;"*",MY21=0),OW21,"")</f>
        <v/>
      </c>
      <c r="OX409" s="27" t="str">
        <f t="shared" ref="OX409:OX432" si="313">+IF(AND(OX21&lt;&gt;"*",MZ21=0),OX21,"")</f>
        <v/>
      </c>
      <c r="OY409" s="27" t="str">
        <f t="shared" ref="OY409:OY432" si="314">+IF(AND(OY21&lt;&gt;"*",NA21=0),OY21,"")</f>
        <v/>
      </c>
      <c r="OZ409" s="27" t="str">
        <f t="shared" si="276"/>
        <v/>
      </c>
      <c r="PA409" s="27" t="str">
        <f t="shared" si="277"/>
        <v/>
      </c>
      <c r="PB409" s="27" t="str">
        <f t="shared" si="278"/>
        <v/>
      </c>
      <c r="PC409" s="27" t="str">
        <f t="shared" si="279"/>
        <v/>
      </c>
      <c r="PD409" s="27" t="str">
        <f t="shared" si="280"/>
        <v/>
      </c>
      <c r="PE409" s="27" t="str">
        <f t="shared" si="281"/>
        <v/>
      </c>
      <c r="PF409" s="27" t="str">
        <f t="shared" si="282"/>
        <v/>
      </c>
      <c r="PG409" s="27" t="str">
        <f t="shared" si="283"/>
        <v/>
      </c>
      <c r="PH409" s="27" t="str">
        <f t="shared" si="284"/>
        <v/>
      </c>
      <c r="PI409" s="27" t="str">
        <f t="shared" si="285"/>
        <v/>
      </c>
      <c r="PJ409" s="27" t="str">
        <f t="shared" si="286"/>
        <v/>
      </c>
      <c r="PK409" s="27" t="str">
        <f t="shared" si="287"/>
        <v/>
      </c>
      <c r="QO409" s="260" t="s">
        <v>94</v>
      </c>
      <c r="QP409" t="s">
        <v>195</v>
      </c>
      <c r="QQ409" t="s">
        <v>20</v>
      </c>
      <c r="QR409" t="s">
        <v>14</v>
      </c>
      <c r="QT409" t="s">
        <v>7</v>
      </c>
      <c r="QU409" t="s">
        <v>185</v>
      </c>
      <c r="QV409" t="s">
        <v>22</v>
      </c>
      <c r="QW409" t="s">
        <v>22</v>
      </c>
      <c r="QX409" t="s">
        <v>198</v>
      </c>
      <c r="QY409" t="s">
        <v>8</v>
      </c>
      <c r="QZ409" t="s">
        <v>11</v>
      </c>
      <c r="RA409" t="s">
        <v>2</v>
      </c>
      <c r="RB409" t="s">
        <v>210</v>
      </c>
      <c r="RC409" t="s">
        <v>8</v>
      </c>
      <c r="RD409" t="s">
        <v>2</v>
      </c>
      <c r="RE409" t="s">
        <v>2</v>
      </c>
      <c r="RF409" t="s">
        <v>7</v>
      </c>
      <c r="RG409" t="s">
        <v>8</v>
      </c>
      <c r="RJ409" t="s">
        <v>1</v>
      </c>
      <c r="RK409" t="s">
        <v>2</v>
      </c>
      <c r="RL409" t="s">
        <v>6</v>
      </c>
      <c r="RN409" t="s">
        <v>200</v>
      </c>
      <c r="RO409" t="s">
        <v>201</v>
      </c>
      <c r="RP409" t="s">
        <v>14</v>
      </c>
      <c r="RQ409" t="s">
        <v>5</v>
      </c>
      <c r="RS409" t="s">
        <v>10</v>
      </c>
      <c r="RT409" t="s">
        <v>21</v>
      </c>
      <c r="RV409" t="s">
        <v>7</v>
      </c>
      <c r="RW409" t="s">
        <v>3</v>
      </c>
      <c r="RX409" t="s">
        <v>266</v>
      </c>
      <c r="RZ409" t="s">
        <v>20</v>
      </c>
      <c r="SA409" t="s">
        <v>211</v>
      </c>
      <c r="SC409" t="s">
        <v>205</v>
      </c>
      <c r="SD409" t="s">
        <v>15</v>
      </c>
      <c r="SE409" t="s">
        <v>14</v>
      </c>
      <c r="SH409" t="s">
        <v>15</v>
      </c>
      <c r="SI409" t="s">
        <v>5</v>
      </c>
      <c r="SJ409" s="246" t="s">
        <v>277</v>
      </c>
      <c r="SK409" s="260" t="s">
        <v>94</v>
      </c>
      <c r="SL409" s="246" t="s">
        <v>277</v>
      </c>
      <c r="WS409" s="45" t="s">
        <v>94</v>
      </c>
      <c r="WT409" s="27" t="str">
        <f t="shared" si="168"/>
        <v/>
      </c>
      <c r="WU409" s="27" t="str">
        <f t="shared" si="169"/>
        <v/>
      </c>
      <c r="WV409" s="27" t="str">
        <f t="shared" si="170"/>
        <v/>
      </c>
      <c r="WW409" s="27" t="str">
        <f t="shared" si="171"/>
        <v/>
      </c>
      <c r="WX409" s="27" t="str">
        <f t="shared" si="172"/>
        <v/>
      </c>
      <c r="WY409" s="27" t="str">
        <f t="shared" si="173"/>
        <v/>
      </c>
      <c r="WZ409" s="27" t="str">
        <f t="shared" si="174"/>
        <v/>
      </c>
      <c r="XA409" s="27" t="str">
        <f t="shared" si="175"/>
        <v/>
      </c>
      <c r="XB409" s="27" t="str">
        <f t="shared" si="176"/>
        <v/>
      </c>
      <c r="XC409" s="27" t="str">
        <f t="shared" si="177"/>
        <v/>
      </c>
      <c r="XD409" s="27" t="str">
        <f t="shared" si="178"/>
        <v/>
      </c>
      <c r="XE409" s="27" t="str">
        <f t="shared" si="179"/>
        <v/>
      </c>
      <c r="XF409" s="27" t="str">
        <f t="shared" si="180"/>
        <v/>
      </c>
      <c r="XG409" s="27" t="str">
        <f t="shared" si="181"/>
        <v/>
      </c>
      <c r="XH409" s="27" t="str">
        <f t="shared" si="182"/>
        <v/>
      </c>
      <c r="XI409" s="27" t="str">
        <f t="shared" si="183"/>
        <v/>
      </c>
      <c r="XJ409" s="27" t="str">
        <f t="shared" si="184"/>
        <v/>
      </c>
      <c r="XK409" s="27" t="str">
        <f t="shared" si="185"/>
        <v/>
      </c>
      <c r="XL409" s="27" t="str">
        <f t="shared" si="186"/>
        <v/>
      </c>
      <c r="XM409" s="27" t="str">
        <f t="shared" si="187"/>
        <v/>
      </c>
      <c r="XN409" s="27" t="str">
        <f t="shared" si="188"/>
        <v/>
      </c>
      <c r="XO409" s="27" t="str">
        <f t="shared" si="189"/>
        <v/>
      </c>
      <c r="XP409" s="27" t="str">
        <f t="shared" si="190"/>
        <v/>
      </c>
      <c r="XQ409" s="27" t="str">
        <f t="shared" si="191"/>
        <v/>
      </c>
      <c r="XR409" s="27" t="str">
        <f t="shared" si="192"/>
        <v/>
      </c>
      <c r="XS409" s="27" t="str">
        <f t="shared" si="193"/>
        <v/>
      </c>
      <c r="XT409" s="27" t="str">
        <f t="shared" si="194"/>
        <v/>
      </c>
      <c r="XU409" s="27" t="str">
        <f t="shared" si="195"/>
        <v/>
      </c>
      <c r="XV409" s="27" t="str">
        <f t="shared" si="196"/>
        <v/>
      </c>
      <c r="XW409" s="27" t="str">
        <f t="shared" si="197"/>
        <v/>
      </c>
      <c r="XX409" s="27" t="str">
        <f t="shared" si="198"/>
        <v/>
      </c>
      <c r="XY409" s="27" t="str">
        <f t="shared" si="199"/>
        <v/>
      </c>
      <c r="XZ409" s="27" t="str">
        <f t="shared" si="200"/>
        <v/>
      </c>
      <c r="YA409" s="27" t="str">
        <f t="shared" si="201"/>
        <v/>
      </c>
      <c r="YB409" s="27" t="str">
        <f t="shared" si="202"/>
        <v/>
      </c>
      <c r="YC409" s="27" t="str">
        <f t="shared" si="203"/>
        <v/>
      </c>
      <c r="YD409" s="27" t="str">
        <f t="shared" si="204"/>
        <v/>
      </c>
      <c r="YE409" s="27" t="str">
        <f t="shared" si="205"/>
        <v/>
      </c>
      <c r="YF409" s="27" t="str">
        <f t="shared" si="206"/>
        <v/>
      </c>
      <c r="YG409" s="27" t="str">
        <f t="shared" si="207"/>
        <v/>
      </c>
      <c r="YH409" s="27" t="str">
        <f t="shared" si="208"/>
        <v/>
      </c>
      <c r="YI409" s="27" t="str">
        <f t="shared" si="209"/>
        <v/>
      </c>
      <c r="YJ409" s="27" t="str">
        <f t="shared" si="210"/>
        <v/>
      </c>
      <c r="YK409" s="27" t="str">
        <f t="shared" si="211"/>
        <v/>
      </c>
      <c r="YL409" s="27" t="str">
        <f t="shared" si="212"/>
        <v/>
      </c>
      <c r="YM409" s="27" t="str">
        <f t="shared" si="213"/>
        <v/>
      </c>
      <c r="YN409" s="27" t="str">
        <f t="shared" si="214"/>
        <v/>
      </c>
    </row>
    <row r="410" spans="28:664" ht="19.5" x14ac:dyDescent="0.35">
      <c r="AB410" s="277" t="s">
        <v>32</v>
      </c>
      <c r="BQ410" s="277" t="s">
        <v>66</v>
      </c>
      <c r="GO410" s="9" t="s">
        <v>51</v>
      </c>
      <c r="GP410" s="1" t="s">
        <v>26</v>
      </c>
      <c r="GQ410" s="27" t="str">
        <f t="shared" si="220"/>
        <v/>
      </c>
      <c r="GR410" s="27" t="str">
        <f t="shared" si="221"/>
        <v/>
      </c>
      <c r="GS410" s="27" t="str">
        <f t="shared" si="222"/>
        <v/>
      </c>
      <c r="GT410" s="27" t="str">
        <f t="shared" si="223"/>
        <v/>
      </c>
      <c r="GU410" s="27" t="str">
        <f t="shared" si="224"/>
        <v>L</v>
      </c>
      <c r="GV410" s="27" t="str">
        <f t="shared" si="225"/>
        <v/>
      </c>
      <c r="GW410" s="27" t="str">
        <f t="shared" si="226"/>
        <v/>
      </c>
      <c r="GX410" s="27" t="str">
        <f t="shared" si="227"/>
        <v/>
      </c>
      <c r="GY410" s="27" t="str">
        <f t="shared" si="228"/>
        <v/>
      </c>
      <c r="GZ410" s="27" t="str">
        <f t="shared" si="229"/>
        <v/>
      </c>
      <c r="HA410" s="27" t="str">
        <f t="shared" si="230"/>
        <v/>
      </c>
      <c r="HB410" s="27" t="str">
        <f t="shared" si="231"/>
        <v/>
      </c>
      <c r="HC410" s="27" t="str">
        <f t="shared" si="232"/>
        <v/>
      </c>
      <c r="HD410" s="27" t="str">
        <f t="shared" si="233"/>
        <v>52PL3</v>
      </c>
      <c r="HE410" s="27" t="str">
        <f t="shared" si="234"/>
        <v/>
      </c>
      <c r="HF410" s="27" t="str">
        <f t="shared" si="235"/>
        <v>55RL2</v>
      </c>
      <c r="HG410" s="27" t="str">
        <f t="shared" si="236"/>
        <v>*</v>
      </c>
      <c r="HH410" s="27" t="str">
        <f t="shared" si="237"/>
        <v/>
      </c>
      <c r="HI410" s="27" t="str">
        <f t="shared" si="238"/>
        <v>D</v>
      </c>
      <c r="HJ410" s="27" t="str">
        <f t="shared" si="239"/>
        <v>I</v>
      </c>
      <c r="HK410" s="27" t="str">
        <f t="shared" si="240"/>
        <v>*</v>
      </c>
      <c r="HL410" s="27" t="str">
        <f t="shared" si="241"/>
        <v/>
      </c>
      <c r="HM410" s="27" t="str">
        <f t="shared" si="242"/>
        <v/>
      </c>
      <c r="HN410" s="27" t="str">
        <f t="shared" si="243"/>
        <v/>
      </c>
      <c r="HO410" s="27" t="str">
        <f t="shared" si="244"/>
        <v/>
      </c>
      <c r="HP410" s="27" t="str">
        <f t="shared" si="245"/>
        <v/>
      </c>
      <c r="HQ410" s="27" t="str">
        <f t="shared" si="246"/>
        <v/>
      </c>
      <c r="HR410" s="27" t="str">
        <f t="shared" si="247"/>
        <v>84QL3</v>
      </c>
      <c r="HS410" s="27" t="str">
        <f t="shared" si="248"/>
        <v>*</v>
      </c>
      <c r="HT410" s="27" t="str">
        <f t="shared" si="249"/>
        <v/>
      </c>
      <c r="HU410" s="27" t="str">
        <f t="shared" si="250"/>
        <v/>
      </c>
      <c r="HV410" s="27" t="str">
        <f t="shared" si="251"/>
        <v/>
      </c>
      <c r="HW410" s="27" t="str">
        <f t="shared" si="252"/>
        <v/>
      </c>
      <c r="HX410" s="27" t="str">
        <f t="shared" si="253"/>
        <v/>
      </c>
      <c r="HY410" s="27" t="str">
        <f t="shared" si="254"/>
        <v/>
      </c>
      <c r="HZ410" s="27" t="str">
        <f t="shared" si="255"/>
        <v>*</v>
      </c>
      <c r="IA410" s="27" t="str">
        <f t="shared" si="256"/>
        <v/>
      </c>
      <c r="IB410" s="27" t="str">
        <f t="shared" si="257"/>
        <v>I</v>
      </c>
      <c r="IC410" s="19" t="s">
        <v>62</v>
      </c>
      <c r="ID410" s="27" t="str">
        <f t="shared" si="258"/>
        <v/>
      </c>
      <c r="IE410" s="27" t="str">
        <f t="shared" si="259"/>
        <v>*</v>
      </c>
      <c r="IF410" s="27" t="str">
        <f t="shared" si="260"/>
        <v/>
      </c>
      <c r="IG410" s="27" t="str">
        <f t="shared" si="261"/>
        <v/>
      </c>
      <c r="IH410" s="27" t="str">
        <f t="shared" si="262"/>
        <v/>
      </c>
      <c r="II410" s="27" t="str">
        <f t="shared" si="263"/>
        <v>EpY</v>
      </c>
      <c r="IJ410" s="27" t="str">
        <f t="shared" si="264"/>
        <v>47QL4</v>
      </c>
      <c r="IK410" s="27" t="str">
        <f t="shared" si="265"/>
        <v>50LR</v>
      </c>
      <c r="IL410" s="27" t="str">
        <f t="shared" si="266"/>
        <v/>
      </c>
      <c r="IM410" s="27" t="str">
        <f t="shared" si="267"/>
        <v>R</v>
      </c>
      <c r="IN410" s="27" t="str">
        <f t="shared" si="268"/>
        <v/>
      </c>
      <c r="IO410" s="27" t="str">
        <f t="shared" si="269"/>
        <v>L</v>
      </c>
      <c r="IP410" s="27" t="str">
        <f t="shared" si="270"/>
        <v/>
      </c>
      <c r="IQ410" s="27" t="str">
        <f t="shared" si="271"/>
        <v/>
      </c>
      <c r="IR410" s="27" t="str">
        <f t="shared" si="272"/>
        <v/>
      </c>
      <c r="IS410" s="27" t="str">
        <f t="shared" si="273"/>
        <v>D</v>
      </c>
      <c r="IT410" s="27" t="str">
        <f t="shared" si="274"/>
        <v>E</v>
      </c>
      <c r="IU410" s="27" t="str">
        <f t="shared" si="275"/>
        <v>*</v>
      </c>
      <c r="JP410" s="68" t="s">
        <v>156</v>
      </c>
      <c r="JQ410" s="27"/>
      <c r="JR410" s="27"/>
      <c r="JS410" s="27"/>
      <c r="NU410" s="34" t="s">
        <v>142</v>
      </c>
      <c r="NX410" s="27" t="str">
        <f t="shared" si="217"/>
        <v/>
      </c>
      <c r="NY410" s="27" t="str">
        <f t="shared" si="288"/>
        <v/>
      </c>
      <c r="NZ410" s="27" t="str">
        <f t="shared" si="289"/>
        <v/>
      </c>
      <c r="OA410" s="27" t="str">
        <f t="shared" si="290"/>
        <v/>
      </c>
      <c r="OB410" s="27" t="str">
        <f t="shared" si="291"/>
        <v/>
      </c>
      <c r="OC410" s="27" t="str">
        <f t="shared" si="292"/>
        <v/>
      </c>
      <c r="OD410" s="27" t="str">
        <f t="shared" si="293"/>
        <v/>
      </c>
      <c r="OE410" s="27" t="str">
        <f t="shared" si="294"/>
        <v/>
      </c>
      <c r="OF410" s="27" t="str">
        <f t="shared" si="295"/>
        <v/>
      </c>
      <c r="OG410" s="27" t="str">
        <f t="shared" si="296"/>
        <v/>
      </c>
      <c r="OH410" s="27" t="str">
        <f t="shared" si="297"/>
        <v/>
      </c>
      <c r="OI410" s="27" t="str">
        <f t="shared" si="298"/>
        <v/>
      </c>
      <c r="OJ410" s="27" t="str">
        <f t="shared" si="299"/>
        <v/>
      </c>
      <c r="OK410" s="27" t="str">
        <f t="shared" si="300"/>
        <v/>
      </c>
      <c r="OL410" s="27" t="str">
        <f t="shared" si="301"/>
        <v/>
      </c>
      <c r="OM410" s="27" t="str">
        <f t="shared" si="302"/>
        <v/>
      </c>
      <c r="ON410" s="27" t="str">
        <f t="shared" si="303"/>
        <v/>
      </c>
      <c r="OO410" s="27" t="str">
        <f t="shared" si="304"/>
        <v/>
      </c>
      <c r="OP410" s="27" t="str">
        <f t="shared" si="305"/>
        <v/>
      </c>
      <c r="OQ410" s="27" t="str">
        <f t="shared" si="306"/>
        <v/>
      </c>
      <c r="OR410" s="27" t="str">
        <f t="shared" si="307"/>
        <v/>
      </c>
      <c r="OS410" s="27" t="str">
        <f t="shared" si="308"/>
        <v/>
      </c>
      <c r="OT410" s="27" t="str">
        <f t="shared" si="309"/>
        <v/>
      </c>
      <c r="OU410" s="27">
        <f t="shared" si="310"/>
        <v>0</v>
      </c>
      <c r="OV410" s="27" t="str">
        <f t="shared" si="311"/>
        <v>DPA1*02:01</v>
      </c>
      <c r="OW410" s="27" t="str">
        <f t="shared" si="312"/>
        <v/>
      </c>
      <c r="OX410" s="27" t="str">
        <f t="shared" si="313"/>
        <v/>
      </c>
      <c r="OY410" s="27" t="str">
        <f t="shared" si="314"/>
        <v/>
      </c>
      <c r="OZ410" s="27" t="str">
        <f t="shared" si="276"/>
        <v/>
      </c>
      <c r="PA410" s="27" t="str">
        <f t="shared" si="277"/>
        <v/>
      </c>
      <c r="PB410" s="27" t="str">
        <f t="shared" si="278"/>
        <v/>
      </c>
      <c r="PC410" s="27" t="str">
        <f t="shared" si="279"/>
        <v/>
      </c>
      <c r="PD410" s="27" t="str">
        <f t="shared" si="280"/>
        <v/>
      </c>
      <c r="PE410" s="27" t="str">
        <f t="shared" si="281"/>
        <v/>
      </c>
      <c r="PF410" s="27" t="str">
        <f t="shared" si="282"/>
        <v/>
      </c>
      <c r="PG410" s="27" t="str">
        <f t="shared" si="283"/>
        <v/>
      </c>
      <c r="PH410" s="27" t="str">
        <f t="shared" si="284"/>
        <v/>
      </c>
      <c r="PI410" s="27" t="str">
        <f t="shared" si="285"/>
        <v/>
      </c>
      <c r="PJ410" s="27" t="str">
        <f t="shared" si="286"/>
        <v/>
      </c>
      <c r="PK410" s="27" t="str">
        <f t="shared" si="287"/>
        <v/>
      </c>
      <c r="QO410" s="260" t="s">
        <v>95</v>
      </c>
      <c r="QP410" t="s">
        <v>213</v>
      </c>
      <c r="QQ410" t="s">
        <v>196</v>
      </c>
      <c r="QR410" t="s">
        <v>14</v>
      </c>
      <c r="QT410" t="s">
        <v>3</v>
      </c>
      <c r="QU410" t="s">
        <v>185</v>
      </c>
      <c r="QV410" t="s">
        <v>2</v>
      </c>
      <c r="QW410" t="s">
        <v>22</v>
      </c>
      <c r="QX410" t="s">
        <v>267</v>
      </c>
      <c r="QY410" t="s">
        <v>8</v>
      </c>
      <c r="QZ410" t="s">
        <v>20</v>
      </c>
      <c r="RA410" t="s">
        <v>6</v>
      </c>
      <c r="RC410" t="s">
        <v>8</v>
      </c>
      <c r="RD410" t="s">
        <v>2</v>
      </c>
      <c r="RE410" t="s">
        <v>8</v>
      </c>
      <c r="RF410" t="s">
        <v>7</v>
      </c>
      <c r="RG410" t="s">
        <v>8</v>
      </c>
      <c r="RJ410" t="s">
        <v>7</v>
      </c>
      <c r="RK410" t="s">
        <v>1</v>
      </c>
      <c r="RL410" t="s">
        <v>12</v>
      </c>
      <c r="RM410" t="s">
        <v>203</v>
      </c>
      <c r="RQ410" t="s">
        <v>5</v>
      </c>
      <c r="RR410" t="s">
        <v>3</v>
      </c>
      <c r="RS410" t="s">
        <v>14</v>
      </c>
      <c r="RT410" t="s">
        <v>21</v>
      </c>
      <c r="RU410" t="s">
        <v>7</v>
      </c>
      <c r="RV410" t="s">
        <v>7</v>
      </c>
      <c r="RW410" t="s">
        <v>3</v>
      </c>
      <c r="RY410" t="s">
        <v>22</v>
      </c>
      <c r="RZ410" t="s">
        <v>20</v>
      </c>
      <c r="SA410" t="s">
        <v>211</v>
      </c>
      <c r="SC410" t="s">
        <v>1</v>
      </c>
      <c r="SD410" t="s">
        <v>10</v>
      </c>
      <c r="SE410" t="s">
        <v>14</v>
      </c>
      <c r="SF410" t="s">
        <v>7</v>
      </c>
      <c r="SG410" t="s">
        <v>214</v>
      </c>
      <c r="SI410" t="s">
        <v>5</v>
      </c>
      <c r="SJ410" s="246" t="s">
        <v>279</v>
      </c>
      <c r="SK410" s="260" t="s">
        <v>95</v>
      </c>
      <c r="SL410" s="246" t="s">
        <v>279</v>
      </c>
      <c r="WS410" s="66" t="s">
        <v>95</v>
      </c>
      <c r="WT410" s="27" t="str">
        <f t="shared" si="168"/>
        <v/>
      </c>
      <c r="WU410" s="27" t="str">
        <f t="shared" si="169"/>
        <v/>
      </c>
      <c r="WV410" s="27" t="str">
        <f t="shared" si="170"/>
        <v/>
      </c>
      <c r="WW410" s="27" t="str">
        <f t="shared" si="171"/>
        <v/>
      </c>
      <c r="WX410" s="27" t="str">
        <f t="shared" si="172"/>
        <v/>
      </c>
      <c r="WY410" s="27" t="str">
        <f t="shared" si="173"/>
        <v/>
      </c>
      <c r="WZ410" s="27" t="str">
        <f t="shared" si="174"/>
        <v/>
      </c>
      <c r="XA410" s="27" t="str">
        <f t="shared" si="175"/>
        <v/>
      </c>
      <c r="XB410" s="27" t="str">
        <f t="shared" si="176"/>
        <v/>
      </c>
      <c r="XC410" s="27" t="str">
        <f t="shared" si="177"/>
        <v/>
      </c>
      <c r="XD410" s="27" t="str">
        <f t="shared" si="178"/>
        <v/>
      </c>
      <c r="XE410" s="27" t="str">
        <f t="shared" si="179"/>
        <v/>
      </c>
      <c r="XF410" s="27" t="str">
        <f t="shared" si="180"/>
        <v/>
      </c>
      <c r="XG410" s="27" t="str">
        <f t="shared" si="181"/>
        <v/>
      </c>
      <c r="XH410" s="27" t="str">
        <f t="shared" si="182"/>
        <v/>
      </c>
      <c r="XI410" s="27" t="str">
        <f t="shared" si="183"/>
        <v/>
      </c>
      <c r="XJ410" s="27" t="str">
        <f t="shared" si="184"/>
        <v/>
      </c>
      <c r="XK410" s="27" t="str">
        <f t="shared" si="185"/>
        <v/>
      </c>
      <c r="XL410" s="27" t="str">
        <f t="shared" si="186"/>
        <v/>
      </c>
      <c r="XM410" s="27" t="str">
        <f t="shared" si="187"/>
        <v/>
      </c>
      <c r="XN410" s="27" t="str">
        <f t="shared" si="188"/>
        <v/>
      </c>
      <c r="XO410" s="27" t="str">
        <f t="shared" si="189"/>
        <v/>
      </c>
      <c r="XP410" s="27" t="str">
        <f t="shared" si="190"/>
        <v/>
      </c>
      <c r="XQ410" s="27" t="str">
        <f t="shared" si="191"/>
        <v/>
      </c>
      <c r="XR410" s="27" t="str">
        <f t="shared" si="192"/>
        <v/>
      </c>
      <c r="XS410" s="27" t="str">
        <f t="shared" si="193"/>
        <v/>
      </c>
      <c r="XT410" s="27" t="str">
        <f t="shared" si="194"/>
        <v/>
      </c>
      <c r="XU410" s="27" t="str">
        <f t="shared" si="195"/>
        <v/>
      </c>
      <c r="XV410" s="27" t="str">
        <f t="shared" si="196"/>
        <v/>
      </c>
      <c r="XW410" s="27" t="str">
        <f t="shared" si="197"/>
        <v/>
      </c>
      <c r="XX410" s="27" t="str">
        <f t="shared" si="198"/>
        <v/>
      </c>
      <c r="XY410" s="27" t="str">
        <f t="shared" si="199"/>
        <v/>
      </c>
      <c r="XZ410" s="27" t="str">
        <f t="shared" si="200"/>
        <v/>
      </c>
      <c r="YA410" s="27" t="str">
        <f t="shared" si="201"/>
        <v/>
      </c>
      <c r="YB410" s="27" t="str">
        <f t="shared" si="202"/>
        <v/>
      </c>
      <c r="YC410" s="27" t="str">
        <f t="shared" si="203"/>
        <v/>
      </c>
      <c r="YD410" s="27" t="str">
        <f t="shared" si="204"/>
        <v/>
      </c>
      <c r="YE410" s="27" t="str">
        <f t="shared" si="205"/>
        <v/>
      </c>
      <c r="YF410" s="27" t="str">
        <f t="shared" si="206"/>
        <v/>
      </c>
      <c r="YG410" s="27" t="str">
        <f t="shared" si="207"/>
        <v/>
      </c>
      <c r="YH410" s="27" t="str">
        <f t="shared" si="208"/>
        <v/>
      </c>
      <c r="YI410" s="27" t="str">
        <f t="shared" si="209"/>
        <v/>
      </c>
      <c r="YJ410" s="27" t="str">
        <f t="shared" si="210"/>
        <v/>
      </c>
      <c r="YK410" s="27" t="str">
        <f t="shared" si="211"/>
        <v/>
      </c>
      <c r="YL410" s="27" t="str">
        <f t="shared" si="212"/>
        <v/>
      </c>
      <c r="YM410" s="27" t="str">
        <f t="shared" si="213"/>
        <v/>
      </c>
      <c r="YN410" s="27" t="str">
        <f t="shared" si="214"/>
        <v/>
      </c>
    </row>
    <row r="411" spans="28:664" ht="18" x14ac:dyDescent="0.25">
      <c r="AB411" s="277" t="s">
        <v>34</v>
      </c>
      <c r="BQ411" s="277" t="s">
        <v>67</v>
      </c>
      <c r="GO411" s="10" t="s">
        <v>51</v>
      </c>
      <c r="GP411" s="1" t="s">
        <v>28</v>
      </c>
      <c r="GQ411" s="27" t="str">
        <f t="shared" si="220"/>
        <v/>
      </c>
      <c r="GR411" s="27" t="str">
        <f t="shared" si="221"/>
        <v/>
      </c>
      <c r="GS411" s="27" t="str">
        <f t="shared" si="222"/>
        <v/>
      </c>
      <c r="GT411" s="27" t="str">
        <f t="shared" si="223"/>
        <v/>
      </c>
      <c r="GU411" s="27" t="str">
        <f t="shared" si="224"/>
        <v/>
      </c>
      <c r="GV411" s="27" t="str">
        <f t="shared" si="225"/>
        <v/>
      </c>
      <c r="GW411" s="27" t="str">
        <f t="shared" si="226"/>
        <v/>
      </c>
      <c r="GX411" s="27" t="str">
        <f t="shared" si="227"/>
        <v/>
      </c>
      <c r="GY411" s="27" t="str">
        <f t="shared" si="228"/>
        <v/>
      </c>
      <c r="GZ411" s="27" t="str">
        <f t="shared" si="229"/>
        <v/>
      </c>
      <c r="HA411" s="27" t="str">
        <f t="shared" si="230"/>
        <v/>
      </c>
      <c r="HB411" s="27" t="str">
        <f t="shared" si="231"/>
        <v/>
      </c>
      <c r="HC411" s="27" t="str">
        <f t="shared" si="232"/>
        <v/>
      </c>
      <c r="HD411" s="27" t="str">
        <f t="shared" si="233"/>
        <v>52PL3</v>
      </c>
      <c r="HE411" s="27" t="str">
        <f t="shared" si="234"/>
        <v/>
      </c>
      <c r="HF411" s="27" t="str">
        <f t="shared" si="235"/>
        <v>55RL2</v>
      </c>
      <c r="HG411" s="27" t="str">
        <f t="shared" si="236"/>
        <v>*</v>
      </c>
      <c r="HH411" s="27" t="str">
        <f t="shared" si="237"/>
        <v/>
      </c>
      <c r="HI411" s="27" t="str">
        <f t="shared" si="238"/>
        <v>D</v>
      </c>
      <c r="HJ411" s="27" t="str">
        <f t="shared" si="239"/>
        <v>I</v>
      </c>
      <c r="HK411" s="27" t="str">
        <f t="shared" si="240"/>
        <v>*</v>
      </c>
      <c r="HL411" s="27" t="str">
        <f t="shared" si="241"/>
        <v/>
      </c>
      <c r="HM411" s="27" t="str">
        <f t="shared" si="242"/>
        <v/>
      </c>
      <c r="HN411" s="27" t="str">
        <f t="shared" si="243"/>
        <v/>
      </c>
      <c r="HO411" s="27" t="str">
        <f t="shared" si="244"/>
        <v/>
      </c>
      <c r="HP411" s="27" t="str">
        <f t="shared" si="245"/>
        <v/>
      </c>
      <c r="HQ411" s="27" t="str">
        <f t="shared" si="246"/>
        <v/>
      </c>
      <c r="HR411" s="27" t="str">
        <f t="shared" si="247"/>
        <v>84QL3</v>
      </c>
      <c r="HS411" s="27" t="str">
        <f t="shared" si="248"/>
        <v>*</v>
      </c>
      <c r="HT411" s="27" t="str">
        <f t="shared" si="249"/>
        <v/>
      </c>
      <c r="HU411" s="27" t="str">
        <f t="shared" si="250"/>
        <v/>
      </c>
      <c r="HV411" s="27" t="str">
        <f t="shared" si="251"/>
        <v/>
      </c>
      <c r="HW411" s="27" t="str">
        <f t="shared" si="252"/>
        <v/>
      </c>
      <c r="HX411" s="27" t="str">
        <f t="shared" si="253"/>
        <v/>
      </c>
      <c r="HY411" s="27" t="str">
        <f t="shared" si="254"/>
        <v/>
      </c>
      <c r="HZ411" s="27" t="str">
        <f t="shared" si="255"/>
        <v>*</v>
      </c>
      <c r="IA411" s="27" t="str">
        <f t="shared" si="256"/>
        <v/>
      </c>
      <c r="IB411" s="27" t="str">
        <f t="shared" si="257"/>
        <v>I</v>
      </c>
      <c r="IC411" s="21" t="s">
        <v>58</v>
      </c>
      <c r="ID411" s="27" t="str">
        <f t="shared" si="258"/>
        <v/>
      </c>
      <c r="IE411" s="27" t="str">
        <f t="shared" si="259"/>
        <v/>
      </c>
      <c r="IF411" s="27" t="str">
        <f t="shared" si="260"/>
        <v/>
      </c>
      <c r="IG411" s="27" t="str">
        <f t="shared" si="261"/>
        <v/>
      </c>
      <c r="IH411" s="27" t="str">
        <f t="shared" si="262"/>
        <v/>
      </c>
      <c r="II411" s="27" t="str">
        <f t="shared" si="263"/>
        <v>EpY</v>
      </c>
      <c r="IJ411" s="27" t="str">
        <f t="shared" si="264"/>
        <v>47KHL</v>
      </c>
      <c r="IK411" s="27" t="str">
        <f t="shared" si="265"/>
        <v>50LR</v>
      </c>
      <c r="IL411" s="27" t="str">
        <f t="shared" si="266"/>
        <v/>
      </c>
      <c r="IM411" s="27" t="str">
        <f t="shared" si="267"/>
        <v/>
      </c>
      <c r="IN411" s="27" t="str">
        <f t="shared" si="268"/>
        <v>*</v>
      </c>
      <c r="IO411" s="27" t="str">
        <f t="shared" si="269"/>
        <v>L</v>
      </c>
      <c r="IP411" s="27" t="str">
        <f t="shared" si="270"/>
        <v/>
      </c>
      <c r="IQ411" s="27" t="str">
        <f t="shared" si="271"/>
        <v>L</v>
      </c>
      <c r="IR411" s="27" t="str">
        <f t="shared" si="272"/>
        <v/>
      </c>
      <c r="IS411" s="27" t="str">
        <f t="shared" si="273"/>
        <v/>
      </c>
      <c r="IT411" s="27" t="str">
        <f t="shared" si="274"/>
        <v>E</v>
      </c>
      <c r="IU411" s="27" t="str">
        <f t="shared" si="275"/>
        <v/>
      </c>
      <c r="JP411" s="68" t="s">
        <v>160</v>
      </c>
      <c r="JQ411" s="27"/>
      <c r="JR411" s="27"/>
      <c r="JS411" s="27"/>
      <c r="NU411" s="34" t="s">
        <v>142</v>
      </c>
      <c r="NX411" s="27" t="str">
        <f t="shared" si="217"/>
        <v/>
      </c>
      <c r="NY411" s="27" t="str">
        <f t="shared" si="288"/>
        <v/>
      </c>
      <c r="NZ411" s="27" t="str">
        <f t="shared" si="289"/>
        <v/>
      </c>
      <c r="OA411" s="27" t="str">
        <f t="shared" si="290"/>
        <v/>
      </c>
      <c r="OB411" s="27" t="str">
        <f t="shared" si="291"/>
        <v/>
      </c>
      <c r="OC411" s="27" t="str">
        <f t="shared" si="292"/>
        <v/>
      </c>
      <c r="OD411" s="27" t="str">
        <f t="shared" si="293"/>
        <v/>
      </c>
      <c r="OE411" s="27" t="str">
        <f t="shared" si="294"/>
        <v/>
      </c>
      <c r="OF411" s="27" t="str">
        <f t="shared" si="295"/>
        <v/>
      </c>
      <c r="OG411" s="27" t="str">
        <f t="shared" si="296"/>
        <v/>
      </c>
      <c r="OH411" s="27" t="str">
        <f t="shared" si="297"/>
        <v/>
      </c>
      <c r="OI411" s="27" t="str">
        <f t="shared" si="298"/>
        <v/>
      </c>
      <c r="OJ411" s="27" t="str">
        <f t="shared" si="299"/>
        <v/>
      </c>
      <c r="OK411" s="27" t="str">
        <f t="shared" si="300"/>
        <v/>
      </c>
      <c r="OL411" s="27" t="str">
        <f t="shared" si="301"/>
        <v/>
      </c>
      <c r="OM411" s="27" t="str">
        <f t="shared" si="302"/>
        <v/>
      </c>
      <c r="ON411" s="27" t="str">
        <f t="shared" si="303"/>
        <v/>
      </c>
      <c r="OO411" s="27" t="str">
        <f t="shared" si="304"/>
        <v/>
      </c>
      <c r="OP411" s="27" t="str">
        <f t="shared" si="305"/>
        <v/>
      </c>
      <c r="OQ411" s="27" t="str">
        <f t="shared" si="306"/>
        <v/>
      </c>
      <c r="OR411" s="27" t="str">
        <f t="shared" si="307"/>
        <v/>
      </c>
      <c r="OS411" s="27" t="str">
        <f t="shared" si="308"/>
        <v/>
      </c>
      <c r="OT411" s="27" t="str">
        <f t="shared" si="309"/>
        <v/>
      </c>
      <c r="OU411" s="27">
        <f t="shared" si="310"/>
        <v>0</v>
      </c>
      <c r="OV411" s="27" t="str">
        <f t="shared" si="311"/>
        <v>DPA1*02:02</v>
      </c>
      <c r="OW411" s="27" t="str">
        <f t="shared" si="312"/>
        <v/>
      </c>
      <c r="OX411" s="27" t="str">
        <f t="shared" si="313"/>
        <v/>
      </c>
      <c r="OY411" s="27" t="str">
        <f t="shared" si="314"/>
        <v/>
      </c>
      <c r="OZ411" s="27" t="str">
        <f t="shared" si="276"/>
        <v/>
      </c>
      <c r="PA411" s="27" t="str">
        <f t="shared" si="277"/>
        <v/>
      </c>
      <c r="PB411" s="27" t="str">
        <f t="shared" si="278"/>
        <v/>
      </c>
      <c r="PC411" s="27" t="str">
        <f t="shared" si="279"/>
        <v/>
      </c>
      <c r="PD411" s="27" t="str">
        <f t="shared" si="280"/>
        <v/>
      </c>
      <c r="PE411" s="27" t="str">
        <f t="shared" si="281"/>
        <v/>
      </c>
      <c r="PF411" s="27" t="str">
        <f t="shared" si="282"/>
        <v/>
      </c>
      <c r="PG411" s="27" t="str">
        <f t="shared" si="283"/>
        <v/>
      </c>
      <c r="PH411" s="27" t="str">
        <f t="shared" si="284"/>
        <v/>
      </c>
      <c r="PI411" s="27" t="str">
        <f t="shared" si="285"/>
        <v/>
      </c>
      <c r="PJ411" s="27" t="str">
        <f t="shared" si="286"/>
        <v/>
      </c>
      <c r="PK411" s="27" t="str">
        <f t="shared" si="287"/>
        <v/>
      </c>
      <c r="QO411" s="260" t="s">
        <v>98</v>
      </c>
      <c r="QP411" t="s">
        <v>195</v>
      </c>
      <c r="QQ411" t="s">
        <v>20</v>
      </c>
      <c r="QR411" t="s">
        <v>2</v>
      </c>
      <c r="QS411" t="s">
        <v>215</v>
      </c>
      <c r="QT411" t="s">
        <v>1</v>
      </c>
      <c r="QU411" t="s">
        <v>15</v>
      </c>
      <c r="QV411" t="s">
        <v>3</v>
      </c>
      <c r="QX411" t="s">
        <v>198</v>
      </c>
      <c r="QY411" t="s">
        <v>8</v>
      </c>
      <c r="QZ411" t="s">
        <v>11</v>
      </c>
      <c r="RA411" t="s">
        <v>2</v>
      </c>
      <c r="RB411" t="s">
        <v>210</v>
      </c>
      <c r="RC411" t="s">
        <v>8</v>
      </c>
      <c r="RD411" t="s">
        <v>2</v>
      </c>
      <c r="RE411" t="s">
        <v>2</v>
      </c>
      <c r="RF411" t="s">
        <v>7</v>
      </c>
      <c r="RG411" t="s">
        <v>8</v>
      </c>
      <c r="RJ411" t="s">
        <v>1</v>
      </c>
      <c r="RK411" t="s">
        <v>2</v>
      </c>
      <c r="RL411" t="s">
        <v>8</v>
      </c>
      <c r="RM411" t="s">
        <v>203</v>
      </c>
      <c r="RN411" t="s">
        <v>212</v>
      </c>
      <c r="RO411" t="s">
        <v>201</v>
      </c>
      <c r="RQ411" t="s">
        <v>5</v>
      </c>
      <c r="RS411" t="s">
        <v>6</v>
      </c>
      <c r="RT411" t="s">
        <v>21</v>
      </c>
      <c r="RV411" t="s">
        <v>7</v>
      </c>
      <c r="RW411" t="s">
        <v>3</v>
      </c>
      <c r="RX411" t="s">
        <v>209</v>
      </c>
      <c r="RY411" t="s">
        <v>22</v>
      </c>
      <c r="RZ411" t="s">
        <v>185</v>
      </c>
      <c r="SB411" t="s">
        <v>1</v>
      </c>
      <c r="SC411" t="s">
        <v>1</v>
      </c>
      <c r="SD411" t="s">
        <v>15</v>
      </c>
      <c r="SE411" t="s">
        <v>22</v>
      </c>
      <c r="SF411" t="s">
        <v>7</v>
      </c>
      <c r="SH411" t="s">
        <v>15</v>
      </c>
      <c r="SI411" t="s">
        <v>1</v>
      </c>
      <c r="SJ411" s="246" t="s">
        <v>261</v>
      </c>
      <c r="SK411" s="260" t="s">
        <v>98</v>
      </c>
      <c r="SL411" s="246" t="s">
        <v>261</v>
      </c>
      <c r="WS411" s="66" t="s">
        <v>98</v>
      </c>
      <c r="WT411" s="27" t="str">
        <f t="shared" si="168"/>
        <v/>
      </c>
      <c r="WU411" s="27" t="str">
        <f t="shared" si="169"/>
        <v/>
      </c>
      <c r="WV411" s="27" t="str">
        <f t="shared" si="170"/>
        <v/>
      </c>
      <c r="WW411" s="27" t="str">
        <f t="shared" si="171"/>
        <v/>
      </c>
      <c r="WX411" s="27" t="str">
        <f t="shared" si="172"/>
        <v/>
      </c>
      <c r="WY411" s="27" t="str">
        <f t="shared" si="173"/>
        <v/>
      </c>
      <c r="WZ411" s="27" t="str">
        <f t="shared" si="174"/>
        <v/>
      </c>
      <c r="XA411" s="27" t="str">
        <f t="shared" si="175"/>
        <v/>
      </c>
      <c r="XB411" s="27" t="str">
        <f t="shared" si="176"/>
        <v/>
      </c>
      <c r="XC411" s="27" t="str">
        <f t="shared" si="177"/>
        <v/>
      </c>
      <c r="XD411" s="27" t="str">
        <f t="shared" si="178"/>
        <v/>
      </c>
      <c r="XE411" s="27" t="str">
        <f t="shared" si="179"/>
        <v/>
      </c>
      <c r="XF411" s="27" t="str">
        <f t="shared" si="180"/>
        <v/>
      </c>
      <c r="XG411" s="27" t="str">
        <f t="shared" si="181"/>
        <v/>
      </c>
      <c r="XH411" s="27" t="str">
        <f t="shared" si="182"/>
        <v/>
      </c>
      <c r="XI411" s="27" t="str">
        <f t="shared" si="183"/>
        <v/>
      </c>
      <c r="XJ411" s="27" t="str">
        <f t="shared" si="184"/>
        <v/>
      </c>
      <c r="XK411" s="27" t="str">
        <f t="shared" si="185"/>
        <v/>
      </c>
      <c r="XL411" s="27" t="str">
        <f t="shared" si="186"/>
        <v/>
      </c>
      <c r="XM411" s="27" t="str">
        <f t="shared" si="187"/>
        <v/>
      </c>
      <c r="XN411" s="27" t="str">
        <f t="shared" si="188"/>
        <v/>
      </c>
      <c r="XO411" s="27" t="str">
        <f t="shared" si="189"/>
        <v/>
      </c>
      <c r="XP411" s="27" t="str">
        <f t="shared" si="190"/>
        <v/>
      </c>
      <c r="XQ411" s="27" t="str">
        <f t="shared" si="191"/>
        <v/>
      </c>
      <c r="XR411" s="27" t="str">
        <f t="shared" si="192"/>
        <v/>
      </c>
      <c r="XS411" s="27" t="str">
        <f t="shared" si="193"/>
        <v/>
      </c>
      <c r="XT411" s="27" t="str">
        <f t="shared" si="194"/>
        <v/>
      </c>
      <c r="XU411" s="27" t="str">
        <f t="shared" si="195"/>
        <v/>
      </c>
      <c r="XV411" s="27" t="str">
        <f t="shared" si="196"/>
        <v/>
      </c>
      <c r="XW411" s="27" t="str">
        <f t="shared" si="197"/>
        <v/>
      </c>
      <c r="XX411" s="27" t="str">
        <f t="shared" si="198"/>
        <v/>
      </c>
      <c r="XY411" s="27" t="str">
        <f t="shared" si="199"/>
        <v/>
      </c>
      <c r="XZ411" s="27" t="str">
        <f t="shared" si="200"/>
        <v/>
      </c>
      <c r="YA411" s="27" t="str">
        <f t="shared" si="201"/>
        <v/>
      </c>
      <c r="YB411" s="27" t="str">
        <f t="shared" si="202"/>
        <v/>
      </c>
      <c r="YC411" s="27" t="str">
        <f t="shared" si="203"/>
        <v/>
      </c>
      <c r="YD411" s="27" t="str">
        <f t="shared" si="204"/>
        <v/>
      </c>
      <c r="YE411" s="27" t="str">
        <f t="shared" si="205"/>
        <v/>
      </c>
      <c r="YF411" s="27" t="str">
        <f t="shared" si="206"/>
        <v/>
      </c>
      <c r="YG411" s="27" t="str">
        <f t="shared" si="207"/>
        <v/>
      </c>
      <c r="YH411" s="27" t="str">
        <f t="shared" si="208"/>
        <v/>
      </c>
      <c r="YI411" s="27" t="str">
        <f t="shared" si="209"/>
        <v/>
      </c>
      <c r="YJ411" s="27" t="str">
        <f t="shared" si="210"/>
        <v/>
      </c>
      <c r="YK411" s="27" t="str">
        <f t="shared" si="211"/>
        <v/>
      </c>
      <c r="YL411" s="27" t="str">
        <f t="shared" si="212"/>
        <v/>
      </c>
      <c r="YM411" s="27" t="str">
        <f t="shared" si="213"/>
        <v/>
      </c>
      <c r="YN411" s="27" t="str">
        <f t="shared" si="214"/>
        <v/>
      </c>
    </row>
    <row r="412" spans="28:664" ht="18" x14ac:dyDescent="0.25">
      <c r="AB412" s="277" t="s">
        <v>35</v>
      </c>
      <c r="BQ412" s="277" t="s">
        <v>68</v>
      </c>
      <c r="GO412" s="9" t="s">
        <v>51</v>
      </c>
      <c r="GP412" s="1" t="s">
        <v>28</v>
      </c>
      <c r="GQ412" s="27" t="str">
        <f t="shared" si="220"/>
        <v/>
      </c>
      <c r="GR412" s="27" t="str">
        <f t="shared" si="221"/>
        <v/>
      </c>
      <c r="GS412" s="27" t="str">
        <f t="shared" si="222"/>
        <v/>
      </c>
      <c r="GT412" s="27" t="str">
        <f t="shared" si="223"/>
        <v/>
      </c>
      <c r="GU412" s="27" t="str">
        <f t="shared" si="224"/>
        <v/>
      </c>
      <c r="GV412" s="27" t="str">
        <f t="shared" si="225"/>
        <v/>
      </c>
      <c r="GW412" s="27" t="str">
        <f t="shared" si="226"/>
        <v/>
      </c>
      <c r="GX412" s="27" t="str">
        <f t="shared" si="227"/>
        <v/>
      </c>
      <c r="GY412" s="27" t="str">
        <f t="shared" si="228"/>
        <v/>
      </c>
      <c r="GZ412" s="27" t="str">
        <f t="shared" si="229"/>
        <v/>
      </c>
      <c r="HA412" s="27" t="str">
        <f t="shared" si="230"/>
        <v/>
      </c>
      <c r="HB412" s="27" t="str">
        <f t="shared" si="231"/>
        <v/>
      </c>
      <c r="HC412" s="27" t="str">
        <f t="shared" si="232"/>
        <v/>
      </c>
      <c r="HD412" s="27" t="str">
        <f t="shared" si="233"/>
        <v>52PL3</v>
      </c>
      <c r="HE412" s="27" t="str">
        <f t="shared" si="234"/>
        <v/>
      </c>
      <c r="HF412" s="27" t="str">
        <f t="shared" si="235"/>
        <v>55RL2</v>
      </c>
      <c r="HG412" s="27" t="str">
        <f t="shared" si="236"/>
        <v>*</v>
      </c>
      <c r="HH412" s="27" t="str">
        <f t="shared" si="237"/>
        <v/>
      </c>
      <c r="HI412" s="27" t="str">
        <f t="shared" si="238"/>
        <v>D</v>
      </c>
      <c r="HJ412" s="27" t="str">
        <f t="shared" si="239"/>
        <v>I</v>
      </c>
      <c r="HK412" s="27" t="str">
        <f t="shared" si="240"/>
        <v>*</v>
      </c>
      <c r="HL412" s="27" t="str">
        <f t="shared" si="241"/>
        <v/>
      </c>
      <c r="HM412" s="27" t="str">
        <f t="shared" si="242"/>
        <v/>
      </c>
      <c r="HN412" s="27" t="str">
        <f t="shared" si="243"/>
        <v/>
      </c>
      <c r="HO412" s="27" t="str">
        <f t="shared" si="244"/>
        <v/>
      </c>
      <c r="HP412" s="27" t="str">
        <f t="shared" si="245"/>
        <v/>
      </c>
      <c r="HQ412" s="27" t="str">
        <f t="shared" si="246"/>
        <v/>
      </c>
      <c r="HR412" s="27" t="str">
        <f t="shared" si="247"/>
        <v>84QL3</v>
      </c>
      <c r="HS412" s="27" t="str">
        <f t="shared" si="248"/>
        <v>*</v>
      </c>
      <c r="HT412" s="27" t="str">
        <f t="shared" si="249"/>
        <v/>
      </c>
      <c r="HU412" s="27" t="str">
        <f t="shared" si="250"/>
        <v/>
      </c>
      <c r="HV412" s="27" t="str">
        <f t="shared" si="251"/>
        <v/>
      </c>
      <c r="HW412" s="27" t="str">
        <f t="shared" si="252"/>
        <v/>
      </c>
      <c r="HX412" s="27" t="str">
        <f t="shared" si="253"/>
        <v/>
      </c>
      <c r="HY412" s="27" t="str">
        <f t="shared" si="254"/>
        <v/>
      </c>
      <c r="HZ412" s="27" t="str">
        <f t="shared" si="255"/>
        <v>*</v>
      </c>
      <c r="IA412" s="27" t="str">
        <f t="shared" si="256"/>
        <v/>
      </c>
      <c r="IB412" s="27" t="str">
        <f t="shared" si="257"/>
        <v>I</v>
      </c>
      <c r="IC412" s="20" t="s">
        <v>60</v>
      </c>
      <c r="ID412" s="27" t="str">
        <f t="shared" si="258"/>
        <v/>
      </c>
      <c r="IE412" s="27" t="str">
        <f t="shared" si="259"/>
        <v/>
      </c>
      <c r="IF412" s="27" t="str">
        <f t="shared" si="260"/>
        <v/>
      </c>
      <c r="IG412" s="27" t="str">
        <f t="shared" si="261"/>
        <v>40GR3</v>
      </c>
      <c r="IH412" s="27" t="str">
        <f t="shared" si="262"/>
        <v>*</v>
      </c>
      <c r="II412" s="27" t="str">
        <f t="shared" si="263"/>
        <v>EpY</v>
      </c>
      <c r="IJ412" s="27" t="str">
        <f t="shared" si="264"/>
        <v/>
      </c>
      <c r="IK412" s="27" t="str">
        <f t="shared" si="265"/>
        <v/>
      </c>
      <c r="IL412" s="27" t="str">
        <f t="shared" si="266"/>
        <v>*</v>
      </c>
      <c r="IM412" s="27" t="str">
        <f t="shared" si="267"/>
        <v>R</v>
      </c>
      <c r="IN412" s="27" t="str">
        <f t="shared" si="268"/>
        <v/>
      </c>
      <c r="IO412" s="27" t="str">
        <f t="shared" si="269"/>
        <v>T</v>
      </c>
      <c r="IP412" s="27" t="str">
        <f t="shared" si="270"/>
        <v/>
      </c>
      <c r="IQ412" s="27" t="str">
        <f t="shared" si="271"/>
        <v>L</v>
      </c>
      <c r="IR412" s="27" t="str">
        <f t="shared" si="272"/>
        <v/>
      </c>
      <c r="IS412" s="27" t="str">
        <f t="shared" si="273"/>
        <v/>
      </c>
      <c r="IT412" s="27" t="str">
        <f t="shared" si="274"/>
        <v>E</v>
      </c>
      <c r="IU412" s="27" t="str">
        <f t="shared" si="275"/>
        <v/>
      </c>
      <c r="JP412" s="68" t="s">
        <v>163</v>
      </c>
      <c r="JQ412" s="27"/>
      <c r="JR412" s="27"/>
      <c r="JS412" s="27"/>
      <c r="NU412" s="36" t="s">
        <v>150</v>
      </c>
      <c r="NX412" s="27" t="str">
        <f t="shared" si="217"/>
        <v/>
      </c>
      <c r="NY412" s="27" t="str">
        <f t="shared" si="288"/>
        <v/>
      </c>
      <c r="NZ412" s="27" t="str">
        <f t="shared" si="289"/>
        <v/>
      </c>
      <c r="OA412" s="27" t="str">
        <f t="shared" si="290"/>
        <v/>
      </c>
      <c r="OB412" s="27" t="str">
        <f t="shared" si="291"/>
        <v/>
      </c>
      <c r="OC412" s="27" t="str">
        <f t="shared" si="292"/>
        <v/>
      </c>
      <c r="OD412" s="27" t="str">
        <f t="shared" si="293"/>
        <v/>
      </c>
      <c r="OE412" s="27" t="str">
        <f t="shared" si="294"/>
        <v/>
      </c>
      <c r="OF412" s="27" t="str">
        <f t="shared" si="295"/>
        <v/>
      </c>
      <c r="OG412" s="27" t="str">
        <f t="shared" si="296"/>
        <v/>
      </c>
      <c r="OH412" s="27" t="str">
        <f t="shared" si="297"/>
        <v/>
      </c>
      <c r="OI412" s="27" t="str">
        <f t="shared" si="298"/>
        <v/>
      </c>
      <c r="OJ412" s="27" t="str">
        <f t="shared" si="299"/>
        <v/>
      </c>
      <c r="OK412" s="27" t="str">
        <f t="shared" si="300"/>
        <v/>
      </c>
      <c r="OL412" s="27" t="str">
        <f t="shared" si="301"/>
        <v/>
      </c>
      <c r="OM412" s="27" t="str">
        <f t="shared" si="302"/>
        <v/>
      </c>
      <c r="ON412" s="27" t="str">
        <f t="shared" si="303"/>
        <v/>
      </c>
      <c r="OO412" s="27" t="str">
        <f t="shared" si="304"/>
        <v/>
      </c>
      <c r="OP412" s="27" t="str">
        <f t="shared" si="305"/>
        <v/>
      </c>
      <c r="OQ412" s="27" t="str">
        <f t="shared" si="306"/>
        <v/>
      </c>
      <c r="OR412" s="27" t="str">
        <f t="shared" si="307"/>
        <v/>
      </c>
      <c r="OS412" s="27" t="str">
        <f t="shared" si="308"/>
        <v/>
      </c>
      <c r="OT412" s="27" t="str">
        <f t="shared" si="309"/>
        <v/>
      </c>
      <c r="OU412" s="27">
        <f t="shared" si="310"/>
        <v>0</v>
      </c>
      <c r="OV412" s="27" t="str">
        <f t="shared" si="311"/>
        <v>DPA1*02:01</v>
      </c>
      <c r="OW412" s="27" t="str">
        <f t="shared" si="312"/>
        <v/>
      </c>
      <c r="OX412" s="27" t="str">
        <f t="shared" si="313"/>
        <v/>
      </c>
      <c r="OY412" s="27" t="str">
        <f t="shared" si="314"/>
        <v/>
      </c>
      <c r="OZ412" s="27" t="str">
        <f t="shared" si="276"/>
        <v/>
      </c>
      <c r="PA412" s="27" t="str">
        <f t="shared" si="277"/>
        <v/>
      </c>
      <c r="PB412" s="27" t="str">
        <f t="shared" si="278"/>
        <v/>
      </c>
      <c r="PC412" s="27" t="str">
        <f t="shared" si="279"/>
        <v/>
      </c>
      <c r="PD412" s="27" t="str">
        <f t="shared" si="280"/>
        <v/>
      </c>
      <c r="PE412" s="27" t="str">
        <f t="shared" si="281"/>
        <v/>
      </c>
      <c r="PF412" s="27" t="str">
        <f t="shared" si="282"/>
        <v/>
      </c>
      <c r="PG412" s="27" t="str">
        <f t="shared" si="283"/>
        <v/>
      </c>
      <c r="PH412" s="27" t="str">
        <f t="shared" si="284"/>
        <v/>
      </c>
      <c r="PI412" s="27" t="str">
        <f t="shared" si="285"/>
        <v/>
      </c>
      <c r="PJ412" s="27" t="str">
        <f t="shared" si="286"/>
        <v/>
      </c>
      <c r="PK412" s="27" t="str">
        <f t="shared" si="287"/>
        <v/>
      </c>
      <c r="QO412" s="260" t="s">
        <v>263</v>
      </c>
      <c r="QP412" t="s">
        <v>195</v>
      </c>
      <c r="QQ412" t="s">
        <v>20</v>
      </c>
      <c r="QR412" t="s">
        <v>2</v>
      </c>
      <c r="QS412" t="s">
        <v>215</v>
      </c>
      <c r="QT412" t="s">
        <v>1</v>
      </c>
      <c r="QU412" t="s">
        <v>15</v>
      </c>
      <c r="QV412" t="s">
        <v>3</v>
      </c>
      <c r="QX412" t="s">
        <v>198</v>
      </c>
      <c r="QY412" t="s">
        <v>8</v>
      </c>
      <c r="QZ412" t="s">
        <v>11</v>
      </c>
      <c r="RA412" t="s">
        <v>2</v>
      </c>
      <c r="RB412" t="s">
        <v>210</v>
      </c>
      <c r="RC412" t="s">
        <v>8</v>
      </c>
      <c r="RD412" t="s">
        <v>2</v>
      </c>
      <c r="RE412" t="s">
        <v>2</v>
      </c>
      <c r="RF412" t="s">
        <v>7</v>
      </c>
      <c r="RG412" t="s">
        <v>8</v>
      </c>
      <c r="RJ412" t="s">
        <v>11</v>
      </c>
      <c r="RK412" t="s">
        <v>2</v>
      </c>
      <c r="RL412" t="s">
        <v>8</v>
      </c>
      <c r="RM412" t="s">
        <v>203</v>
      </c>
      <c r="RN412" t="s">
        <v>212</v>
      </c>
      <c r="RO412" t="s">
        <v>201</v>
      </c>
      <c r="RQ412" t="s">
        <v>5</v>
      </c>
      <c r="RS412" t="s">
        <v>6</v>
      </c>
      <c r="RT412" t="s">
        <v>21</v>
      </c>
      <c r="RV412" t="s">
        <v>7</v>
      </c>
      <c r="RW412" t="s">
        <v>3</v>
      </c>
      <c r="RX412" t="s">
        <v>209</v>
      </c>
      <c r="RY412" t="s">
        <v>22</v>
      </c>
      <c r="RZ412" t="s">
        <v>185</v>
      </c>
      <c r="SB412" t="s">
        <v>1</v>
      </c>
      <c r="SC412" t="s">
        <v>1</v>
      </c>
      <c r="SD412" t="s">
        <v>15</v>
      </c>
      <c r="SE412" t="s">
        <v>22</v>
      </c>
      <c r="SF412" t="s">
        <v>7</v>
      </c>
      <c r="SH412" t="s">
        <v>15</v>
      </c>
      <c r="SI412" t="s">
        <v>1</v>
      </c>
      <c r="SJ412" s="246" t="s">
        <v>261</v>
      </c>
      <c r="SK412" s="260" t="s">
        <v>263</v>
      </c>
      <c r="SL412" s="246" t="s">
        <v>261</v>
      </c>
      <c r="WS412" s="66" t="s">
        <v>100</v>
      </c>
      <c r="WT412" s="27" t="str">
        <f t="shared" si="168"/>
        <v/>
      </c>
      <c r="WU412" s="27" t="str">
        <f t="shared" si="169"/>
        <v/>
      </c>
      <c r="WV412" s="27" t="str">
        <f t="shared" si="170"/>
        <v/>
      </c>
      <c r="WW412" s="27" t="str">
        <f t="shared" si="171"/>
        <v/>
      </c>
      <c r="WX412" s="27" t="str">
        <f t="shared" si="172"/>
        <v/>
      </c>
      <c r="WY412" s="27" t="str">
        <f t="shared" si="173"/>
        <v/>
      </c>
      <c r="WZ412" s="27" t="str">
        <f t="shared" si="174"/>
        <v/>
      </c>
      <c r="XA412" s="27" t="str">
        <f t="shared" si="175"/>
        <v/>
      </c>
      <c r="XB412" s="27" t="str">
        <f t="shared" si="176"/>
        <v/>
      </c>
      <c r="XC412" s="27" t="str">
        <f t="shared" si="177"/>
        <v/>
      </c>
      <c r="XD412" s="27" t="str">
        <f t="shared" si="178"/>
        <v/>
      </c>
      <c r="XE412" s="27" t="str">
        <f t="shared" si="179"/>
        <v/>
      </c>
      <c r="XF412" s="27" t="str">
        <f t="shared" si="180"/>
        <v/>
      </c>
      <c r="XG412" s="27" t="str">
        <f t="shared" si="181"/>
        <v/>
      </c>
      <c r="XH412" s="27" t="str">
        <f t="shared" si="182"/>
        <v/>
      </c>
      <c r="XI412" s="27" t="str">
        <f t="shared" si="183"/>
        <v/>
      </c>
      <c r="XJ412" s="27" t="str">
        <f t="shared" si="184"/>
        <v/>
      </c>
      <c r="XK412" s="27" t="str">
        <f t="shared" si="185"/>
        <v/>
      </c>
      <c r="XL412" s="27" t="str">
        <f t="shared" si="186"/>
        <v/>
      </c>
      <c r="XM412" s="27" t="str">
        <f t="shared" si="187"/>
        <v/>
      </c>
      <c r="XN412" s="27" t="str">
        <f t="shared" si="188"/>
        <v/>
      </c>
      <c r="XO412" s="27" t="str">
        <f t="shared" si="189"/>
        <v/>
      </c>
      <c r="XP412" s="27" t="str">
        <f t="shared" si="190"/>
        <v/>
      </c>
      <c r="XQ412" s="27" t="str">
        <f t="shared" si="191"/>
        <v/>
      </c>
      <c r="XR412" s="27" t="str">
        <f t="shared" si="192"/>
        <v/>
      </c>
      <c r="XS412" s="27" t="str">
        <f t="shared" si="193"/>
        <v/>
      </c>
      <c r="XT412" s="27" t="str">
        <f t="shared" si="194"/>
        <v/>
      </c>
      <c r="XU412" s="27" t="str">
        <f t="shared" si="195"/>
        <v/>
      </c>
      <c r="XV412" s="27" t="str">
        <f t="shared" si="196"/>
        <v/>
      </c>
      <c r="XW412" s="27" t="str">
        <f t="shared" si="197"/>
        <v/>
      </c>
      <c r="XX412" s="27" t="str">
        <f t="shared" si="198"/>
        <v/>
      </c>
      <c r="XY412" s="27" t="str">
        <f t="shared" si="199"/>
        <v/>
      </c>
      <c r="XZ412" s="27" t="str">
        <f t="shared" si="200"/>
        <v/>
      </c>
      <c r="YA412" s="27" t="str">
        <f t="shared" si="201"/>
        <v/>
      </c>
      <c r="YB412" s="27" t="str">
        <f t="shared" si="202"/>
        <v/>
      </c>
      <c r="YC412" s="27" t="str">
        <f t="shared" si="203"/>
        <v/>
      </c>
      <c r="YD412" s="27" t="str">
        <f t="shared" si="204"/>
        <v/>
      </c>
      <c r="YE412" s="27" t="str">
        <f t="shared" si="205"/>
        <v/>
      </c>
      <c r="YF412" s="27" t="str">
        <f t="shared" si="206"/>
        <v/>
      </c>
      <c r="YG412" s="27" t="str">
        <f t="shared" si="207"/>
        <v/>
      </c>
      <c r="YH412" s="27" t="str">
        <f t="shared" si="208"/>
        <v/>
      </c>
      <c r="YI412" s="27" t="str">
        <f t="shared" si="209"/>
        <v/>
      </c>
      <c r="YJ412" s="27" t="str">
        <f t="shared" si="210"/>
        <v/>
      </c>
      <c r="YK412" s="27" t="str">
        <f t="shared" si="211"/>
        <v/>
      </c>
      <c r="YL412" s="27" t="str">
        <f t="shared" si="212"/>
        <v/>
      </c>
      <c r="YM412" s="27" t="str">
        <f t="shared" si="213"/>
        <v/>
      </c>
      <c r="YN412" s="27" t="str">
        <f t="shared" si="214"/>
        <v/>
      </c>
    </row>
    <row r="413" spans="28:664" ht="18" x14ac:dyDescent="0.25">
      <c r="AB413" s="277" t="s">
        <v>36</v>
      </c>
      <c r="GO413" s="11" t="s">
        <v>52</v>
      </c>
      <c r="GP413" s="1" t="s">
        <v>29</v>
      </c>
      <c r="GQ413" s="27" t="str">
        <f t="shared" si="220"/>
        <v/>
      </c>
      <c r="GR413" s="27" t="str">
        <f t="shared" si="221"/>
        <v/>
      </c>
      <c r="GS413" s="27" t="str">
        <f t="shared" si="222"/>
        <v/>
      </c>
      <c r="GT413" s="27" t="str">
        <f t="shared" si="223"/>
        <v/>
      </c>
      <c r="GU413" s="27" t="str">
        <f t="shared" si="224"/>
        <v/>
      </c>
      <c r="GV413" s="27" t="str">
        <f t="shared" si="225"/>
        <v/>
      </c>
      <c r="GW413" s="27" t="str">
        <f t="shared" si="226"/>
        <v/>
      </c>
      <c r="GX413" s="27" t="str">
        <f t="shared" si="227"/>
        <v/>
      </c>
      <c r="GY413" s="27" t="str">
        <f t="shared" si="228"/>
        <v/>
      </c>
      <c r="GZ413" s="27" t="str">
        <f t="shared" si="229"/>
        <v/>
      </c>
      <c r="HA413" s="27" t="str">
        <f t="shared" si="230"/>
        <v/>
      </c>
      <c r="HB413" s="27" t="str">
        <f t="shared" si="231"/>
        <v/>
      </c>
      <c r="HC413" s="27" t="str">
        <f t="shared" si="232"/>
        <v/>
      </c>
      <c r="HD413" s="27" t="str">
        <f t="shared" si="233"/>
        <v/>
      </c>
      <c r="HE413" s="27" t="str">
        <f t="shared" si="234"/>
        <v/>
      </c>
      <c r="HF413" s="27" t="str">
        <f t="shared" si="235"/>
        <v/>
      </c>
      <c r="HG413" s="27" t="str">
        <f t="shared" si="236"/>
        <v/>
      </c>
      <c r="HH413" s="27" t="str">
        <f t="shared" si="237"/>
        <v/>
      </c>
      <c r="HI413" s="27" t="str">
        <f t="shared" si="238"/>
        <v/>
      </c>
      <c r="HJ413" s="27" t="str">
        <f t="shared" si="239"/>
        <v/>
      </c>
      <c r="HK413" s="27" t="str">
        <f t="shared" si="240"/>
        <v/>
      </c>
      <c r="HL413" s="27" t="str">
        <f t="shared" si="241"/>
        <v/>
      </c>
      <c r="HM413" s="27" t="str">
        <f t="shared" si="242"/>
        <v/>
      </c>
      <c r="HN413" s="27" t="str">
        <f t="shared" si="243"/>
        <v/>
      </c>
      <c r="HO413" s="27" t="str">
        <f t="shared" si="244"/>
        <v/>
      </c>
      <c r="HP413" s="27" t="str">
        <f t="shared" si="245"/>
        <v/>
      </c>
      <c r="HQ413" s="27" t="str">
        <f t="shared" si="246"/>
        <v/>
      </c>
      <c r="HR413" s="27" t="str">
        <f t="shared" si="247"/>
        <v/>
      </c>
      <c r="HS413" s="27" t="str">
        <f t="shared" si="248"/>
        <v/>
      </c>
      <c r="HT413" s="27" t="str">
        <f t="shared" si="249"/>
        <v/>
      </c>
      <c r="HU413" s="27" t="str">
        <f t="shared" si="250"/>
        <v/>
      </c>
      <c r="HV413" s="27" t="str">
        <f t="shared" si="251"/>
        <v/>
      </c>
      <c r="HW413" s="27" t="str">
        <f t="shared" si="252"/>
        <v/>
      </c>
      <c r="HX413" s="27" t="str">
        <f t="shared" si="253"/>
        <v/>
      </c>
      <c r="HY413" s="27" t="str">
        <f t="shared" si="254"/>
        <v/>
      </c>
      <c r="HZ413" s="27" t="str">
        <f t="shared" si="255"/>
        <v/>
      </c>
      <c r="IA413" s="27" t="str">
        <f t="shared" si="256"/>
        <v/>
      </c>
      <c r="IB413" s="27" t="str">
        <f t="shared" si="257"/>
        <v/>
      </c>
      <c r="IC413" s="19" t="s">
        <v>63</v>
      </c>
      <c r="ID413" s="27" t="str">
        <f t="shared" si="258"/>
        <v/>
      </c>
      <c r="IE413" s="27" t="str">
        <f t="shared" si="259"/>
        <v/>
      </c>
      <c r="IF413" s="27" t="str">
        <f t="shared" si="260"/>
        <v/>
      </c>
      <c r="IG413" s="27" t="str">
        <f t="shared" si="261"/>
        <v/>
      </c>
      <c r="IH413" s="27" t="str">
        <f t="shared" si="262"/>
        <v/>
      </c>
      <c r="II413" s="27" t="str">
        <f t="shared" si="263"/>
        <v/>
      </c>
      <c r="IJ413" s="27" t="str">
        <f t="shared" si="264"/>
        <v/>
      </c>
      <c r="IK413" s="27" t="str">
        <f t="shared" si="265"/>
        <v/>
      </c>
      <c r="IL413" s="27" t="str">
        <f t="shared" si="266"/>
        <v/>
      </c>
      <c r="IM413" s="27" t="str">
        <f t="shared" si="267"/>
        <v/>
      </c>
      <c r="IN413" s="27" t="str">
        <f t="shared" si="268"/>
        <v/>
      </c>
      <c r="IO413" s="27" t="str">
        <f t="shared" si="269"/>
        <v/>
      </c>
      <c r="IP413" s="27" t="str">
        <f t="shared" si="270"/>
        <v/>
      </c>
      <c r="IQ413" s="27" t="str">
        <f t="shared" si="271"/>
        <v/>
      </c>
      <c r="IR413" s="27" t="str">
        <f t="shared" si="272"/>
        <v/>
      </c>
      <c r="IS413" s="27" t="str">
        <f t="shared" si="273"/>
        <v/>
      </c>
      <c r="IT413" s="27" t="str">
        <f t="shared" si="274"/>
        <v/>
      </c>
      <c r="IU413" s="27" t="str">
        <f t="shared" si="275"/>
        <v/>
      </c>
      <c r="JP413" s="68" t="s">
        <v>165</v>
      </c>
      <c r="JQ413" s="27"/>
      <c r="JR413" s="27"/>
      <c r="JS413" s="27"/>
      <c r="NU413" s="36" t="s">
        <v>150</v>
      </c>
      <c r="NX413" s="27" t="str">
        <f t="shared" si="217"/>
        <v/>
      </c>
      <c r="NY413" s="27" t="str">
        <f t="shared" si="288"/>
        <v/>
      </c>
      <c r="NZ413" s="27" t="str">
        <f t="shared" si="289"/>
        <v/>
      </c>
      <c r="OA413" s="27" t="str">
        <f t="shared" si="290"/>
        <v/>
      </c>
      <c r="OB413" s="27" t="str">
        <f t="shared" si="291"/>
        <v/>
      </c>
      <c r="OC413" s="27" t="str">
        <f t="shared" si="292"/>
        <v/>
      </c>
      <c r="OD413" s="27" t="str">
        <f t="shared" si="293"/>
        <v/>
      </c>
      <c r="OE413" s="27" t="str">
        <f t="shared" si="294"/>
        <v/>
      </c>
      <c r="OF413" s="27" t="str">
        <f t="shared" si="295"/>
        <v/>
      </c>
      <c r="OG413" s="27" t="str">
        <f t="shared" si="296"/>
        <v/>
      </c>
      <c r="OH413" s="27" t="str">
        <f t="shared" si="297"/>
        <v/>
      </c>
      <c r="OI413" s="27" t="str">
        <f t="shared" si="298"/>
        <v/>
      </c>
      <c r="OJ413" s="27" t="str">
        <f t="shared" si="299"/>
        <v/>
      </c>
      <c r="OK413" s="27" t="str">
        <f t="shared" si="300"/>
        <v/>
      </c>
      <c r="OL413" s="27" t="str">
        <f t="shared" si="301"/>
        <v/>
      </c>
      <c r="OM413" s="27" t="str">
        <f t="shared" si="302"/>
        <v/>
      </c>
      <c r="ON413" s="27" t="str">
        <f t="shared" si="303"/>
        <v/>
      </c>
      <c r="OO413" s="27" t="str">
        <f t="shared" si="304"/>
        <v/>
      </c>
      <c r="OP413" s="27" t="str">
        <f t="shared" si="305"/>
        <v/>
      </c>
      <c r="OQ413" s="27" t="str">
        <f t="shared" si="306"/>
        <v/>
      </c>
      <c r="OR413" s="27" t="str">
        <f t="shared" si="307"/>
        <v/>
      </c>
      <c r="OS413" s="27" t="str">
        <f t="shared" si="308"/>
        <v/>
      </c>
      <c r="OT413" s="27" t="str">
        <f t="shared" si="309"/>
        <v/>
      </c>
      <c r="OU413" s="27">
        <f t="shared" si="310"/>
        <v>0</v>
      </c>
      <c r="OV413" s="27" t="str">
        <f t="shared" si="311"/>
        <v>DPA1*01:03</v>
      </c>
      <c r="OW413" s="27" t="str">
        <f t="shared" si="312"/>
        <v/>
      </c>
      <c r="OX413" s="27" t="str">
        <f t="shared" si="313"/>
        <v/>
      </c>
      <c r="OY413" s="27" t="str">
        <f t="shared" si="314"/>
        <v/>
      </c>
      <c r="OZ413" s="27" t="str">
        <f t="shared" si="276"/>
        <v/>
      </c>
      <c r="PA413" s="27" t="str">
        <f t="shared" si="277"/>
        <v/>
      </c>
      <c r="PB413" s="27" t="str">
        <f t="shared" si="278"/>
        <v/>
      </c>
      <c r="PC413" s="27" t="str">
        <f t="shared" si="279"/>
        <v/>
      </c>
      <c r="PD413" s="27" t="str">
        <f t="shared" si="280"/>
        <v/>
      </c>
      <c r="PE413" s="27" t="str">
        <f t="shared" si="281"/>
        <v/>
      </c>
      <c r="PF413" s="27" t="str">
        <f t="shared" si="282"/>
        <v/>
      </c>
      <c r="PG413" s="27" t="str">
        <f t="shared" si="283"/>
        <v/>
      </c>
      <c r="PH413" s="27" t="str">
        <f t="shared" si="284"/>
        <v/>
      </c>
      <c r="PI413" s="27" t="str">
        <f t="shared" si="285"/>
        <v/>
      </c>
      <c r="PJ413" s="27" t="str">
        <f t="shared" si="286"/>
        <v/>
      </c>
      <c r="PK413" s="27" t="str">
        <f t="shared" si="287"/>
        <v/>
      </c>
      <c r="QO413" s="260" t="s">
        <v>100</v>
      </c>
      <c r="QP413" t="s">
        <v>213</v>
      </c>
      <c r="QQ413" t="s">
        <v>185</v>
      </c>
      <c r="QR413" t="s">
        <v>14</v>
      </c>
      <c r="QS413" t="s">
        <v>197</v>
      </c>
      <c r="QT413" t="s">
        <v>11</v>
      </c>
      <c r="QU413" t="s">
        <v>185</v>
      </c>
      <c r="QW413" t="s">
        <v>22</v>
      </c>
      <c r="QX413" t="s">
        <v>198</v>
      </c>
      <c r="QY413" t="s">
        <v>2</v>
      </c>
      <c r="QZ413" t="s">
        <v>22</v>
      </c>
      <c r="RA413" t="s">
        <v>3</v>
      </c>
      <c r="RC413" t="s">
        <v>12</v>
      </c>
      <c r="RD413" t="s">
        <v>2</v>
      </c>
      <c r="RE413" t="s">
        <v>205</v>
      </c>
      <c r="RF413" t="s">
        <v>7</v>
      </c>
      <c r="RG413" t="s">
        <v>8</v>
      </c>
      <c r="RJ413" t="s">
        <v>7</v>
      </c>
      <c r="RK413" t="s">
        <v>1</v>
      </c>
      <c r="RL413" t="s">
        <v>8</v>
      </c>
      <c r="RO413" t="s">
        <v>201</v>
      </c>
      <c r="RP413" t="s">
        <v>5</v>
      </c>
      <c r="RQ413" t="s">
        <v>5</v>
      </c>
      <c r="RS413" t="s">
        <v>20</v>
      </c>
      <c r="RT413" t="s">
        <v>21</v>
      </c>
      <c r="RU413" t="s">
        <v>7</v>
      </c>
      <c r="RV413" t="s">
        <v>7</v>
      </c>
      <c r="RW413" t="s">
        <v>3</v>
      </c>
      <c r="RY413" t="s">
        <v>22</v>
      </c>
      <c r="RZ413" t="s">
        <v>20</v>
      </c>
      <c r="SA413" t="s">
        <v>211</v>
      </c>
      <c r="SC413" t="s">
        <v>1</v>
      </c>
      <c r="SD413" t="s">
        <v>10</v>
      </c>
      <c r="SE413" t="s">
        <v>14</v>
      </c>
      <c r="SF413" t="s">
        <v>7</v>
      </c>
      <c r="SG413" t="s">
        <v>214</v>
      </c>
      <c r="SI413" t="s">
        <v>5</v>
      </c>
      <c r="SJ413" s="246" t="s">
        <v>279</v>
      </c>
      <c r="SK413" s="260" t="s">
        <v>100</v>
      </c>
      <c r="SL413" s="246" t="s">
        <v>279</v>
      </c>
      <c r="WS413" s="66" t="s">
        <v>102</v>
      </c>
      <c r="WT413" s="27" t="str">
        <f t="shared" si="168"/>
        <v/>
      </c>
      <c r="WU413" s="27" t="str">
        <f t="shared" si="169"/>
        <v/>
      </c>
      <c r="WV413" s="27" t="str">
        <f t="shared" si="170"/>
        <v/>
      </c>
      <c r="WW413" s="27" t="str">
        <f t="shared" si="171"/>
        <v/>
      </c>
      <c r="WX413" s="27" t="str">
        <f t="shared" si="172"/>
        <v/>
      </c>
      <c r="WY413" s="27" t="str">
        <f t="shared" si="173"/>
        <v/>
      </c>
      <c r="WZ413" s="27" t="str">
        <f t="shared" si="174"/>
        <v/>
      </c>
      <c r="XA413" s="27" t="str">
        <f t="shared" si="175"/>
        <v/>
      </c>
      <c r="XB413" s="27" t="str">
        <f t="shared" si="176"/>
        <v/>
      </c>
      <c r="XC413" s="27" t="str">
        <f t="shared" si="177"/>
        <v/>
      </c>
      <c r="XD413" s="27" t="str">
        <f t="shared" si="178"/>
        <v/>
      </c>
      <c r="XE413" s="27" t="str">
        <f t="shared" si="179"/>
        <v/>
      </c>
      <c r="XF413" s="27" t="str">
        <f t="shared" si="180"/>
        <v/>
      </c>
      <c r="XG413" s="27" t="str">
        <f t="shared" si="181"/>
        <v/>
      </c>
      <c r="XH413" s="27" t="str">
        <f t="shared" si="182"/>
        <v/>
      </c>
      <c r="XI413" s="27" t="str">
        <f t="shared" si="183"/>
        <v/>
      </c>
      <c r="XJ413" s="27" t="str">
        <f t="shared" si="184"/>
        <v/>
      </c>
      <c r="XK413" s="27" t="str">
        <f t="shared" si="185"/>
        <v/>
      </c>
      <c r="XL413" s="27" t="str">
        <f t="shared" si="186"/>
        <v/>
      </c>
      <c r="XM413" s="27" t="str">
        <f t="shared" si="187"/>
        <v/>
      </c>
      <c r="XN413" s="27" t="str">
        <f t="shared" si="188"/>
        <v/>
      </c>
      <c r="XO413" s="27" t="str">
        <f t="shared" si="189"/>
        <v/>
      </c>
      <c r="XP413" s="27" t="str">
        <f t="shared" si="190"/>
        <v/>
      </c>
      <c r="XQ413" s="27" t="str">
        <f t="shared" si="191"/>
        <v/>
      </c>
      <c r="XR413" s="27" t="str">
        <f t="shared" si="192"/>
        <v/>
      </c>
      <c r="XS413" s="27" t="str">
        <f t="shared" si="193"/>
        <v/>
      </c>
      <c r="XT413" s="27" t="str">
        <f t="shared" si="194"/>
        <v/>
      </c>
      <c r="XU413" s="27" t="str">
        <f t="shared" si="195"/>
        <v/>
      </c>
      <c r="XV413" s="27" t="str">
        <f t="shared" si="196"/>
        <v/>
      </c>
      <c r="XW413" s="27" t="str">
        <f t="shared" si="197"/>
        <v/>
      </c>
      <c r="XX413" s="27" t="str">
        <f t="shared" si="198"/>
        <v/>
      </c>
      <c r="XY413" s="27" t="str">
        <f t="shared" si="199"/>
        <v/>
      </c>
      <c r="XZ413" s="27" t="str">
        <f t="shared" si="200"/>
        <v/>
      </c>
      <c r="YA413" s="27" t="str">
        <f t="shared" si="201"/>
        <v/>
      </c>
      <c r="YB413" s="27" t="str">
        <f t="shared" si="202"/>
        <v/>
      </c>
      <c r="YC413" s="27" t="str">
        <f t="shared" si="203"/>
        <v/>
      </c>
      <c r="YD413" s="27" t="str">
        <f t="shared" si="204"/>
        <v/>
      </c>
      <c r="YE413" s="27" t="str">
        <f t="shared" si="205"/>
        <v/>
      </c>
      <c r="YF413" s="27" t="str">
        <f t="shared" si="206"/>
        <v/>
      </c>
      <c r="YG413" s="27" t="str">
        <f t="shared" si="207"/>
        <v/>
      </c>
      <c r="YH413" s="27" t="str">
        <f t="shared" si="208"/>
        <v/>
      </c>
      <c r="YI413" s="27" t="str">
        <f t="shared" si="209"/>
        <v/>
      </c>
      <c r="YJ413" s="27" t="str">
        <f t="shared" si="210"/>
        <v/>
      </c>
      <c r="YK413" s="27" t="str">
        <f t="shared" si="211"/>
        <v/>
      </c>
      <c r="YL413" s="27" t="str">
        <f t="shared" si="212"/>
        <v/>
      </c>
      <c r="YM413" s="27" t="str">
        <f t="shared" si="213"/>
        <v/>
      </c>
      <c r="YN413" s="27" t="str">
        <f t="shared" si="214"/>
        <v/>
      </c>
    </row>
    <row r="414" spans="28:664" ht="18" x14ac:dyDescent="0.25">
      <c r="AB414" s="277" t="s">
        <v>274</v>
      </c>
      <c r="GO414" s="12" t="s">
        <v>52</v>
      </c>
      <c r="GP414" s="1" t="s">
        <v>31</v>
      </c>
      <c r="GQ414" s="27" t="str">
        <f t="shared" si="220"/>
        <v/>
      </c>
      <c r="GR414" s="27" t="str">
        <f t="shared" si="221"/>
        <v/>
      </c>
      <c r="GS414" s="27" t="str">
        <f t="shared" si="222"/>
        <v/>
      </c>
      <c r="GT414" s="27" t="str">
        <f t="shared" si="223"/>
        <v/>
      </c>
      <c r="GU414" s="27" t="str">
        <f t="shared" si="224"/>
        <v/>
      </c>
      <c r="GV414" s="27" t="str">
        <f t="shared" si="225"/>
        <v/>
      </c>
      <c r="GW414" s="27" t="str">
        <f t="shared" si="226"/>
        <v/>
      </c>
      <c r="GX414" s="27" t="str">
        <f t="shared" si="227"/>
        <v/>
      </c>
      <c r="GY414" s="27" t="str">
        <f t="shared" si="228"/>
        <v/>
      </c>
      <c r="GZ414" s="27" t="str">
        <f t="shared" si="229"/>
        <v/>
      </c>
      <c r="HA414" s="27" t="str">
        <f t="shared" si="230"/>
        <v/>
      </c>
      <c r="HB414" s="27" t="str">
        <f t="shared" si="231"/>
        <v/>
      </c>
      <c r="HC414" s="27" t="str">
        <f t="shared" si="232"/>
        <v/>
      </c>
      <c r="HD414" s="27" t="str">
        <f t="shared" si="233"/>
        <v/>
      </c>
      <c r="HE414" s="27" t="str">
        <f t="shared" si="234"/>
        <v/>
      </c>
      <c r="HF414" s="27" t="str">
        <f t="shared" si="235"/>
        <v/>
      </c>
      <c r="HG414" s="27" t="str">
        <f t="shared" si="236"/>
        <v/>
      </c>
      <c r="HH414" s="27" t="str">
        <f t="shared" si="237"/>
        <v/>
      </c>
      <c r="HI414" s="27" t="str">
        <f t="shared" si="238"/>
        <v/>
      </c>
      <c r="HJ414" s="27" t="str">
        <f t="shared" si="239"/>
        <v/>
      </c>
      <c r="HK414" s="27" t="str">
        <f t="shared" si="240"/>
        <v/>
      </c>
      <c r="HL414" s="27" t="str">
        <f t="shared" si="241"/>
        <v/>
      </c>
      <c r="HM414" s="27" t="str">
        <f t="shared" si="242"/>
        <v/>
      </c>
      <c r="HN414" s="27" t="str">
        <f t="shared" si="243"/>
        <v/>
      </c>
      <c r="HO414" s="27" t="str">
        <f t="shared" si="244"/>
        <v/>
      </c>
      <c r="HP414" s="27" t="str">
        <f t="shared" si="245"/>
        <v/>
      </c>
      <c r="HQ414" s="27" t="str">
        <f t="shared" si="246"/>
        <v/>
      </c>
      <c r="HR414" s="27" t="str">
        <f t="shared" si="247"/>
        <v/>
      </c>
      <c r="HS414" s="27" t="str">
        <f t="shared" si="248"/>
        <v/>
      </c>
      <c r="HT414" s="27" t="str">
        <f t="shared" si="249"/>
        <v/>
      </c>
      <c r="HU414" s="27" t="str">
        <f t="shared" si="250"/>
        <v/>
      </c>
      <c r="HV414" s="27" t="str">
        <f t="shared" si="251"/>
        <v/>
      </c>
      <c r="HW414" s="27" t="str">
        <f t="shared" si="252"/>
        <v/>
      </c>
      <c r="HX414" s="27" t="str">
        <f t="shared" si="253"/>
        <v/>
      </c>
      <c r="HY414" s="27" t="str">
        <f t="shared" si="254"/>
        <v/>
      </c>
      <c r="HZ414" s="27" t="str">
        <f t="shared" si="255"/>
        <v/>
      </c>
      <c r="IA414" s="27" t="str">
        <f t="shared" si="256"/>
        <v/>
      </c>
      <c r="IB414" s="27" t="str">
        <f t="shared" si="257"/>
        <v/>
      </c>
      <c r="IC414" s="23" t="s">
        <v>64</v>
      </c>
      <c r="ID414" s="27" t="str">
        <f t="shared" si="258"/>
        <v/>
      </c>
      <c r="IE414" s="27" t="str">
        <f t="shared" si="259"/>
        <v/>
      </c>
      <c r="IF414" s="27" t="str">
        <f t="shared" si="260"/>
        <v/>
      </c>
      <c r="IG414" s="27" t="str">
        <f t="shared" si="261"/>
        <v/>
      </c>
      <c r="IH414" s="27" t="str">
        <f t="shared" si="262"/>
        <v/>
      </c>
      <c r="II414" s="27" t="str">
        <f t="shared" si="263"/>
        <v/>
      </c>
      <c r="IJ414" s="27" t="str">
        <f t="shared" si="264"/>
        <v/>
      </c>
      <c r="IK414" s="27" t="str">
        <f t="shared" si="265"/>
        <v/>
      </c>
      <c r="IL414" s="27" t="str">
        <f t="shared" si="266"/>
        <v/>
      </c>
      <c r="IM414" s="27" t="str">
        <f t="shared" si="267"/>
        <v/>
      </c>
      <c r="IN414" s="27" t="str">
        <f t="shared" si="268"/>
        <v/>
      </c>
      <c r="IO414" s="27" t="str">
        <f t="shared" si="269"/>
        <v/>
      </c>
      <c r="IP414" s="27" t="str">
        <f t="shared" si="270"/>
        <v/>
      </c>
      <c r="IQ414" s="27" t="str">
        <f t="shared" si="271"/>
        <v/>
      </c>
      <c r="IR414" s="27" t="str">
        <f t="shared" si="272"/>
        <v/>
      </c>
      <c r="IS414" s="27" t="str">
        <f t="shared" si="273"/>
        <v/>
      </c>
      <c r="IT414" s="27" t="str">
        <f t="shared" si="274"/>
        <v/>
      </c>
      <c r="IU414" s="27" t="str">
        <f t="shared" si="275"/>
        <v/>
      </c>
      <c r="JP414" s="68" t="s">
        <v>167</v>
      </c>
      <c r="JQ414" s="27"/>
      <c r="JR414" s="27"/>
      <c r="JS414" s="27"/>
      <c r="NU414" s="36" t="s">
        <v>152</v>
      </c>
      <c r="NX414" s="27" t="str">
        <f t="shared" si="217"/>
        <v/>
      </c>
      <c r="NY414" s="27" t="str">
        <f t="shared" si="288"/>
        <v/>
      </c>
      <c r="NZ414" s="27" t="str">
        <f t="shared" si="289"/>
        <v/>
      </c>
      <c r="OA414" s="27" t="str">
        <f t="shared" si="290"/>
        <v/>
      </c>
      <c r="OB414" s="27" t="str">
        <f t="shared" si="291"/>
        <v/>
      </c>
      <c r="OC414" s="27" t="str">
        <f t="shared" si="292"/>
        <v/>
      </c>
      <c r="OD414" s="27" t="str">
        <f t="shared" si="293"/>
        <v/>
      </c>
      <c r="OE414" s="27" t="str">
        <f t="shared" si="294"/>
        <v/>
      </c>
      <c r="OF414" s="27" t="str">
        <f t="shared" si="295"/>
        <v/>
      </c>
      <c r="OG414" s="27" t="str">
        <f t="shared" si="296"/>
        <v/>
      </c>
      <c r="OH414" s="27" t="str">
        <f t="shared" si="297"/>
        <v/>
      </c>
      <c r="OI414" s="27" t="str">
        <f t="shared" si="298"/>
        <v/>
      </c>
      <c r="OJ414" s="27" t="str">
        <f t="shared" si="299"/>
        <v/>
      </c>
      <c r="OK414" s="27" t="str">
        <f t="shared" si="300"/>
        <v/>
      </c>
      <c r="OL414" s="27" t="str">
        <f t="shared" si="301"/>
        <v/>
      </c>
      <c r="OM414" s="27" t="str">
        <f t="shared" si="302"/>
        <v/>
      </c>
      <c r="ON414" s="27" t="str">
        <f t="shared" si="303"/>
        <v/>
      </c>
      <c r="OO414" s="27" t="str">
        <f t="shared" si="304"/>
        <v/>
      </c>
      <c r="OP414" s="27" t="str">
        <f t="shared" si="305"/>
        <v/>
      </c>
      <c r="OQ414" s="27" t="str">
        <f t="shared" si="306"/>
        <v/>
      </c>
      <c r="OR414" s="27" t="str">
        <f t="shared" si="307"/>
        <v/>
      </c>
      <c r="OS414" s="27" t="str">
        <f t="shared" si="308"/>
        <v/>
      </c>
      <c r="OT414" s="27" t="str">
        <f t="shared" si="309"/>
        <v/>
      </c>
      <c r="OU414" s="27">
        <f t="shared" si="310"/>
        <v>0</v>
      </c>
      <c r="OV414" s="27" t="str">
        <f t="shared" si="311"/>
        <v>DPA1*02:01</v>
      </c>
      <c r="OW414" s="27" t="str">
        <f t="shared" si="312"/>
        <v/>
      </c>
      <c r="OX414" s="27" t="str">
        <f t="shared" si="313"/>
        <v/>
      </c>
      <c r="OY414" s="27" t="str">
        <f t="shared" si="314"/>
        <v/>
      </c>
      <c r="OZ414" s="27" t="str">
        <f t="shared" si="276"/>
        <v/>
      </c>
      <c r="PA414" s="27" t="str">
        <f t="shared" si="277"/>
        <v/>
      </c>
      <c r="PB414" s="27" t="str">
        <f t="shared" si="278"/>
        <v/>
      </c>
      <c r="PC414" s="27" t="str">
        <f t="shared" si="279"/>
        <v/>
      </c>
      <c r="PD414" s="27" t="str">
        <f t="shared" si="280"/>
        <v/>
      </c>
      <c r="PE414" s="27" t="str">
        <f t="shared" si="281"/>
        <v/>
      </c>
      <c r="PF414" s="27" t="str">
        <f t="shared" si="282"/>
        <v/>
      </c>
      <c r="PG414" s="27" t="str">
        <f t="shared" si="283"/>
        <v/>
      </c>
      <c r="PH414" s="27" t="str">
        <f t="shared" si="284"/>
        <v/>
      </c>
      <c r="PI414" s="27" t="str">
        <f t="shared" si="285"/>
        <v/>
      </c>
      <c r="PJ414" s="27" t="str">
        <f t="shared" si="286"/>
        <v/>
      </c>
      <c r="PK414" s="27" t="str">
        <f t="shared" si="287"/>
        <v/>
      </c>
      <c r="QO414" s="260" t="s">
        <v>102</v>
      </c>
      <c r="QP414" t="s">
        <v>213</v>
      </c>
      <c r="QQ414" t="s">
        <v>185</v>
      </c>
      <c r="QR414" t="s">
        <v>14</v>
      </c>
      <c r="QS414" t="s">
        <v>197</v>
      </c>
      <c r="QT414" t="s">
        <v>11</v>
      </c>
      <c r="QU414" t="s">
        <v>185</v>
      </c>
      <c r="QW414" t="s">
        <v>22</v>
      </c>
      <c r="QX414" t="s">
        <v>198</v>
      </c>
      <c r="QY414" t="s">
        <v>2</v>
      </c>
      <c r="QZ414" t="s">
        <v>22</v>
      </c>
      <c r="RA414" t="s">
        <v>3</v>
      </c>
      <c r="RC414" t="s">
        <v>12</v>
      </c>
      <c r="RD414" t="s">
        <v>2</v>
      </c>
      <c r="RE414" t="s">
        <v>205</v>
      </c>
      <c r="RF414" t="s">
        <v>7</v>
      </c>
      <c r="RG414" t="s">
        <v>8</v>
      </c>
      <c r="RJ414" t="s">
        <v>11</v>
      </c>
      <c r="RK414" t="s">
        <v>2</v>
      </c>
      <c r="RL414" t="s">
        <v>8</v>
      </c>
      <c r="RO414" t="s">
        <v>201</v>
      </c>
      <c r="RP414" t="s">
        <v>5</v>
      </c>
      <c r="RQ414" t="s">
        <v>5</v>
      </c>
      <c r="RS414" t="s">
        <v>20</v>
      </c>
      <c r="RT414" t="s">
        <v>21</v>
      </c>
      <c r="RU414" t="s">
        <v>7</v>
      </c>
      <c r="RV414" t="s">
        <v>7</v>
      </c>
      <c r="RW414" t="s">
        <v>3</v>
      </c>
      <c r="RY414" t="s">
        <v>22</v>
      </c>
      <c r="RZ414" t="s">
        <v>20</v>
      </c>
      <c r="SA414" t="s">
        <v>211</v>
      </c>
      <c r="SC414" t="s">
        <v>1</v>
      </c>
      <c r="SD414" t="s">
        <v>10</v>
      </c>
      <c r="SE414" t="s">
        <v>14</v>
      </c>
      <c r="SF414" t="s">
        <v>7</v>
      </c>
      <c r="SG414" t="s">
        <v>214</v>
      </c>
      <c r="SI414" t="s">
        <v>5</v>
      </c>
      <c r="SJ414" s="246" t="s">
        <v>279</v>
      </c>
      <c r="SK414" s="260" t="s">
        <v>102</v>
      </c>
      <c r="SL414" s="246" t="s">
        <v>279</v>
      </c>
      <c r="WS414" s="66" t="s">
        <v>103</v>
      </c>
      <c r="WT414" s="27" t="str">
        <f t="shared" si="168"/>
        <v/>
      </c>
      <c r="WU414" s="27" t="str">
        <f t="shared" si="169"/>
        <v/>
      </c>
      <c r="WV414" s="27" t="str">
        <f t="shared" si="170"/>
        <v/>
      </c>
      <c r="WW414" s="27" t="str">
        <f t="shared" si="171"/>
        <v/>
      </c>
      <c r="WX414" s="27" t="str">
        <f t="shared" si="172"/>
        <v/>
      </c>
      <c r="WY414" s="27" t="str">
        <f t="shared" si="173"/>
        <v/>
      </c>
      <c r="WZ414" s="27" t="str">
        <f t="shared" si="174"/>
        <v/>
      </c>
      <c r="XA414" s="27" t="str">
        <f t="shared" si="175"/>
        <v/>
      </c>
      <c r="XB414" s="27" t="str">
        <f t="shared" si="176"/>
        <v/>
      </c>
      <c r="XC414" s="27" t="str">
        <f t="shared" si="177"/>
        <v/>
      </c>
      <c r="XD414" s="27" t="str">
        <f t="shared" si="178"/>
        <v/>
      </c>
      <c r="XE414" s="27" t="str">
        <f t="shared" si="179"/>
        <v/>
      </c>
      <c r="XF414" s="27" t="str">
        <f t="shared" si="180"/>
        <v/>
      </c>
      <c r="XG414" s="27" t="str">
        <f t="shared" si="181"/>
        <v/>
      </c>
      <c r="XH414" s="27" t="str">
        <f t="shared" si="182"/>
        <v/>
      </c>
      <c r="XI414" s="27" t="str">
        <f t="shared" si="183"/>
        <v/>
      </c>
      <c r="XJ414" s="27" t="str">
        <f t="shared" si="184"/>
        <v/>
      </c>
      <c r="XK414" s="27" t="str">
        <f t="shared" si="185"/>
        <v/>
      </c>
      <c r="XL414" s="27" t="str">
        <f t="shared" si="186"/>
        <v/>
      </c>
      <c r="XM414" s="27" t="str">
        <f t="shared" si="187"/>
        <v/>
      </c>
      <c r="XN414" s="27" t="str">
        <f t="shared" si="188"/>
        <v/>
      </c>
      <c r="XO414" s="27" t="str">
        <f t="shared" si="189"/>
        <v/>
      </c>
      <c r="XP414" s="27" t="str">
        <f t="shared" si="190"/>
        <v/>
      </c>
      <c r="XQ414" s="27" t="str">
        <f t="shared" si="191"/>
        <v/>
      </c>
      <c r="XR414" s="27" t="str">
        <f t="shared" si="192"/>
        <v/>
      </c>
      <c r="XS414" s="27" t="str">
        <f t="shared" si="193"/>
        <v/>
      </c>
      <c r="XT414" s="27" t="str">
        <f t="shared" si="194"/>
        <v/>
      </c>
      <c r="XU414" s="27" t="str">
        <f t="shared" si="195"/>
        <v/>
      </c>
      <c r="XV414" s="27" t="str">
        <f t="shared" si="196"/>
        <v/>
      </c>
      <c r="XW414" s="27" t="str">
        <f t="shared" si="197"/>
        <v/>
      </c>
      <c r="XX414" s="27" t="str">
        <f t="shared" si="198"/>
        <v/>
      </c>
      <c r="XY414" s="27" t="str">
        <f t="shared" si="199"/>
        <v/>
      </c>
      <c r="XZ414" s="27" t="str">
        <f t="shared" si="200"/>
        <v/>
      </c>
      <c r="YA414" s="27" t="str">
        <f t="shared" si="201"/>
        <v/>
      </c>
      <c r="YB414" s="27" t="str">
        <f t="shared" si="202"/>
        <v/>
      </c>
      <c r="YC414" s="27" t="str">
        <f t="shared" si="203"/>
        <v/>
      </c>
      <c r="YD414" s="27" t="str">
        <f t="shared" si="204"/>
        <v/>
      </c>
      <c r="YE414" s="27" t="str">
        <f t="shared" si="205"/>
        <v/>
      </c>
      <c r="YF414" s="27" t="str">
        <f t="shared" si="206"/>
        <v/>
      </c>
      <c r="YG414" s="27" t="str">
        <f t="shared" si="207"/>
        <v/>
      </c>
      <c r="YH414" s="27" t="str">
        <f t="shared" si="208"/>
        <v/>
      </c>
      <c r="YI414" s="27" t="str">
        <f t="shared" si="209"/>
        <v/>
      </c>
      <c r="YJ414" s="27" t="str">
        <f t="shared" si="210"/>
        <v/>
      </c>
      <c r="YK414" s="27" t="str">
        <f t="shared" si="211"/>
        <v/>
      </c>
      <c r="YL414" s="27" t="str">
        <f t="shared" si="212"/>
        <v/>
      </c>
      <c r="YM414" s="27" t="str">
        <f t="shared" si="213"/>
        <v/>
      </c>
      <c r="YN414" s="27" t="str">
        <f t="shared" si="214"/>
        <v/>
      </c>
    </row>
    <row r="415" spans="28:664" ht="19.5" x14ac:dyDescent="0.35">
      <c r="AB415" s="277" t="s">
        <v>37</v>
      </c>
      <c r="GO415" s="13" t="s">
        <v>53</v>
      </c>
      <c r="GP415" s="1" t="s">
        <v>32</v>
      </c>
      <c r="GQ415" s="27" t="str">
        <f t="shared" si="220"/>
        <v>P</v>
      </c>
      <c r="GR415" s="27" t="str">
        <f t="shared" si="221"/>
        <v>L</v>
      </c>
      <c r="GS415" s="27" t="str">
        <f t="shared" si="222"/>
        <v>A</v>
      </c>
      <c r="GT415" s="27" t="str">
        <f t="shared" si="223"/>
        <v/>
      </c>
      <c r="GU415" s="27" t="str">
        <f t="shared" si="224"/>
        <v/>
      </c>
      <c r="GV415" s="27" t="str">
        <f t="shared" si="225"/>
        <v>Y</v>
      </c>
      <c r="GW415" s="27" t="str">
        <f t="shared" si="226"/>
        <v/>
      </c>
      <c r="GX415" s="27" t="str">
        <f t="shared" si="227"/>
        <v>D</v>
      </c>
      <c r="GY415" s="27" t="str">
        <f t="shared" si="228"/>
        <v/>
      </c>
      <c r="GZ415" s="27" t="str">
        <f t="shared" si="229"/>
        <v/>
      </c>
      <c r="HA415" s="27" t="str">
        <f t="shared" si="230"/>
        <v/>
      </c>
      <c r="HB415" s="27" t="str">
        <f t="shared" si="231"/>
        <v/>
      </c>
      <c r="HC415" s="27" t="str">
        <f t="shared" si="232"/>
        <v/>
      </c>
      <c r="HD415" s="27" t="str">
        <f t="shared" si="233"/>
        <v/>
      </c>
      <c r="HE415" s="27" t="str">
        <f t="shared" si="234"/>
        <v/>
      </c>
      <c r="HF415" s="27" t="str">
        <f t="shared" si="235"/>
        <v/>
      </c>
      <c r="HG415" s="27" t="str">
        <f t="shared" si="236"/>
        <v/>
      </c>
      <c r="HH415" s="27" t="str">
        <f t="shared" si="237"/>
        <v/>
      </c>
      <c r="HI415" s="27" t="str">
        <f t="shared" si="238"/>
        <v>D</v>
      </c>
      <c r="HJ415" s="27" t="str">
        <f t="shared" si="239"/>
        <v>I</v>
      </c>
      <c r="HK415" s="27" t="str">
        <f t="shared" si="240"/>
        <v/>
      </c>
      <c r="HL415" s="27" t="str">
        <f t="shared" si="241"/>
        <v/>
      </c>
      <c r="HM415" s="27" t="str">
        <f t="shared" si="242"/>
        <v/>
      </c>
      <c r="HN415" s="27" t="str">
        <f t="shared" si="243"/>
        <v/>
      </c>
      <c r="HO415" s="27" t="str">
        <f t="shared" si="244"/>
        <v/>
      </c>
      <c r="HP415" s="27" t="str">
        <f t="shared" si="245"/>
        <v/>
      </c>
      <c r="HQ415" s="27" t="str">
        <f t="shared" si="246"/>
        <v/>
      </c>
      <c r="HR415" s="27" t="str">
        <f t="shared" si="247"/>
        <v/>
      </c>
      <c r="HS415" s="27" t="str">
        <f t="shared" si="248"/>
        <v/>
      </c>
      <c r="HT415" s="27" t="str">
        <f t="shared" si="249"/>
        <v/>
      </c>
      <c r="HU415" s="27" t="str">
        <f t="shared" si="250"/>
        <v/>
      </c>
      <c r="HV415" s="27" t="str">
        <f t="shared" si="251"/>
        <v/>
      </c>
      <c r="HW415" s="27" t="str">
        <f t="shared" si="252"/>
        <v/>
      </c>
      <c r="HX415" s="27" t="str">
        <f t="shared" si="253"/>
        <v/>
      </c>
      <c r="HY415" s="27" t="str">
        <f t="shared" si="254"/>
        <v/>
      </c>
      <c r="HZ415" s="27" t="str">
        <f t="shared" si="255"/>
        <v/>
      </c>
      <c r="IA415" s="27" t="str">
        <f t="shared" si="256"/>
        <v>H</v>
      </c>
      <c r="IB415" s="27" t="str">
        <f t="shared" si="257"/>
        <v/>
      </c>
      <c r="IC415" s="19" t="s">
        <v>65</v>
      </c>
      <c r="ID415" s="27" t="str">
        <f t="shared" si="258"/>
        <v/>
      </c>
      <c r="IE415" s="27" t="str">
        <f t="shared" si="259"/>
        <v/>
      </c>
      <c r="IF415" s="27" t="str">
        <f t="shared" si="260"/>
        <v/>
      </c>
      <c r="IG415" s="27" t="str">
        <f t="shared" si="261"/>
        <v/>
      </c>
      <c r="IH415" s="27" t="str">
        <f t="shared" si="262"/>
        <v/>
      </c>
      <c r="II415" s="27" t="str">
        <f t="shared" si="263"/>
        <v/>
      </c>
      <c r="IJ415" s="27" t="str">
        <f t="shared" si="264"/>
        <v/>
      </c>
      <c r="IK415" s="27" t="str">
        <f t="shared" si="265"/>
        <v/>
      </c>
      <c r="IL415" s="27" t="str">
        <f t="shared" si="266"/>
        <v/>
      </c>
      <c r="IM415" s="27" t="str">
        <f t="shared" si="267"/>
        <v/>
      </c>
      <c r="IN415" s="27" t="str">
        <f t="shared" si="268"/>
        <v/>
      </c>
      <c r="IO415" s="27" t="str">
        <f t="shared" si="269"/>
        <v/>
      </c>
      <c r="IP415" s="27" t="str">
        <f t="shared" si="270"/>
        <v/>
      </c>
      <c r="IQ415" s="27" t="str">
        <f t="shared" si="271"/>
        <v/>
      </c>
      <c r="IR415" s="27" t="str">
        <f t="shared" si="272"/>
        <v/>
      </c>
      <c r="IS415" s="27" t="str">
        <f t="shared" si="273"/>
        <v/>
      </c>
      <c r="IT415" s="27" t="str">
        <f t="shared" si="274"/>
        <v/>
      </c>
      <c r="IU415" s="27" t="str">
        <f t="shared" si="275"/>
        <v/>
      </c>
      <c r="JP415" s="68" t="s">
        <v>169</v>
      </c>
      <c r="JQ415" s="27"/>
      <c r="JR415" s="27"/>
      <c r="JS415" s="27"/>
      <c r="NU415" s="34" t="s">
        <v>154</v>
      </c>
      <c r="NX415" s="27" t="str">
        <f t="shared" si="217"/>
        <v/>
      </c>
      <c r="NY415" s="27" t="str">
        <f t="shared" si="288"/>
        <v/>
      </c>
      <c r="NZ415" s="27" t="str">
        <f t="shared" si="289"/>
        <v/>
      </c>
      <c r="OA415" s="27" t="str">
        <f t="shared" si="290"/>
        <v/>
      </c>
      <c r="OB415" s="27" t="str">
        <f t="shared" si="291"/>
        <v/>
      </c>
      <c r="OC415" s="27" t="str">
        <f t="shared" si="292"/>
        <v/>
      </c>
      <c r="OD415" s="27" t="str">
        <f t="shared" si="293"/>
        <v/>
      </c>
      <c r="OE415" s="27" t="str">
        <f t="shared" si="294"/>
        <v/>
      </c>
      <c r="OF415" s="27" t="str">
        <f t="shared" si="295"/>
        <v/>
      </c>
      <c r="OG415" s="27" t="str">
        <f t="shared" si="296"/>
        <v/>
      </c>
      <c r="OH415" s="27" t="str">
        <f t="shared" si="297"/>
        <v/>
      </c>
      <c r="OI415" s="27" t="str">
        <f t="shared" si="298"/>
        <v/>
      </c>
      <c r="OJ415" s="27" t="str">
        <f t="shared" si="299"/>
        <v/>
      </c>
      <c r="OK415" s="27" t="str">
        <f t="shared" si="300"/>
        <v/>
      </c>
      <c r="OL415" s="27" t="str">
        <f t="shared" si="301"/>
        <v/>
      </c>
      <c r="OM415" s="27" t="str">
        <f t="shared" si="302"/>
        <v/>
      </c>
      <c r="ON415" s="27" t="str">
        <f t="shared" si="303"/>
        <v/>
      </c>
      <c r="OO415" s="27" t="str">
        <f t="shared" si="304"/>
        <v/>
      </c>
      <c r="OP415" s="27" t="str">
        <f t="shared" si="305"/>
        <v/>
      </c>
      <c r="OQ415" s="27" t="str">
        <f t="shared" si="306"/>
        <v/>
      </c>
      <c r="OR415" s="27" t="str">
        <f t="shared" si="307"/>
        <v/>
      </c>
      <c r="OS415" s="27" t="str">
        <f t="shared" si="308"/>
        <v/>
      </c>
      <c r="OT415" s="27" t="str">
        <f t="shared" si="309"/>
        <v/>
      </c>
      <c r="OU415" s="27">
        <f t="shared" si="310"/>
        <v>0</v>
      </c>
      <c r="OV415" s="27" t="str">
        <f t="shared" si="311"/>
        <v>DPA1*02:02</v>
      </c>
      <c r="OW415" s="27" t="str">
        <f t="shared" si="312"/>
        <v/>
      </c>
      <c r="OX415" s="27" t="str">
        <f t="shared" si="313"/>
        <v/>
      </c>
      <c r="OY415" s="27" t="str">
        <f t="shared" si="314"/>
        <v/>
      </c>
      <c r="OZ415" s="27" t="str">
        <f t="shared" si="276"/>
        <v/>
      </c>
      <c r="PA415" s="27" t="str">
        <f t="shared" si="277"/>
        <v/>
      </c>
      <c r="PB415" s="27" t="str">
        <f t="shared" si="278"/>
        <v/>
      </c>
      <c r="PC415" s="27" t="str">
        <f t="shared" si="279"/>
        <v/>
      </c>
      <c r="PD415" s="27" t="str">
        <f t="shared" si="280"/>
        <v/>
      </c>
      <c r="PE415" s="27" t="str">
        <f t="shared" si="281"/>
        <v/>
      </c>
      <c r="PF415" s="27" t="str">
        <f t="shared" si="282"/>
        <v/>
      </c>
      <c r="PG415" s="27" t="str">
        <f t="shared" si="283"/>
        <v/>
      </c>
      <c r="PH415" s="27" t="str">
        <f t="shared" si="284"/>
        <v/>
      </c>
      <c r="PI415" s="27" t="str">
        <f t="shared" si="285"/>
        <v/>
      </c>
      <c r="PJ415" s="27" t="str">
        <f t="shared" si="286"/>
        <v/>
      </c>
      <c r="PK415" s="27" t="str">
        <f t="shared" si="287"/>
        <v/>
      </c>
      <c r="QO415" s="260" t="s">
        <v>103</v>
      </c>
      <c r="QP415" t="s">
        <v>195</v>
      </c>
      <c r="QQ415" t="s">
        <v>20</v>
      </c>
      <c r="QR415" t="s">
        <v>20</v>
      </c>
      <c r="QS415" t="s">
        <v>197</v>
      </c>
      <c r="QT415" t="s">
        <v>7</v>
      </c>
      <c r="QU415" t="s">
        <v>185</v>
      </c>
      <c r="QW415" t="s">
        <v>22</v>
      </c>
      <c r="QX415" t="s">
        <v>198</v>
      </c>
      <c r="QY415" t="s">
        <v>6</v>
      </c>
      <c r="QZ415" t="s">
        <v>20</v>
      </c>
      <c r="RA415" t="s">
        <v>5</v>
      </c>
      <c r="RC415" t="s">
        <v>7</v>
      </c>
      <c r="RD415" t="s">
        <v>22</v>
      </c>
      <c r="RE415" t="s">
        <v>2</v>
      </c>
      <c r="RF415" t="s">
        <v>10</v>
      </c>
      <c r="RG415" t="s">
        <v>2</v>
      </c>
      <c r="RH415" t="s">
        <v>268</v>
      </c>
      <c r="RJ415" t="s">
        <v>11</v>
      </c>
      <c r="RK415" t="s">
        <v>2</v>
      </c>
      <c r="RL415" t="s">
        <v>6</v>
      </c>
      <c r="RO415" t="s">
        <v>201</v>
      </c>
      <c r="RP415" t="s">
        <v>5</v>
      </c>
      <c r="RQ415" t="s">
        <v>5</v>
      </c>
      <c r="RS415" t="s">
        <v>10</v>
      </c>
      <c r="RT415" t="s">
        <v>21</v>
      </c>
      <c r="RV415" t="s">
        <v>7</v>
      </c>
      <c r="RW415" t="s">
        <v>3</v>
      </c>
      <c r="RY415" t="s">
        <v>14</v>
      </c>
      <c r="RZ415" t="s">
        <v>185</v>
      </c>
      <c r="SB415" t="s">
        <v>1</v>
      </c>
      <c r="SC415" t="s">
        <v>205</v>
      </c>
      <c r="SD415" t="s">
        <v>15</v>
      </c>
      <c r="SE415" t="s">
        <v>14</v>
      </c>
      <c r="SF415" t="s">
        <v>7</v>
      </c>
      <c r="SG415" t="s">
        <v>214</v>
      </c>
      <c r="SI415" t="s">
        <v>5</v>
      </c>
      <c r="SJ415" s="246" t="s">
        <v>279</v>
      </c>
      <c r="SK415" s="260" t="s">
        <v>103</v>
      </c>
      <c r="SL415" s="246" t="s">
        <v>279</v>
      </c>
      <c r="WS415" s="66" t="s">
        <v>105</v>
      </c>
      <c r="WT415" s="27" t="str">
        <f t="shared" si="168"/>
        <v/>
      </c>
      <c r="WU415" s="27" t="str">
        <f t="shared" si="169"/>
        <v/>
      </c>
      <c r="WV415" s="27" t="str">
        <f t="shared" si="170"/>
        <v/>
      </c>
      <c r="WW415" s="27" t="str">
        <f t="shared" si="171"/>
        <v/>
      </c>
      <c r="WX415" s="27" t="str">
        <f t="shared" si="172"/>
        <v/>
      </c>
      <c r="WY415" s="27" t="str">
        <f t="shared" si="173"/>
        <v/>
      </c>
      <c r="WZ415" s="27" t="str">
        <f t="shared" si="174"/>
        <v/>
      </c>
      <c r="XA415" s="27" t="str">
        <f t="shared" si="175"/>
        <v/>
      </c>
      <c r="XB415" s="27" t="str">
        <f t="shared" si="176"/>
        <v/>
      </c>
      <c r="XC415" s="27" t="str">
        <f t="shared" si="177"/>
        <v/>
      </c>
      <c r="XD415" s="27" t="str">
        <f t="shared" si="178"/>
        <v/>
      </c>
      <c r="XE415" s="27" t="str">
        <f t="shared" si="179"/>
        <v/>
      </c>
      <c r="XF415" s="27" t="str">
        <f t="shared" si="180"/>
        <v/>
      </c>
      <c r="XG415" s="27" t="str">
        <f t="shared" si="181"/>
        <v/>
      </c>
      <c r="XH415" s="27" t="str">
        <f t="shared" si="182"/>
        <v/>
      </c>
      <c r="XI415" s="27" t="str">
        <f t="shared" si="183"/>
        <v/>
      </c>
      <c r="XJ415" s="27" t="str">
        <f t="shared" si="184"/>
        <v/>
      </c>
      <c r="XK415" s="27" t="str">
        <f t="shared" si="185"/>
        <v/>
      </c>
      <c r="XL415" s="27" t="str">
        <f t="shared" si="186"/>
        <v/>
      </c>
      <c r="XM415" s="27" t="str">
        <f t="shared" si="187"/>
        <v/>
      </c>
      <c r="XN415" s="27" t="str">
        <f t="shared" si="188"/>
        <v/>
      </c>
      <c r="XO415" s="27" t="str">
        <f t="shared" si="189"/>
        <v/>
      </c>
      <c r="XP415" s="27" t="str">
        <f t="shared" si="190"/>
        <v/>
      </c>
      <c r="XQ415" s="27" t="str">
        <f t="shared" si="191"/>
        <v/>
      </c>
      <c r="XR415" s="27" t="str">
        <f t="shared" si="192"/>
        <v/>
      </c>
      <c r="XS415" s="27" t="str">
        <f t="shared" si="193"/>
        <v/>
      </c>
      <c r="XT415" s="27" t="str">
        <f t="shared" si="194"/>
        <v/>
      </c>
      <c r="XU415" s="27" t="str">
        <f t="shared" si="195"/>
        <v/>
      </c>
      <c r="XV415" s="27" t="str">
        <f t="shared" si="196"/>
        <v/>
      </c>
      <c r="XW415" s="27" t="str">
        <f t="shared" si="197"/>
        <v/>
      </c>
      <c r="XX415" s="27" t="str">
        <f t="shared" si="198"/>
        <v/>
      </c>
      <c r="XY415" s="27" t="str">
        <f t="shared" si="199"/>
        <v/>
      </c>
      <c r="XZ415" s="27" t="str">
        <f t="shared" si="200"/>
        <v/>
      </c>
      <c r="YA415" s="27" t="str">
        <f t="shared" si="201"/>
        <v/>
      </c>
      <c r="YB415" s="27" t="str">
        <f t="shared" si="202"/>
        <v/>
      </c>
      <c r="YC415" s="27" t="str">
        <f t="shared" si="203"/>
        <v/>
      </c>
      <c r="YD415" s="27" t="str">
        <f t="shared" si="204"/>
        <v/>
      </c>
      <c r="YE415" s="27" t="str">
        <f t="shared" si="205"/>
        <v/>
      </c>
      <c r="YF415" s="27" t="str">
        <f t="shared" si="206"/>
        <v/>
      </c>
      <c r="YG415" s="27" t="str">
        <f t="shared" si="207"/>
        <v/>
      </c>
      <c r="YH415" s="27" t="str">
        <f t="shared" si="208"/>
        <v/>
      </c>
      <c r="YI415" s="27" t="str">
        <f t="shared" si="209"/>
        <v/>
      </c>
      <c r="YJ415" s="27" t="str">
        <f t="shared" si="210"/>
        <v/>
      </c>
      <c r="YK415" s="27" t="str">
        <f t="shared" si="211"/>
        <v/>
      </c>
      <c r="YL415" s="27" t="str">
        <f t="shared" si="212"/>
        <v/>
      </c>
      <c r="YM415" s="27" t="str">
        <f t="shared" si="213"/>
        <v/>
      </c>
      <c r="YN415" s="27" t="str">
        <f t="shared" si="214"/>
        <v/>
      </c>
    </row>
    <row r="416" spans="28:664" ht="18" x14ac:dyDescent="0.25">
      <c r="GO416" s="14" t="s">
        <v>53</v>
      </c>
      <c r="GP416" s="1" t="s">
        <v>34</v>
      </c>
      <c r="GQ416" s="27" t="str">
        <f t="shared" si="220"/>
        <v/>
      </c>
      <c r="GR416" s="27" t="str">
        <f t="shared" si="221"/>
        <v/>
      </c>
      <c r="GS416" s="27" t="str">
        <f t="shared" si="222"/>
        <v/>
      </c>
      <c r="GT416" s="27" t="str">
        <f t="shared" si="223"/>
        <v/>
      </c>
      <c r="GU416" s="27" t="str">
        <f t="shared" si="224"/>
        <v/>
      </c>
      <c r="GV416" s="27" t="str">
        <f t="shared" si="225"/>
        <v/>
      </c>
      <c r="GW416" s="27" t="str">
        <f t="shared" si="226"/>
        <v/>
      </c>
      <c r="GX416" s="27" t="str">
        <f t="shared" si="227"/>
        <v/>
      </c>
      <c r="GY416" s="27" t="str">
        <f t="shared" si="228"/>
        <v/>
      </c>
      <c r="GZ416" s="27" t="str">
        <f t="shared" si="229"/>
        <v/>
      </c>
      <c r="HA416" s="27" t="str">
        <f t="shared" si="230"/>
        <v/>
      </c>
      <c r="HB416" s="27" t="str">
        <f t="shared" si="231"/>
        <v/>
      </c>
      <c r="HC416" s="27" t="str">
        <f t="shared" si="232"/>
        <v/>
      </c>
      <c r="HD416" s="27" t="str">
        <f t="shared" si="233"/>
        <v/>
      </c>
      <c r="HE416" s="27" t="str">
        <f t="shared" si="234"/>
        <v/>
      </c>
      <c r="HF416" s="27" t="str">
        <f t="shared" si="235"/>
        <v/>
      </c>
      <c r="HG416" s="27" t="str">
        <f t="shared" si="236"/>
        <v/>
      </c>
      <c r="HH416" s="27" t="str">
        <f t="shared" si="237"/>
        <v/>
      </c>
      <c r="HI416" s="27" t="str">
        <f t="shared" si="238"/>
        <v/>
      </c>
      <c r="HJ416" s="27" t="str">
        <f t="shared" si="239"/>
        <v/>
      </c>
      <c r="HK416" s="27" t="str">
        <f t="shared" si="240"/>
        <v/>
      </c>
      <c r="HL416" s="27" t="str">
        <f t="shared" si="241"/>
        <v/>
      </c>
      <c r="HM416" s="27" t="str">
        <f t="shared" si="242"/>
        <v/>
      </c>
      <c r="HN416" s="27" t="str">
        <f t="shared" si="243"/>
        <v/>
      </c>
      <c r="HO416" s="27" t="str">
        <f t="shared" si="244"/>
        <v/>
      </c>
      <c r="HP416" s="27" t="str">
        <f t="shared" si="245"/>
        <v/>
      </c>
      <c r="HQ416" s="27" t="str">
        <f t="shared" si="246"/>
        <v/>
      </c>
      <c r="HR416" s="27" t="str">
        <f t="shared" si="247"/>
        <v/>
      </c>
      <c r="HS416" s="27" t="str">
        <f t="shared" si="248"/>
        <v/>
      </c>
      <c r="HT416" s="27" t="str">
        <f t="shared" si="249"/>
        <v/>
      </c>
      <c r="HU416" s="27" t="str">
        <f t="shared" si="250"/>
        <v/>
      </c>
      <c r="HV416" s="27" t="str">
        <f t="shared" si="251"/>
        <v/>
      </c>
      <c r="HW416" s="27" t="str">
        <f t="shared" si="252"/>
        <v/>
      </c>
      <c r="HX416" s="27" t="str">
        <f t="shared" si="253"/>
        <v/>
      </c>
      <c r="HY416" s="27" t="str">
        <f t="shared" si="254"/>
        <v/>
      </c>
      <c r="HZ416" s="27" t="str">
        <f t="shared" si="255"/>
        <v/>
      </c>
      <c r="IA416" s="27" t="str">
        <f t="shared" si="256"/>
        <v/>
      </c>
      <c r="IB416" s="27" t="str">
        <f t="shared" si="257"/>
        <v/>
      </c>
      <c r="IC416" s="23" t="s">
        <v>64</v>
      </c>
      <c r="ID416" s="27" t="str">
        <f t="shared" si="258"/>
        <v/>
      </c>
      <c r="IE416" s="27" t="str">
        <f t="shared" si="259"/>
        <v/>
      </c>
      <c r="IF416" s="27" t="str">
        <f t="shared" si="260"/>
        <v/>
      </c>
      <c r="IG416" s="27" t="str">
        <f t="shared" si="261"/>
        <v/>
      </c>
      <c r="IH416" s="27" t="str">
        <f t="shared" si="262"/>
        <v/>
      </c>
      <c r="II416" s="27" t="str">
        <f t="shared" si="263"/>
        <v/>
      </c>
      <c r="IJ416" s="27" t="str">
        <f t="shared" si="264"/>
        <v/>
      </c>
      <c r="IK416" s="27" t="str">
        <f t="shared" si="265"/>
        <v/>
      </c>
      <c r="IL416" s="27" t="str">
        <f t="shared" si="266"/>
        <v/>
      </c>
      <c r="IM416" s="27" t="str">
        <f t="shared" si="267"/>
        <v/>
      </c>
      <c r="IN416" s="27" t="str">
        <f t="shared" si="268"/>
        <v/>
      </c>
      <c r="IO416" s="27" t="str">
        <f t="shared" si="269"/>
        <v/>
      </c>
      <c r="IP416" s="27" t="str">
        <f t="shared" si="270"/>
        <v/>
      </c>
      <c r="IQ416" s="27" t="str">
        <f t="shared" si="271"/>
        <v/>
      </c>
      <c r="IR416" s="27" t="str">
        <f t="shared" si="272"/>
        <v/>
      </c>
      <c r="IS416" s="27" t="str">
        <f t="shared" si="273"/>
        <v/>
      </c>
      <c r="IT416" s="27" t="str">
        <f t="shared" si="274"/>
        <v/>
      </c>
      <c r="IU416" s="27" t="str">
        <f t="shared" si="275"/>
        <v/>
      </c>
      <c r="JP416" s="68" t="s">
        <v>172</v>
      </c>
      <c r="JQ416" s="27"/>
      <c r="JR416" s="27"/>
      <c r="JS416" s="27"/>
      <c r="NU416" s="34" t="s">
        <v>156</v>
      </c>
      <c r="NX416" s="27" t="str">
        <f t="shared" si="217"/>
        <v/>
      </c>
      <c r="NY416" s="27" t="str">
        <f t="shared" si="288"/>
        <v/>
      </c>
      <c r="NZ416" s="27" t="str">
        <f t="shared" si="289"/>
        <v/>
      </c>
      <c r="OA416" s="27" t="str">
        <f t="shared" si="290"/>
        <v/>
      </c>
      <c r="OB416" s="27" t="str">
        <f t="shared" si="291"/>
        <v/>
      </c>
      <c r="OC416" s="27" t="str">
        <f t="shared" si="292"/>
        <v/>
      </c>
      <c r="OD416" s="27" t="str">
        <f t="shared" si="293"/>
        <v/>
      </c>
      <c r="OE416" s="27" t="str">
        <f t="shared" si="294"/>
        <v/>
      </c>
      <c r="OF416" s="27" t="str">
        <f t="shared" si="295"/>
        <v/>
      </c>
      <c r="OG416" s="27" t="str">
        <f t="shared" si="296"/>
        <v/>
      </c>
      <c r="OH416" s="27" t="str">
        <f t="shared" si="297"/>
        <v/>
      </c>
      <c r="OI416" s="27" t="str">
        <f t="shared" si="298"/>
        <v/>
      </c>
      <c r="OJ416" s="27" t="str">
        <f t="shared" si="299"/>
        <v/>
      </c>
      <c r="OK416" s="27" t="str">
        <f t="shared" si="300"/>
        <v/>
      </c>
      <c r="OL416" s="27" t="str">
        <f t="shared" si="301"/>
        <v/>
      </c>
      <c r="OM416" s="27" t="str">
        <f t="shared" si="302"/>
        <v/>
      </c>
      <c r="ON416" s="27" t="str">
        <f t="shared" si="303"/>
        <v/>
      </c>
      <c r="OO416" s="27" t="str">
        <f t="shared" si="304"/>
        <v/>
      </c>
      <c r="OP416" s="27" t="str">
        <f t="shared" si="305"/>
        <v/>
      </c>
      <c r="OQ416" s="27" t="str">
        <f t="shared" si="306"/>
        <v/>
      </c>
      <c r="OR416" s="27" t="str">
        <f t="shared" si="307"/>
        <v/>
      </c>
      <c r="OS416" s="27" t="str">
        <f t="shared" si="308"/>
        <v/>
      </c>
      <c r="OT416" s="27" t="str">
        <f t="shared" si="309"/>
        <v/>
      </c>
      <c r="OU416" s="27">
        <f t="shared" si="310"/>
        <v>0</v>
      </c>
      <c r="OV416" s="27" t="str">
        <f t="shared" si="311"/>
        <v>DPA1*01:03</v>
      </c>
      <c r="OW416" s="27" t="str">
        <f t="shared" si="312"/>
        <v/>
      </c>
      <c r="OX416" s="27" t="str">
        <f t="shared" si="313"/>
        <v/>
      </c>
      <c r="OY416" s="27" t="str">
        <f t="shared" si="314"/>
        <v/>
      </c>
      <c r="OZ416" s="27" t="str">
        <f t="shared" si="276"/>
        <v/>
      </c>
      <c r="PA416" s="27" t="str">
        <f t="shared" si="277"/>
        <v/>
      </c>
      <c r="PB416" s="27" t="str">
        <f t="shared" si="278"/>
        <v/>
      </c>
      <c r="PC416" s="27" t="str">
        <f t="shared" si="279"/>
        <v/>
      </c>
      <c r="PD416" s="27" t="str">
        <f t="shared" si="280"/>
        <v/>
      </c>
      <c r="PE416" s="27" t="str">
        <f t="shared" si="281"/>
        <v/>
      </c>
      <c r="PF416" s="27" t="str">
        <f t="shared" si="282"/>
        <v/>
      </c>
      <c r="PG416" s="27" t="str">
        <f t="shared" si="283"/>
        <v/>
      </c>
      <c r="PH416" s="27" t="str">
        <f t="shared" si="284"/>
        <v/>
      </c>
      <c r="PI416" s="27" t="str">
        <f t="shared" si="285"/>
        <v/>
      </c>
      <c r="PJ416" s="27" t="str">
        <f t="shared" si="286"/>
        <v/>
      </c>
      <c r="PK416" s="27" t="str">
        <f t="shared" si="287"/>
        <v/>
      </c>
      <c r="QO416" s="260" t="s">
        <v>105</v>
      </c>
      <c r="QP416" t="s">
        <v>195</v>
      </c>
      <c r="QQ416" t="s">
        <v>20</v>
      </c>
      <c r="QR416" t="s">
        <v>2</v>
      </c>
      <c r="QS416" t="s">
        <v>204</v>
      </c>
      <c r="QT416" t="s">
        <v>1</v>
      </c>
      <c r="QU416" t="s">
        <v>15</v>
      </c>
      <c r="QV416" t="s">
        <v>1</v>
      </c>
      <c r="QW416" t="s">
        <v>22</v>
      </c>
      <c r="QX416" t="s">
        <v>198</v>
      </c>
      <c r="QY416" t="s">
        <v>8</v>
      </c>
      <c r="QZ416" t="s">
        <v>11</v>
      </c>
      <c r="RA416" t="s">
        <v>2</v>
      </c>
      <c r="RB416" t="s">
        <v>210</v>
      </c>
      <c r="RC416" t="s">
        <v>8</v>
      </c>
      <c r="RD416" t="s">
        <v>2</v>
      </c>
      <c r="RE416" t="s">
        <v>2</v>
      </c>
      <c r="RF416" t="s">
        <v>7</v>
      </c>
      <c r="RG416" t="s">
        <v>8</v>
      </c>
      <c r="RH416" t="s">
        <v>206</v>
      </c>
      <c r="RI416" t="s">
        <v>216</v>
      </c>
      <c r="RJ416" t="s">
        <v>11</v>
      </c>
      <c r="RK416" t="s">
        <v>2</v>
      </c>
      <c r="RL416" t="s">
        <v>8</v>
      </c>
      <c r="RM416" t="s">
        <v>203</v>
      </c>
      <c r="RN416" t="s">
        <v>212</v>
      </c>
      <c r="RO416" t="s">
        <v>201</v>
      </c>
      <c r="RQ416" t="s">
        <v>5</v>
      </c>
      <c r="RS416" t="s">
        <v>10</v>
      </c>
      <c r="RT416" t="s">
        <v>21</v>
      </c>
      <c r="RV416" t="s">
        <v>7</v>
      </c>
      <c r="RW416" t="s">
        <v>3</v>
      </c>
      <c r="RX416" t="s">
        <v>209</v>
      </c>
      <c r="RY416" t="s">
        <v>22</v>
      </c>
      <c r="RZ416" t="s">
        <v>185</v>
      </c>
      <c r="SB416" t="s">
        <v>1</v>
      </c>
      <c r="SC416" t="s">
        <v>1</v>
      </c>
      <c r="SD416" t="s">
        <v>15</v>
      </c>
      <c r="SE416" t="s">
        <v>22</v>
      </c>
      <c r="SF416" t="s">
        <v>7</v>
      </c>
      <c r="SH416" t="s">
        <v>15</v>
      </c>
      <c r="SI416" t="s">
        <v>5</v>
      </c>
      <c r="SJ416" s="246" t="s">
        <v>261</v>
      </c>
      <c r="SK416" s="260" t="s">
        <v>105</v>
      </c>
      <c r="SL416" s="246" t="s">
        <v>261</v>
      </c>
      <c r="WS416" s="66" t="s">
        <v>107</v>
      </c>
      <c r="WT416" s="27" t="str">
        <f t="shared" si="168"/>
        <v/>
      </c>
      <c r="WU416" s="27" t="str">
        <f t="shared" si="169"/>
        <v/>
      </c>
      <c r="WV416" s="27" t="str">
        <f t="shared" si="170"/>
        <v/>
      </c>
      <c r="WW416" s="27" t="str">
        <f t="shared" si="171"/>
        <v/>
      </c>
      <c r="WX416" s="27" t="str">
        <f t="shared" si="172"/>
        <v/>
      </c>
      <c r="WY416" s="27" t="str">
        <f t="shared" si="173"/>
        <v/>
      </c>
      <c r="WZ416" s="27" t="str">
        <f t="shared" si="174"/>
        <v/>
      </c>
      <c r="XA416" s="27" t="str">
        <f t="shared" si="175"/>
        <v/>
      </c>
      <c r="XB416" s="27" t="str">
        <f t="shared" si="176"/>
        <v/>
      </c>
      <c r="XC416" s="27" t="str">
        <f t="shared" si="177"/>
        <v/>
      </c>
      <c r="XD416" s="27" t="str">
        <f t="shared" si="178"/>
        <v/>
      </c>
      <c r="XE416" s="27" t="str">
        <f t="shared" si="179"/>
        <v/>
      </c>
      <c r="XF416" s="27" t="str">
        <f t="shared" si="180"/>
        <v/>
      </c>
      <c r="XG416" s="27" t="str">
        <f t="shared" si="181"/>
        <v/>
      </c>
      <c r="XH416" s="27" t="str">
        <f t="shared" si="182"/>
        <v/>
      </c>
      <c r="XI416" s="27" t="str">
        <f t="shared" si="183"/>
        <v/>
      </c>
      <c r="XJ416" s="27" t="str">
        <f t="shared" si="184"/>
        <v/>
      </c>
      <c r="XK416" s="27" t="str">
        <f t="shared" si="185"/>
        <v/>
      </c>
      <c r="XL416" s="27" t="str">
        <f t="shared" si="186"/>
        <v/>
      </c>
      <c r="XM416" s="27" t="str">
        <f t="shared" si="187"/>
        <v/>
      </c>
      <c r="XN416" s="27" t="str">
        <f t="shared" si="188"/>
        <v/>
      </c>
      <c r="XO416" s="27" t="str">
        <f t="shared" si="189"/>
        <v/>
      </c>
      <c r="XP416" s="27" t="str">
        <f t="shared" si="190"/>
        <v/>
      </c>
      <c r="XQ416" s="27" t="str">
        <f t="shared" si="191"/>
        <v/>
      </c>
      <c r="XR416" s="27" t="str">
        <f t="shared" si="192"/>
        <v/>
      </c>
      <c r="XS416" s="27" t="str">
        <f t="shared" si="193"/>
        <v/>
      </c>
      <c r="XT416" s="27" t="str">
        <f t="shared" si="194"/>
        <v/>
      </c>
      <c r="XU416" s="27" t="str">
        <f t="shared" si="195"/>
        <v/>
      </c>
      <c r="XV416" s="27" t="str">
        <f t="shared" si="196"/>
        <v/>
      </c>
      <c r="XW416" s="27" t="str">
        <f t="shared" si="197"/>
        <v/>
      </c>
      <c r="XX416" s="27" t="str">
        <f t="shared" si="198"/>
        <v/>
      </c>
      <c r="XY416" s="27" t="str">
        <f t="shared" si="199"/>
        <v/>
      </c>
      <c r="XZ416" s="27" t="str">
        <f t="shared" si="200"/>
        <v/>
      </c>
      <c r="YA416" s="27" t="str">
        <f t="shared" si="201"/>
        <v/>
      </c>
      <c r="YB416" s="27" t="str">
        <f t="shared" si="202"/>
        <v/>
      </c>
      <c r="YC416" s="27" t="str">
        <f t="shared" si="203"/>
        <v/>
      </c>
      <c r="YD416" s="27" t="str">
        <f t="shared" si="204"/>
        <v/>
      </c>
      <c r="YE416" s="27" t="str">
        <f t="shared" si="205"/>
        <v/>
      </c>
      <c r="YF416" s="27" t="str">
        <f t="shared" si="206"/>
        <v/>
      </c>
      <c r="YG416" s="27" t="str">
        <f t="shared" si="207"/>
        <v/>
      </c>
      <c r="YH416" s="27" t="str">
        <f t="shared" si="208"/>
        <v/>
      </c>
      <c r="YI416" s="27" t="str">
        <f t="shared" si="209"/>
        <v/>
      </c>
      <c r="YJ416" s="27" t="str">
        <f t="shared" si="210"/>
        <v/>
      </c>
      <c r="YK416" s="27" t="str">
        <f t="shared" si="211"/>
        <v/>
      </c>
      <c r="YL416" s="27" t="str">
        <f t="shared" si="212"/>
        <v/>
      </c>
      <c r="YM416" s="27" t="str">
        <f t="shared" si="213"/>
        <v/>
      </c>
      <c r="YN416" s="27" t="str">
        <f t="shared" si="214"/>
        <v/>
      </c>
    </row>
    <row r="417" spans="28:664" ht="18" x14ac:dyDescent="0.25">
      <c r="GO417" s="14" t="s">
        <v>53</v>
      </c>
      <c r="GP417" s="1" t="s">
        <v>34</v>
      </c>
      <c r="GQ417" s="27" t="str">
        <f t="shared" si="220"/>
        <v/>
      </c>
      <c r="GR417" s="27" t="str">
        <f t="shared" si="221"/>
        <v/>
      </c>
      <c r="GS417" s="27" t="str">
        <f t="shared" si="222"/>
        <v/>
      </c>
      <c r="GT417" s="27" t="str">
        <f t="shared" si="223"/>
        <v/>
      </c>
      <c r="GU417" s="27" t="str">
        <f t="shared" si="224"/>
        <v/>
      </c>
      <c r="GV417" s="27" t="str">
        <f t="shared" si="225"/>
        <v/>
      </c>
      <c r="GW417" s="27" t="str">
        <f t="shared" si="226"/>
        <v/>
      </c>
      <c r="GX417" s="27" t="str">
        <f t="shared" si="227"/>
        <v/>
      </c>
      <c r="GY417" s="27" t="str">
        <f t="shared" si="228"/>
        <v/>
      </c>
      <c r="GZ417" s="27" t="str">
        <f t="shared" si="229"/>
        <v/>
      </c>
      <c r="HA417" s="27" t="str">
        <f t="shared" si="230"/>
        <v/>
      </c>
      <c r="HB417" s="27" t="str">
        <f t="shared" si="231"/>
        <v/>
      </c>
      <c r="HC417" s="27" t="str">
        <f t="shared" si="232"/>
        <v/>
      </c>
      <c r="HD417" s="27" t="str">
        <f t="shared" si="233"/>
        <v/>
      </c>
      <c r="HE417" s="27" t="str">
        <f t="shared" si="234"/>
        <v/>
      </c>
      <c r="HF417" s="27" t="str">
        <f t="shared" si="235"/>
        <v/>
      </c>
      <c r="HG417" s="27" t="str">
        <f t="shared" si="236"/>
        <v/>
      </c>
      <c r="HH417" s="27" t="str">
        <f t="shared" si="237"/>
        <v/>
      </c>
      <c r="HI417" s="27" t="str">
        <f t="shared" si="238"/>
        <v/>
      </c>
      <c r="HJ417" s="27" t="str">
        <f t="shared" si="239"/>
        <v/>
      </c>
      <c r="HK417" s="27" t="str">
        <f t="shared" si="240"/>
        <v/>
      </c>
      <c r="HL417" s="27" t="str">
        <f t="shared" si="241"/>
        <v/>
      </c>
      <c r="HM417" s="27" t="str">
        <f t="shared" si="242"/>
        <v/>
      </c>
      <c r="HN417" s="27" t="str">
        <f t="shared" si="243"/>
        <v/>
      </c>
      <c r="HO417" s="27" t="str">
        <f t="shared" si="244"/>
        <v/>
      </c>
      <c r="HP417" s="27" t="str">
        <f t="shared" si="245"/>
        <v/>
      </c>
      <c r="HQ417" s="27" t="str">
        <f t="shared" si="246"/>
        <v/>
      </c>
      <c r="HR417" s="27" t="str">
        <f t="shared" si="247"/>
        <v/>
      </c>
      <c r="HS417" s="27" t="str">
        <f t="shared" si="248"/>
        <v/>
      </c>
      <c r="HT417" s="27" t="str">
        <f t="shared" si="249"/>
        <v/>
      </c>
      <c r="HU417" s="27" t="str">
        <f t="shared" si="250"/>
        <v/>
      </c>
      <c r="HV417" s="27" t="str">
        <f t="shared" si="251"/>
        <v/>
      </c>
      <c r="HW417" s="27" t="str">
        <f t="shared" si="252"/>
        <v/>
      </c>
      <c r="HX417" s="27" t="str">
        <f t="shared" si="253"/>
        <v/>
      </c>
      <c r="HY417" s="27" t="str">
        <f t="shared" si="254"/>
        <v/>
      </c>
      <c r="HZ417" s="27" t="str">
        <f t="shared" si="255"/>
        <v/>
      </c>
      <c r="IA417" s="27" t="str">
        <f t="shared" si="256"/>
        <v/>
      </c>
      <c r="IB417" s="27" t="str">
        <f t="shared" si="257"/>
        <v/>
      </c>
      <c r="IC417" s="19" t="s">
        <v>63</v>
      </c>
      <c r="ID417" s="27" t="str">
        <f t="shared" si="258"/>
        <v/>
      </c>
      <c r="IE417" s="27" t="str">
        <f t="shared" si="259"/>
        <v/>
      </c>
      <c r="IF417" s="27" t="str">
        <f t="shared" si="260"/>
        <v/>
      </c>
      <c r="IG417" s="27" t="str">
        <f t="shared" si="261"/>
        <v/>
      </c>
      <c r="IH417" s="27" t="str">
        <f t="shared" si="262"/>
        <v/>
      </c>
      <c r="II417" s="27" t="str">
        <f t="shared" si="263"/>
        <v/>
      </c>
      <c r="IJ417" s="27" t="str">
        <f t="shared" si="264"/>
        <v/>
      </c>
      <c r="IK417" s="27" t="str">
        <f t="shared" si="265"/>
        <v/>
      </c>
      <c r="IL417" s="27" t="str">
        <f t="shared" si="266"/>
        <v/>
      </c>
      <c r="IM417" s="27" t="str">
        <f t="shared" si="267"/>
        <v/>
      </c>
      <c r="IN417" s="27" t="str">
        <f t="shared" si="268"/>
        <v/>
      </c>
      <c r="IO417" s="27" t="str">
        <f t="shared" si="269"/>
        <v/>
      </c>
      <c r="IP417" s="27" t="str">
        <f t="shared" si="270"/>
        <v/>
      </c>
      <c r="IQ417" s="27" t="str">
        <f t="shared" si="271"/>
        <v/>
      </c>
      <c r="IR417" s="27" t="str">
        <f t="shared" si="272"/>
        <v/>
      </c>
      <c r="IS417" s="27" t="str">
        <f t="shared" si="273"/>
        <v/>
      </c>
      <c r="IT417" s="27" t="str">
        <f t="shared" si="274"/>
        <v/>
      </c>
      <c r="IU417" s="27" t="str">
        <f t="shared" si="275"/>
        <v/>
      </c>
      <c r="JP417" s="68" t="s">
        <v>174</v>
      </c>
      <c r="JQ417" s="27"/>
      <c r="JR417" s="27"/>
      <c r="JS417" s="27"/>
      <c r="NU417" s="34" t="s">
        <v>156</v>
      </c>
      <c r="NX417" s="27" t="str">
        <f t="shared" si="217"/>
        <v/>
      </c>
      <c r="NY417" s="27" t="str">
        <f t="shared" si="288"/>
        <v/>
      </c>
      <c r="NZ417" s="27" t="str">
        <f t="shared" si="289"/>
        <v/>
      </c>
      <c r="OA417" s="27" t="str">
        <f t="shared" si="290"/>
        <v/>
      </c>
      <c r="OB417" s="27" t="str">
        <f t="shared" si="291"/>
        <v/>
      </c>
      <c r="OC417" s="27" t="str">
        <f t="shared" si="292"/>
        <v/>
      </c>
      <c r="OD417" s="27" t="str">
        <f t="shared" si="293"/>
        <v/>
      </c>
      <c r="OE417" s="27" t="str">
        <f t="shared" si="294"/>
        <v/>
      </c>
      <c r="OF417" s="27" t="str">
        <f t="shared" si="295"/>
        <v/>
      </c>
      <c r="OG417" s="27" t="str">
        <f t="shared" si="296"/>
        <v/>
      </c>
      <c r="OH417" s="27" t="str">
        <f t="shared" si="297"/>
        <v/>
      </c>
      <c r="OI417" s="27" t="str">
        <f t="shared" si="298"/>
        <v/>
      </c>
      <c r="OJ417" s="27" t="str">
        <f t="shared" si="299"/>
        <v/>
      </c>
      <c r="OK417" s="27" t="str">
        <f t="shared" si="300"/>
        <v/>
      </c>
      <c r="OL417" s="27" t="str">
        <f t="shared" si="301"/>
        <v/>
      </c>
      <c r="OM417" s="27" t="str">
        <f t="shared" si="302"/>
        <v/>
      </c>
      <c r="ON417" s="27" t="str">
        <f t="shared" si="303"/>
        <v/>
      </c>
      <c r="OO417" s="27" t="str">
        <f t="shared" si="304"/>
        <v/>
      </c>
      <c r="OP417" s="27" t="str">
        <f t="shared" si="305"/>
        <v/>
      </c>
      <c r="OQ417" s="27" t="str">
        <f t="shared" si="306"/>
        <v/>
      </c>
      <c r="OR417" s="27" t="str">
        <f t="shared" si="307"/>
        <v/>
      </c>
      <c r="OS417" s="27" t="str">
        <f t="shared" si="308"/>
        <v/>
      </c>
      <c r="OT417" s="27" t="str">
        <f t="shared" si="309"/>
        <v/>
      </c>
      <c r="OU417" s="27">
        <f t="shared" si="310"/>
        <v>0</v>
      </c>
      <c r="OV417" s="27" t="str">
        <f t="shared" si="311"/>
        <v>DPA1*02:02</v>
      </c>
      <c r="OW417" s="27" t="str">
        <f t="shared" si="312"/>
        <v/>
      </c>
      <c r="OX417" s="27" t="str">
        <f t="shared" si="313"/>
        <v/>
      </c>
      <c r="OY417" s="27" t="str">
        <f t="shared" si="314"/>
        <v/>
      </c>
      <c r="OZ417" s="27" t="str">
        <f t="shared" si="276"/>
        <v/>
      </c>
      <c r="PA417" s="27" t="str">
        <f t="shared" si="277"/>
        <v/>
      </c>
      <c r="PB417" s="27" t="str">
        <f t="shared" si="278"/>
        <v/>
      </c>
      <c r="PC417" s="27" t="str">
        <f t="shared" si="279"/>
        <v/>
      </c>
      <c r="PD417" s="27" t="str">
        <f t="shared" si="280"/>
        <v/>
      </c>
      <c r="PE417" s="27" t="str">
        <f t="shared" si="281"/>
        <v/>
      </c>
      <c r="PF417" s="27" t="str">
        <f t="shared" si="282"/>
        <v/>
      </c>
      <c r="PG417" s="27" t="str">
        <f t="shared" si="283"/>
        <v/>
      </c>
      <c r="PH417" s="27" t="str">
        <f t="shared" si="284"/>
        <v/>
      </c>
      <c r="PI417" s="27" t="str">
        <f t="shared" si="285"/>
        <v/>
      </c>
      <c r="PJ417" s="27" t="str">
        <f t="shared" si="286"/>
        <v/>
      </c>
      <c r="PK417" s="27" t="str">
        <f t="shared" si="287"/>
        <v/>
      </c>
      <c r="QO417" s="260" t="s">
        <v>264</v>
      </c>
      <c r="QP417" t="s">
        <v>195</v>
      </c>
      <c r="QQ417" t="s">
        <v>20</v>
      </c>
      <c r="QR417" t="s">
        <v>2</v>
      </c>
      <c r="QS417" t="s">
        <v>204</v>
      </c>
      <c r="QT417" t="s">
        <v>1</v>
      </c>
      <c r="QU417" t="s">
        <v>15</v>
      </c>
      <c r="QV417" t="s">
        <v>1</v>
      </c>
      <c r="QW417" t="s">
        <v>22</v>
      </c>
      <c r="QX417" t="s">
        <v>198</v>
      </c>
      <c r="QY417" t="s">
        <v>8</v>
      </c>
      <c r="QZ417" t="s">
        <v>11</v>
      </c>
      <c r="RA417" t="s">
        <v>2</v>
      </c>
      <c r="RB417" t="s">
        <v>210</v>
      </c>
      <c r="RC417" t="s">
        <v>8</v>
      </c>
      <c r="RD417" t="s">
        <v>2</v>
      </c>
      <c r="RE417" t="s">
        <v>2</v>
      </c>
      <c r="RF417" t="s">
        <v>7</v>
      </c>
      <c r="RG417" t="s">
        <v>8</v>
      </c>
      <c r="RH417" t="s">
        <v>206</v>
      </c>
      <c r="RI417" t="s">
        <v>216</v>
      </c>
      <c r="RJ417" t="s">
        <v>11</v>
      </c>
      <c r="RK417" t="s">
        <v>2</v>
      </c>
      <c r="RL417" t="s">
        <v>12</v>
      </c>
      <c r="RM417" t="s">
        <v>203</v>
      </c>
      <c r="RN417" t="s">
        <v>212</v>
      </c>
      <c r="RO417" t="s">
        <v>201</v>
      </c>
      <c r="RQ417" t="s">
        <v>20</v>
      </c>
      <c r="RS417" t="s">
        <v>10</v>
      </c>
      <c r="RT417" t="s">
        <v>21</v>
      </c>
      <c r="RV417" t="s">
        <v>7</v>
      </c>
      <c r="RW417" t="s">
        <v>7</v>
      </c>
      <c r="RX417" t="s">
        <v>209</v>
      </c>
      <c r="RY417" t="s">
        <v>22</v>
      </c>
      <c r="RZ417" t="s">
        <v>185</v>
      </c>
      <c r="SB417" t="s">
        <v>1</v>
      </c>
      <c r="SC417" t="s">
        <v>1</v>
      </c>
      <c r="SD417" t="s">
        <v>15</v>
      </c>
      <c r="SE417" t="s">
        <v>22</v>
      </c>
      <c r="SF417" t="s">
        <v>7</v>
      </c>
      <c r="SH417" t="s">
        <v>15</v>
      </c>
      <c r="SI417" t="s">
        <v>5</v>
      </c>
      <c r="SJ417" s="246" t="s">
        <v>261</v>
      </c>
      <c r="SK417" s="260" t="s">
        <v>264</v>
      </c>
      <c r="SL417" s="246" t="s">
        <v>261</v>
      </c>
      <c r="WS417" s="66" t="s">
        <v>108</v>
      </c>
      <c r="WT417" s="27" t="str">
        <f t="shared" si="168"/>
        <v/>
      </c>
      <c r="WU417" s="27" t="str">
        <f t="shared" si="169"/>
        <v/>
      </c>
      <c r="WV417" s="27" t="str">
        <f t="shared" si="170"/>
        <v/>
      </c>
      <c r="WW417" s="27" t="str">
        <f t="shared" si="171"/>
        <v/>
      </c>
      <c r="WX417" s="27" t="str">
        <f t="shared" si="172"/>
        <v/>
      </c>
      <c r="WY417" s="27" t="str">
        <f t="shared" si="173"/>
        <v/>
      </c>
      <c r="WZ417" s="27" t="str">
        <f t="shared" si="174"/>
        <v/>
      </c>
      <c r="XA417" s="27" t="str">
        <f t="shared" si="175"/>
        <v/>
      </c>
      <c r="XB417" s="27" t="str">
        <f t="shared" si="176"/>
        <v/>
      </c>
      <c r="XC417" s="27" t="str">
        <f t="shared" si="177"/>
        <v/>
      </c>
      <c r="XD417" s="27" t="str">
        <f t="shared" si="178"/>
        <v/>
      </c>
      <c r="XE417" s="27" t="str">
        <f t="shared" si="179"/>
        <v/>
      </c>
      <c r="XF417" s="27" t="str">
        <f t="shared" si="180"/>
        <v/>
      </c>
      <c r="XG417" s="27" t="str">
        <f t="shared" si="181"/>
        <v/>
      </c>
      <c r="XH417" s="27" t="str">
        <f t="shared" si="182"/>
        <v/>
      </c>
      <c r="XI417" s="27" t="str">
        <f t="shared" si="183"/>
        <v/>
      </c>
      <c r="XJ417" s="27" t="str">
        <f t="shared" si="184"/>
        <v/>
      </c>
      <c r="XK417" s="27" t="str">
        <f t="shared" si="185"/>
        <v/>
      </c>
      <c r="XL417" s="27" t="str">
        <f t="shared" si="186"/>
        <v/>
      </c>
      <c r="XM417" s="27" t="str">
        <f t="shared" si="187"/>
        <v/>
      </c>
      <c r="XN417" s="27" t="str">
        <f t="shared" si="188"/>
        <v/>
      </c>
      <c r="XO417" s="27" t="str">
        <f t="shared" si="189"/>
        <v/>
      </c>
      <c r="XP417" s="27" t="str">
        <f t="shared" si="190"/>
        <v/>
      </c>
      <c r="XQ417" s="27" t="str">
        <f t="shared" si="191"/>
        <v/>
      </c>
      <c r="XR417" s="27" t="str">
        <f t="shared" si="192"/>
        <v/>
      </c>
      <c r="XS417" s="27" t="str">
        <f t="shared" si="193"/>
        <v/>
      </c>
      <c r="XT417" s="27" t="str">
        <f t="shared" si="194"/>
        <v/>
      </c>
      <c r="XU417" s="27" t="str">
        <f t="shared" si="195"/>
        <v/>
      </c>
      <c r="XV417" s="27" t="str">
        <f t="shared" si="196"/>
        <v/>
      </c>
      <c r="XW417" s="27" t="str">
        <f t="shared" si="197"/>
        <v/>
      </c>
      <c r="XX417" s="27" t="str">
        <f t="shared" si="198"/>
        <v/>
      </c>
      <c r="XY417" s="27" t="str">
        <f t="shared" si="199"/>
        <v/>
      </c>
      <c r="XZ417" s="27" t="str">
        <f t="shared" si="200"/>
        <v/>
      </c>
      <c r="YA417" s="27" t="str">
        <f t="shared" si="201"/>
        <v/>
      </c>
      <c r="YB417" s="27" t="str">
        <f t="shared" si="202"/>
        <v/>
      </c>
      <c r="YC417" s="27" t="str">
        <f t="shared" si="203"/>
        <v/>
      </c>
      <c r="YD417" s="27" t="str">
        <f t="shared" si="204"/>
        <v/>
      </c>
      <c r="YE417" s="27" t="str">
        <f t="shared" si="205"/>
        <v/>
      </c>
      <c r="YF417" s="27" t="str">
        <f t="shared" si="206"/>
        <v/>
      </c>
      <c r="YG417" s="27" t="str">
        <f t="shared" si="207"/>
        <v/>
      </c>
      <c r="YH417" s="27" t="str">
        <f t="shared" si="208"/>
        <v/>
      </c>
      <c r="YI417" s="27" t="str">
        <f t="shared" si="209"/>
        <v/>
      </c>
      <c r="YJ417" s="27" t="str">
        <f t="shared" si="210"/>
        <v/>
      </c>
      <c r="YK417" s="27" t="str">
        <f t="shared" si="211"/>
        <v/>
      </c>
      <c r="YL417" s="27" t="str">
        <f t="shared" si="212"/>
        <v/>
      </c>
      <c r="YM417" s="27" t="str">
        <f t="shared" si="213"/>
        <v/>
      </c>
      <c r="YN417" s="27" t="str">
        <f t="shared" si="214"/>
        <v/>
      </c>
    </row>
    <row r="418" spans="28:664" ht="21" x14ac:dyDescent="0.35">
      <c r="AB418" s="277" t="s">
        <v>0</v>
      </c>
      <c r="AC418" s="277" t="s">
        <v>1</v>
      </c>
      <c r="AD418" s="277" t="s">
        <v>2</v>
      </c>
      <c r="AE418" s="277" t="s">
        <v>3</v>
      </c>
      <c r="AF418" s="277" t="s">
        <v>4</v>
      </c>
      <c r="AG418" s="277" t="s">
        <v>5</v>
      </c>
      <c r="AH418" s="277" t="s">
        <v>6</v>
      </c>
      <c r="AI418" s="277"/>
      <c r="AJ418" s="277"/>
      <c r="AK418" s="277" t="s">
        <v>7</v>
      </c>
      <c r="AL418" s="277" t="s">
        <v>8</v>
      </c>
      <c r="AM418" s="277" t="s">
        <v>243</v>
      </c>
      <c r="AN418" s="277"/>
      <c r="AO418" s="277" t="s">
        <v>3</v>
      </c>
      <c r="AP418" s="277"/>
      <c r="AQ418" s="277"/>
      <c r="AR418" s="277"/>
      <c r="AS418" s="277" t="s">
        <v>9</v>
      </c>
      <c r="AT418" s="277" t="s">
        <v>10</v>
      </c>
      <c r="AU418" s="277" t="s">
        <v>11</v>
      </c>
      <c r="AV418" s="277" t="s">
        <v>12</v>
      </c>
      <c r="AW418" s="277" t="s">
        <v>5</v>
      </c>
      <c r="AX418" s="277"/>
      <c r="AY418" s="277"/>
      <c r="AZ418" s="277"/>
      <c r="BA418" s="277"/>
      <c r="BB418" s="277"/>
      <c r="BC418" s="277" t="s">
        <v>13</v>
      </c>
      <c r="BD418" s="277" t="s">
        <v>244</v>
      </c>
      <c r="BE418" s="277"/>
      <c r="BF418" s="277"/>
      <c r="BG418" s="277" t="s">
        <v>7</v>
      </c>
      <c r="BH418" s="277"/>
      <c r="BI418" s="277" t="s">
        <v>14</v>
      </c>
      <c r="BJ418" s="277" t="s">
        <v>5</v>
      </c>
      <c r="BK418" s="277" t="s">
        <v>11</v>
      </c>
      <c r="BL418" s="277" t="s">
        <v>245</v>
      </c>
      <c r="BM418" s="277" t="s">
        <v>5</v>
      </c>
      <c r="BN418" s="277" t="s">
        <v>15</v>
      </c>
      <c r="GO418" s="14" t="s">
        <v>53</v>
      </c>
      <c r="GP418" s="1" t="s">
        <v>35</v>
      </c>
      <c r="GQ418" s="27" t="str">
        <f t="shared" si="220"/>
        <v/>
      </c>
      <c r="GR418" s="27" t="str">
        <f t="shared" si="221"/>
        <v/>
      </c>
      <c r="GS418" s="27" t="str">
        <f t="shared" si="222"/>
        <v/>
      </c>
      <c r="GT418" s="27" t="str">
        <f t="shared" si="223"/>
        <v/>
      </c>
      <c r="GU418" s="27" t="str">
        <f t="shared" si="224"/>
        <v/>
      </c>
      <c r="GV418" s="27" t="str">
        <f t="shared" si="225"/>
        <v/>
      </c>
      <c r="GW418" s="27" t="str">
        <f t="shared" si="226"/>
        <v/>
      </c>
      <c r="GX418" s="27" t="str">
        <f t="shared" si="227"/>
        <v/>
      </c>
      <c r="GY418" s="27" t="str">
        <f t="shared" si="228"/>
        <v/>
      </c>
      <c r="GZ418" s="27" t="str">
        <f t="shared" si="229"/>
        <v/>
      </c>
      <c r="HA418" s="27" t="str">
        <f t="shared" si="230"/>
        <v/>
      </c>
      <c r="HB418" s="27" t="str">
        <f t="shared" si="231"/>
        <v/>
      </c>
      <c r="HC418" s="27" t="str">
        <f t="shared" si="232"/>
        <v/>
      </c>
      <c r="HD418" s="27" t="str">
        <f t="shared" si="233"/>
        <v/>
      </c>
      <c r="HE418" s="27" t="str">
        <f t="shared" si="234"/>
        <v/>
      </c>
      <c r="HF418" s="27" t="str">
        <f t="shared" si="235"/>
        <v/>
      </c>
      <c r="HG418" s="27" t="str">
        <f t="shared" si="236"/>
        <v/>
      </c>
      <c r="HH418" s="27" t="str">
        <f t="shared" si="237"/>
        <v/>
      </c>
      <c r="HI418" s="27" t="str">
        <f t="shared" si="238"/>
        <v/>
      </c>
      <c r="HJ418" s="27" t="str">
        <f t="shared" si="239"/>
        <v/>
      </c>
      <c r="HK418" s="27" t="str">
        <f t="shared" si="240"/>
        <v/>
      </c>
      <c r="HL418" s="27" t="str">
        <f t="shared" si="241"/>
        <v/>
      </c>
      <c r="HM418" s="27" t="str">
        <f t="shared" si="242"/>
        <v/>
      </c>
      <c r="HN418" s="27" t="str">
        <f t="shared" si="243"/>
        <v/>
      </c>
      <c r="HO418" s="27" t="str">
        <f t="shared" si="244"/>
        <v/>
      </c>
      <c r="HP418" s="27" t="str">
        <f t="shared" si="245"/>
        <v/>
      </c>
      <c r="HQ418" s="27" t="str">
        <f t="shared" si="246"/>
        <v/>
      </c>
      <c r="HR418" s="27" t="str">
        <f t="shared" si="247"/>
        <v/>
      </c>
      <c r="HS418" s="27" t="str">
        <f t="shared" si="248"/>
        <v/>
      </c>
      <c r="HT418" s="27" t="str">
        <f t="shared" si="249"/>
        <v/>
      </c>
      <c r="HU418" s="27" t="str">
        <f t="shared" si="250"/>
        <v/>
      </c>
      <c r="HV418" s="27" t="str">
        <f t="shared" si="251"/>
        <v/>
      </c>
      <c r="HW418" s="27" t="str">
        <f t="shared" si="252"/>
        <v/>
      </c>
      <c r="HX418" s="27" t="str">
        <f t="shared" si="253"/>
        <v/>
      </c>
      <c r="HY418" s="27" t="str">
        <f t="shared" si="254"/>
        <v/>
      </c>
      <c r="HZ418" s="27" t="str">
        <f t="shared" si="255"/>
        <v/>
      </c>
      <c r="IA418" s="27" t="str">
        <f t="shared" si="256"/>
        <v/>
      </c>
      <c r="IB418" s="27" t="str">
        <f t="shared" si="257"/>
        <v/>
      </c>
      <c r="IC418" s="19" t="s">
        <v>65</v>
      </c>
      <c r="ID418" s="27" t="str">
        <f t="shared" si="258"/>
        <v/>
      </c>
      <c r="IE418" s="27" t="str">
        <f t="shared" si="259"/>
        <v/>
      </c>
      <c r="IF418" s="27" t="str">
        <f t="shared" si="260"/>
        <v/>
      </c>
      <c r="IG418" s="27" t="str">
        <f t="shared" si="261"/>
        <v/>
      </c>
      <c r="IH418" s="27" t="str">
        <f t="shared" si="262"/>
        <v/>
      </c>
      <c r="II418" s="27" t="str">
        <f t="shared" si="263"/>
        <v/>
      </c>
      <c r="IJ418" s="27" t="str">
        <f t="shared" si="264"/>
        <v/>
      </c>
      <c r="IK418" s="27" t="str">
        <f t="shared" si="265"/>
        <v/>
      </c>
      <c r="IL418" s="27" t="str">
        <f t="shared" si="266"/>
        <v/>
      </c>
      <c r="IM418" s="27" t="str">
        <f t="shared" si="267"/>
        <v/>
      </c>
      <c r="IN418" s="27" t="str">
        <f t="shared" si="268"/>
        <v/>
      </c>
      <c r="IO418" s="27" t="str">
        <f t="shared" si="269"/>
        <v/>
      </c>
      <c r="IP418" s="27" t="str">
        <f t="shared" si="270"/>
        <v/>
      </c>
      <c r="IQ418" s="27" t="str">
        <f t="shared" si="271"/>
        <v/>
      </c>
      <c r="IR418" s="27" t="str">
        <f t="shared" si="272"/>
        <v/>
      </c>
      <c r="IS418" s="27" t="str">
        <f t="shared" si="273"/>
        <v/>
      </c>
      <c r="IT418" s="27" t="str">
        <f t="shared" si="274"/>
        <v/>
      </c>
      <c r="IU418" s="27" t="str">
        <f t="shared" si="275"/>
        <v/>
      </c>
      <c r="JP418" s="68" t="s">
        <v>176</v>
      </c>
      <c r="JQ418" s="27"/>
      <c r="JR418" s="27"/>
      <c r="JS418" s="27"/>
      <c r="NU418" s="34" t="s">
        <v>160</v>
      </c>
      <c r="NX418" s="27" t="str">
        <f t="shared" si="217"/>
        <v/>
      </c>
      <c r="NY418" s="27" t="str">
        <f t="shared" si="288"/>
        <v/>
      </c>
      <c r="NZ418" s="27" t="str">
        <f t="shared" si="289"/>
        <v/>
      </c>
      <c r="OA418" s="27" t="str">
        <f t="shared" si="290"/>
        <v/>
      </c>
      <c r="OB418" s="27" t="str">
        <f t="shared" si="291"/>
        <v/>
      </c>
      <c r="OC418" s="27" t="str">
        <f t="shared" si="292"/>
        <v/>
      </c>
      <c r="OD418" s="27" t="str">
        <f t="shared" si="293"/>
        <v/>
      </c>
      <c r="OE418" s="27" t="str">
        <f t="shared" si="294"/>
        <v/>
      </c>
      <c r="OF418" s="27" t="str">
        <f t="shared" si="295"/>
        <v/>
      </c>
      <c r="OG418" s="27" t="str">
        <f t="shared" si="296"/>
        <v/>
      </c>
      <c r="OH418" s="27" t="str">
        <f t="shared" si="297"/>
        <v/>
      </c>
      <c r="OI418" s="27" t="str">
        <f t="shared" si="298"/>
        <v/>
      </c>
      <c r="OJ418" s="27" t="str">
        <f t="shared" si="299"/>
        <v/>
      </c>
      <c r="OK418" s="27" t="str">
        <f t="shared" si="300"/>
        <v/>
      </c>
      <c r="OL418" s="27" t="str">
        <f t="shared" si="301"/>
        <v/>
      </c>
      <c r="OM418" s="27" t="str">
        <f t="shared" si="302"/>
        <v/>
      </c>
      <c r="ON418" s="27" t="str">
        <f t="shared" si="303"/>
        <v/>
      </c>
      <c r="OO418" s="27" t="str">
        <f t="shared" si="304"/>
        <v/>
      </c>
      <c r="OP418" s="27" t="str">
        <f t="shared" si="305"/>
        <v/>
      </c>
      <c r="OQ418" s="27" t="str">
        <f t="shared" si="306"/>
        <v/>
      </c>
      <c r="OR418" s="27" t="str">
        <f t="shared" si="307"/>
        <v/>
      </c>
      <c r="OS418" s="27" t="str">
        <f t="shared" si="308"/>
        <v/>
      </c>
      <c r="OT418" s="27" t="str">
        <f t="shared" si="309"/>
        <v/>
      </c>
      <c r="OU418" s="27">
        <f t="shared" si="310"/>
        <v>0</v>
      </c>
      <c r="OV418" s="27" t="str">
        <f t="shared" si="311"/>
        <v>DPA1*02:01</v>
      </c>
      <c r="OW418" s="27" t="str">
        <f t="shared" si="312"/>
        <v/>
      </c>
      <c r="OX418" s="27" t="str">
        <f t="shared" si="313"/>
        <v/>
      </c>
      <c r="OY418" s="27" t="str">
        <f t="shared" si="314"/>
        <v/>
      </c>
      <c r="OZ418" s="27" t="str">
        <f t="shared" si="276"/>
        <v/>
      </c>
      <c r="PA418" s="27" t="str">
        <f t="shared" si="277"/>
        <v/>
      </c>
      <c r="PB418" s="27" t="str">
        <f t="shared" si="278"/>
        <v/>
      </c>
      <c r="PC418" s="27" t="str">
        <f t="shared" si="279"/>
        <v/>
      </c>
      <c r="PD418" s="27" t="str">
        <f t="shared" si="280"/>
        <v/>
      </c>
      <c r="PE418" s="27" t="str">
        <f t="shared" si="281"/>
        <v/>
      </c>
      <c r="PF418" s="27" t="str">
        <f t="shared" si="282"/>
        <v/>
      </c>
      <c r="PG418" s="27" t="str">
        <f t="shared" si="283"/>
        <v/>
      </c>
      <c r="PH418" s="27" t="str">
        <f t="shared" si="284"/>
        <v/>
      </c>
      <c r="PI418" s="27" t="str">
        <f t="shared" si="285"/>
        <v/>
      </c>
      <c r="PJ418" s="27" t="str">
        <f t="shared" si="286"/>
        <v/>
      </c>
      <c r="PK418" s="27" t="str">
        <f t="shared" si="287"/>
        <v/>
      </c>
      <c r="QO418" s="260" t="s">
        <v>107</v>
      </c>
      <c r="QP418" t="s">
        <v>195</v>
      </c>
      <c r="QQ418" t="s">
        <v>20</v>
      </c>
      <c r="QR418" t="s">
        <v>2</v>
      </c>
      <c r="QS418" t="s">
        <v>204</v>
      </c>
      <c r="QT418" t="s">
        <v>1</v>
      </c>
      <c r="QU418" t="s">
        <v>15</v>
      </c>
      <c r="QV418" t="s">
        <v>1</v>
      </c>
      <c r="QW418" t="s">
        <v>22</v>
      </c>
      <c r="QX418" t="s">
        <v>198</v>
      </c>
      <c r="QY418" t="s">
        <v>8</v>
      </c>
      <c r="QZ418" t="s">
        <v>11</v>
      </c>
      <c r="RA418" t="s">
        <v>2</v>
      </c>
      <c r="RB418" t="s">
        <v>210</v>
      </c>
      <c r="RC418" t="s">
        <v>8</v>
      </c>
      <c r="RD418" t="s">
        <v>2</v>
      </c>
      <c r="RE418" t="s">
        <v>2</v>
      </c>
      <c r="RF418" t="s">
        <v>7</v>
      </c>
      <c r="RG418" t="s">
        <v>8</v>
      </c>
      <c r="RH418" t="s">
        <v>206</v>
      </c>
      <c r="RI418" t="s">
        <v>216</v>
      </c>
      <c r="RJ418" t="s">
        <v>11</v>
      </c>
      <c r="RK418" t="s">
        <v>2</v>
      </c>
      <c r="RL418" t="s">
        <v>8</v>
      </c>
      <c r="RM418" t="s">
        <v>203</v>
      </c>
      <c r="RN418" t="s">
        <v>212</v>
      </c>
      <c r="RO418" t="s">
        <v>201</v>
      </c>
      <c r="RQ418" t="s">
        <v>5</v>
      </c>
      <c r="RS418" t="s">
        <v>10</v>
      </c>
      <c r="RT418" t="s">
        <v>21</v>
      </c>
      <c r="RV418" t="s">
        <v>7</v>
      </c>
      <c r="RW418" t="s">
        <v>7</v>
      </c>
      <c r="RX418" t="s">
        <v>209</v>
      </c>
      <c r="RY418" t="s">
        <v>22</v>
      </c>
      <c r="RZ418" t="s">
        <v>185</v>
      </c>
      <c r="SB418" t="s">
        <v>1</v>
      </c>
      <c r="SC418" t="s">
        <v>1</v>
      </c>
      <c r="SD418" t="s">
        <v>15</v>
      </c>
      <c r="SE418" t="s">
        <v>22</v>
      </c>
      <c r="SF418" t="s">
        <v>7</v>
      </c>
      <c r="SH418" t="s">
        <v>15</v>
      </c>
      <c r="SI418" t="s">
        <v>5</v>
      </c>
      <c r="SJ418" s="246" t="s">
        <v>261</v>
      </c>
      <c r="SK418" s="260" t="s">
        <v>107</v>
      </c>
      <c r="SL418" s="246" t="s">
        <v>261</v>
      </c>
      <c r="WS418" s="66" t="s">
        <v>110</v>
      </c>
      <c r="WT418" s="27" t="str">
        <f t="shared" si="168"/>
        <v/>
      </c>
      <c r="WU418" s="27" t="str">
        <f t="shared" si="169"/>
        <v/>
      </c>
      <c r="WV418" s="27" t="str">
        <f t="shared" si="170"/>
        <v/>
      </c>
      <c r="WW418" s="27" t="str">
        <f t="shared" si="171"/>
        <v/>
      </c>
      <c r="WX418" s="27" t="str">
        <f t="shared" si="172"/>
        <v/>
      </c>
      <c r="WY418" s="27" t="str">
        <f t="shared" si="173"/>
        <v/>
      </c>
      <c r="WZ418" s="27" t="str">
        <f t="shared" si="174"/>
        <v/>
      </c>
      <c r="XA418" s="27" t="str">
        <f t="shared" si="175"/>
        <v/>
      </c>
      <c r="XB418" s="27" t="str">
        <f t="shared" si="176"/>
        <v/>
      </c>
      <c r="XC418" s="27" t="str">
        <f t="shared" si="177"/>
        <v/>
      </c>
      <c r="XD418" s="27" t="str">
        <f t="shared" si="178"/>
        <v/>
      </c>
      <c r="XE418" s="27" t="str">
        <f t="shared" si="179"/>
        <v/>
      </c>
      <c r="XF418" s="27" t="str">
        <f t="shared" si="180"/>
        <v/>
      </c>
      <c r="XG418" s="27" t="str">
        <f t="shared" si="181"/>
        <v/>
      </c>
      <c r="XH418" s="27" t="str">
        <f t="shared" si="182"/>
        <v/>
      </c>
      <c r="XI418" s="27" t="str">
        <f t="shared" si="183"/>
        <v/>
      </c>
      <c r="XJ418" s="27" t="str">
        <f t="shared" si="184"/>
        <v/>
      </c>
      <c r="XK418" s="27" t="str">
        <f t="shared" si="185"/>
        <v/>
      </c>
      <c r="XL418" s="27" t="str">
        <f t="shared" si="186"/>
        <v/>
      </c>
      <c r="XM418" s="27" t="str">
        <f t="shared" si="187"/>
        <v/>
      </c>
      <c r="XN418" s="27" t="str">
        <f t="shared" si="188"/>
        <v/>
      </c>
      <c r="XO418" s="27" t="str">
        <f t="shared" si="189"/>
        <v/>
      </c>
      <c r="XP418" s="27" t="str">
        <f t="shared" si="190"/>
        <v/>
      </c>
      <c r="XQ418" s="27" t="str">
        <f t="shared" si="191"/>
        <v/>
      </c>
      <c r="XR418" s="27" t="str">
        <f t="shared" si="192"/>
        <v/>
      </c>
      <c r="XS418" s="27" t="str">
        <f t="shared" si="193"/>
        <v/>
      </c>
      <c r="XT418" s="27" t="str">
        <f t="shared" si="194"/>
        <v/>
      </c>
      <c r="XU418" s="27" t="str">
        <f t="shared" si="195"/>
        <v/>
      </c>
      <c r="XV418" s="27" t="str">
        <f t="shared" si="196"/>
        <v/>
      </c>
      <c r="XW418" s="27" t="str">
        <f t="shared" si="197"/>
        <v/>
      </c>
      <c r="XX418" s="27" t="str">
        <f t="shared" si="198"/>
        <v/>
      </c>
      <c r="XY418" s="27" t="str">
        <f t="shared" si="199"/>
        <v/>
      </c>
      <c r="XZ418" s="27" t="str">
        <f t="shared" si="200"/>
        <v/>
      </c>
      <c r="YA418" s="27" t="str">
        <f t="shared" si="201"/>
        <v/>
      </c>
      <c r="YB418" s="27" t="str">
        <f t="shared" si="202"/>
        <v/>
      </c>
      <c r="YC418" s="27" t="str">
        <f t="shared" si="203"/>
        <v/>
      </c>
      <c r="YD418" s="27" t="str">
        <f t="shared" si="204"/>
        <v/>
      </c>
      <c r="YE418" s="27" t="str">
        <f t="shared" si="205"/>
        <v/>
      </c>
      <c r="YF418" s="27" t="str">
        <f t="shared" si="206"/>
        <v/>
      </c>
      <c r="YG418" s="27" t="str">
        <f t="shared" si="207"/>
        <v/>
      </c>
      <c r="YH418" s="27" t="str">
        <f t="shared" si="208"/>
        <v/>
      </c>
      <c r="YI418" s="27" t="str">
        <f t="shared" si="209"/>
        <v/>
      </c>
      <c r="YJ418" s="27" t="str">
        <f t="shared" si="210"/>
        <v/>
      </c>
      <c r="YK418" s="27" t="str">
        <f t="shared" si="211"/>
        <v/>
      </c>
      <c r="YL418" s="27" t="str">
        <f t="shared" si="212"/>
        <v/>
      </c>
      <c r="YM418" s="27" t="str">
        <f t="shared" si="213"/>
        <v/>
      </c>
      <c r="YN418" s="27" t="str">
        <f t="shared" si="214"/>
        <v/>
      </c>
    </row>
    <row r="419" spans="28:664" ht="21" x14ac:dyDescent="0.35">
      <c r="AB419" s="277" t="s">
        <v>16</v>
      </c>
      <c r="AC419" s="277" t="s">
        <v>1</v>
      </c>
      <c r="AD419" s="277" t="s">
        <v>2</v>
      </c>
      <c r="AE419" s="277" t="s">
        <v>3</v>
      </c>
      <c r="AF419" s="277" t="s">
        <v>4</v>
      </c>
      <c r="AG419" s="277" t="s">
        <v>5</v>
      </c>
      <c r="AH419" s="277" t="s">
        <v>6</v>
      </c>
      <c r="AI419" s="277"/>
      <c r="AJ419" s="277"/>
      <c r="AK419" s="277" t="s">
        <v>7</v>
      </c>
      <c r="AL419" s="277" t="s">
        <v>8</v>
      </c>
      <c r="AM419" s="277" t="s">
        <v>243</v>
      </c>
      <c r="AN419" s="277"/>
      <c r="AO419" s="277" t="s">
        <v>3</v>
      </c>
      <c r="AP419" s="277"/>
      <c r="AQ419" s="277"/>
      <c r="AR419" s="277"/>
      <c r="AS419" s="277" t="s">
        <v>9</v>
      </c>
      <c r="AT419" s="277" t="s">
        <v>10</v>
      </c>
      <c r="AU419" s="277" t="s">
        <v>11</v>
      </c>
      <c r="AV419" s="277" t="s">
        <v>12</v>
      </c>
      <c r="AW419" s="277" t="s">
        <v>5</v>
      </c>
      <c r="AX419" s="277"/>
      <c r="AY419" s="277"/>
      <c r="AZ419" s="277"/>
      <c r="BA419" s="277"/>
      <c r="BB419" s="277"/>
      <c r="BC419" s="277" t="s">
        <v>13</v>
      </c>
      <c r="BD419" s="277" t="s">
        <v>244</v>
      </c>
      <c r="BE419" s="277"/>
      <c r="BF419" s="277"/>
      <c r="BG419" s="277" t="s">
        <v>7</v>
      </c>
      <c r="BH419" s="277"/>
      <c r="BI419" s="277" t="s">
        <v>14</v>
      </c>
      <c r="BJ419" s="277" t="s">
        <v>5</v>
      </c>
      <c r="BK419" s="277" t="s">
        <v>3</v>
      </c>
      <c r="BL419" s="277" t="s">
        <v>245</v>
      </c>
      <c r="BM419" s="277" t="s">
        <v>5</v>
      </c>
      <c r="BN419" s="277" t="s">
        <v>15</v>
      </c>
      <c r="GO419" s="14" t="s">
        <v>53</v>
      </c>
      <c r="GP419" s="1" t="s">
        <v>36</v>
      </c>
      <c r="GQ419" s="27" t="str">
        <f t="shared" si="220"/>
        <v/>
      </c>
      <c r="GR419" s="27" t="str">
        <f t="shared" si="221"/>
        <v/>
      </c>
      <c r="GS419" s="27" t="str">
        <f t="shared" si="222"/>
        <v/>
      </c>
      <c r="GT419" s="27" t="str">
        <f t="shared" si="223"/>
        <v/>
      </c>
      <c r="GU419" s="27" t="str">
        <f t="shared" si="224"/>
        <v/>
      </c>
      <c r="GV419" s="27" t="str">
        <f t="shared" si="225"/>
        <v/>
      </c>
      <c r="GW419" s="27" t="str">
        <f t="shared" si="226"/>
        <v/>
      </c>
      <c r="GX419" s="27" t="str">
        <f t="shared" si="227"/>
        <v/>
      </c>
      <c r="GY419" s="27" t="str">
        <f t="shared" si="228"/>
        <v/>
      </c>
      <c r="GZ419" s="27" t="str">
        <f t="shared" si="229"/>
        <v/>
      </c>
      <c r="HA419" s="27" t="str">
        <f t="shared" si="230"/>
        <v/>
      </c>
      <c r="HB419" s="27" t="str">
        <f t="shared" si="231"/>
        <v/>
      </c>
      <c r="HC419" s="27" t="str">
        <f t="shared" si="232"/>
        <v/>
      </c>
      <c r="HD419" s="27" t="str">
        <f t="shared" si="233"/>
        <v/>
      </c>
      <c r="HE419" s="27" t="str">
        <f t="shared" si="234"/>
        <v/>
      </c>
      <c r="HF419" s="27" t="str">
        <f t="shared" si="235"/>
        <v/>
      </c>
      <c r="HG419" s="27" t="str">
        <f t="shared" si="236"/>
        <v/>
      </c>
      <c r="HH419" s="27" t="str">
        <f t="shared" si="237"/>
        <v/>
      </c>
      <c r="HI419" s="27" t="str">
        <f t="shared" si="238"/>
        <v/>
      </c>
      <c r="HJ419" s="27" t="str">
        <f t="shared" si="239"/>
        <v/>
      </c>
      <c r="HK419" s="27" t="str">
        <f t="shared" si="240"/>
        <v/>
      </c>
      <c r="HL419" s="27" t="str">
        <f t="shared" si="241"/>
        <v/>
      </c>
      <c r="HM419" s="27" t="str">
        <f t="shared" si="242"/>
        <v/>
      </c>
      <c r="HN419" s="27" t="str">
        <f t="shared" si="243"/>
        <v/>
      </c>
      <c r="HO419" s="27" t="str">
        <f t="shared" si="244"/>
        <v/>
      </c>
      <c r="HP419" s="27" t="str">
        <f t="shared" si="245"/>
        <v/>
      </c>
      <c r="HQ419" s="27" t="str">
        <f t="shared" si="246"/>
        <v/>
      </c>
      <c r="HR419" s="27" t="str">
        <f t="shared" si="247"/>
        <v/>
      </c>
      <c r="HS419" s="27" t="str">
        <f t="shared" si="248"/>
        <v/>
      </c>
      <c r="HT419" s="27" t="str">
        <f t="shared" si="249"/>
        <v/>
      </c>
      <c r="HU419" s="27" t="str">
        <f t="shared" si="250"/>
        <v/>
      </c>
      <c r="HV419" s="27" t="str">
        <f t="shared" si="251"/>
        <v/>
      </c>
      <c r="HW419" s="27" t="str">
        <f t="shared" si="252"/>
        <v/>
      </c>
      <c r="HX419" s="27" t="str">
        <f t="shared" si="253"/>
        <v/>
      </c>
      <c r="HY419" s="27" t="str">
        <f t="shared" si="254"/>
        <v/>
      </c>
      <c r="HZ419" s="27" t="str">
        <f t="shared" si="255"/>
        <v/>
      </c>
      <c r="IA419" s="27" t="str">
        <f t="shared" si="256"/>
        <v/>
      </c>
      <c r="IB419" s="27" t="str">
        <f t="shared" si="257"/>
        <v/>
      </c>
      <c r="IC419" s="23" t="s">
        <v>64</v>
      </c>
      <c r="ID419" s="27" t="str">
        <f t="shared" si="258"/>
        <v/>
      </c>
      <c r="IE419" s="27" t="str">
        <f t="shared" si="259"/>
        <v/>
      </c>
      <c r="IF419" s="27" t="str">
        <f t="shared" si="260"/>
        <v/>
      </c>
      <c r="IG419" s="27" t="str">
        <f t="shared" si="261"/>
        <v/>
      </c>
      <c r="IH419" s="27" t="str">
        <f t="shared" si="262"/>
        <v/>
      </c>
      <c r="II419" s="27" t="str">
        <f t="shared" si="263"/>
        <v/>
      </c>
      <c r="IJ419" s="27" t="str">
        <f t="shared" si="264"/>
        <v/>
      </c>
      <c r="IK419" s="27" t="str">
        <f t="shared" si="265"/>
        <v/>
      </c>
      <c r="IL419" s="27" t="str">
        <f t="shared" si="266"/>
        <v/>
      </c>
      <c r="IM419" s="27" t="str">
        <f t="shared" si="267"/>
        <v/>
      </c>
      <c r="IN419" s="27" t="str">
        <f t="shared" si="268"/>
        <v/>
      </c>
      <c r="IO419" s="27" t="str">
        <f t="shared" si="269"/>
        <v/>
      </c>
      <c r="IP419" s="27" t="str">
        <f t="shared" si="270"/>
        <v/>
      </c>
      <c r="IQ419" s="27" t="str">
        <f t="shared" si="271"/>
        <v/>
      </c>
      <c r="IR419" s="27" t="str">
        <f t="shared" si="272"/>
        <v/>
      </c>
      <c r="IS419" s="27" t="str">
        <f t="shared" si="273"/>
        <v/>
      </c>
      <c r="IT419" s="27" t="str">
        <f t="shared" si="274"/>
        <v/>
      </c>
      <c r="IU419" s="27" t="str">
        <f t="shared" si="275"/>
        <v/>
      </c>
      <c r="JP419" s="68" t="s">
        <v>158</v>
      </c>
      <c r="JQ419" s="27"/>
      <c r="JR419" s="27"/>
      <c r="JS419" s="27"/>
      <c r="NU419" s="34" t="s">
        <v>160</v>
      </c>
      <c r="NX419" s="27" t="str">
        <f t="shared" si="217"/>
        <v/>
      </c>
      <c r="NY419" s="27" t="str">
        <f t="shared" si="288"/>
        <v/>
      </c>
      <c r="NZ419" s="27" t="str">
        <f t="shared" si="289"/>
        <v/>
      </c>
      <c r="OA419" s="27" t="str">
        <f t="shared" si="290"/>
        <v/>
      </c>
      <c r="OB419" s="27" t="str">
        <f t="shared" si="291"/>
        <v/>
      </c>
      <c r="OC419" s="27" t="str">
        <f t="shared" si="292"/>
        <v/>
      </c>
      <c r="OD419" s="27" t="str">
        <f t="shared" si="293"/>
        <v/>
      </c>
      <c r="OE419" s="27" t="str">
        <f t="shared" si="294"/>
        <v/>
      </c>
      <c r="OF419" s="27" t="str">
        <f t="shared" si="295"/>
        <v/>
      </c>
      <c r="OG419" s="27" t="str">
        <f t="shared" si="296"/>
        <v/>
      </c>
      <c r="OH419" s="27" t="str">
        <f t="shared" si="297"/>
        <v/>
      </c>
      <c r="OI419" s="27" t="str">
        <f t="shared" si="298"/>
        <v/>
      </c>
      <c r="OJ419" s="27" t="str">
        <f t="shared" si="299"/>
        <v/>
      </c>
      <c r="OK419" s="27" t="str">
        <f t="shared" si="300"/>
        <v/>
      </c>
      <c r="OL419" s="27" t="str">
        <f t="shared" si="301"/>
        <v/>
      </c>
      <c r="OM419" s="27" t="str">
        <f t="shared" si="302"/>
        <v/>
      </c>
      <c r="ON419" s="27" t="str">
        <f t="shared" si="303"/>
        <v/>
      </c>
      <c r="OO419" s="27" t="str">
        <f t="shared" si="304"/>
        <v/>
      </c>
      <c r="OP419" s="27" t="str">
        <f t="shared" si="305"/>
        <v/>
      </c>
      <c r="OQ419" s="27" t="str">
        <f t="shared" si="306"/>
        <v/>
      </c>
      <c r="OR419" s="27" t="str">
        <f t="shared" si="307"/>
        <v/>
      </c>
      <c r="OS419" s="27" t="str">
        <f t="shared" si="308"/>
        <v/>
      </c>
      <c r="OT419" s="27" t="str">
        <f t="shared" si="309"/>
        <v/>
      </c>
      <c r="OU419" s="27">
        <f t="shared" si="310"/>
        <v>0</v>
      </c>
      <c r="OV419" s="27" t="str">
        <f t="shared" si="311"/>
        <v>DPA1*02:02</v>
      </c>
      <c r="OW419" s="27" t="str">
        <f t="shared" si="312"/>
        <v/>
      </c>
      <c r="OX419" s="27" t="str">
        <f t="shared" si="313"/>
        <v/>
      </c>
      <c r="OY419" s="27" t="str">
        <f t="shared" si="314"/>
        <v/>
      </c>
      <c r="OZ419" s="27" t="str">
        <f t="shared" si="276"/>
        <v/>
      </c>
      <c r="PA419" s="27" t="str">
        <f t="shared" si="277"/>
        <v/>
      </c>
      <c r="PB419" s="27" t="str">
        <f t="shared" si="278"/>
        <v/>
      </c>
      <c r="PC419" s="27" t="str">
        <f t="shared" si="279"/>
        <v/>
      </c>
      <c r="PD419" s="27" t="str">
        <f t="shared" si="280"/>
        <v/>
      </c>
      <c r="PE419" s="27" t="str">
        <f t="shared" si="281"/>
        <v/>
      </c>
      <c r="PF419" s="27" t="str">
        <f t="shared" si="282"/>
        <v/>
      </c>
      <c r="PG419" s="27" t="str">
        <f t="shared" si="283"/>
        <v/>
      </c>
      <c r="PH419" s="27" t="str">
        <f t="shared" si="284"/>
        <v/>
      </c>
      <c r="PI419" s="27" t="str">
        <f t="shared" si="285"/>
        <v/>
      </c>
      <c r="PJ419" s="27" t="str">
        <f t="shared" si="286"/>
        <v/>
      </c>
      <c r="PK419" s="27" t="str">
        <f t="shared" si="287"/>
        <v/>
      </c>
      <c r="QO419" s="260" t="s">
        <v>108</v>
      </c>
      <c r="QP419" t="s">
        <v>195</v>
      </c>
      <c r="QQ419" t="s">
        <v>20</v>
      </c>
      <c r="QR419" t="s">
        <v>2</v>
      </c>
      <c r="QS419" t="s">
        <v>215</v>
      </c>
      <c r="QT419" t="s">
        <v>1</v>
      </c>
      <c r="QU419" t="s">
        <v>15</v>
      </c>
      <c r="QV419" t="s">
        <v>3</v>
      </c>
      <c r="QX419" t="s">
        <v>198</v>
      </c>
      <c r="QY419" t="s">
        <v>6</v>
      </c>
      <c r="QZ419" t="s">
        <v>20</v>
      </c>
      <c r="RA419" t="s">
        <v>22</v>
      </c>
      <c r="RC419" t="s">
        <v>8</v>
      </c>
      <c r="RD419" t="s">
        <v>22</v>
      </c>
      <c r="RE419" t="s">
        <v>6</v>
      </c>
      <c r="RF419" t="s">
        <v>6</v>
      </c>
      <c r="RG419" t="s">
        <v>8</v>
      </c>
      <c r="RH419" t="s">
        <v>206</v>
      </c>
      <c r="RJ419" t="s">
        <v>7</v>
      </c>
      <c r="RK419" t="s">
        <v>1</v>
      </c>
      <c r="RL419" t="s">
        <v>12</v>
      </c>
      <c r="RM419" t="s">
        <v>203</v>
      </c>
      <c r="RN419" t="s">
        <v>212</v>
      </c>
      <c r="RO419" t="s">
        <v>201</v>
      </c>
      <c r="RQ419" t="s">
        <v>5</v>
      </c>
      <c r="RS419" t="s">
        <v>10</v>
      </c>
      <c r="RT419" t="s">
        <v>21</v>
      </c>
      <c r="RV419" t="s">
        <v>10</v>
      </c>
      <c r="RW419" t="s">
        <v>7</v>
      </c>
      <c r="RX419" t="s">
        <v>209</v>
      </c>
      <c r="RY419" t="s">
        <v>22</v>
      </c>
      <c r="RZ419" t="s">
        <v>185</v>
      </c>
      <c r="SB419" t="s">
        <v>1</v>
      </c>
      <c r="SC419" t="s">
        <v>1</v>
      </c>
      <c r="SD419" t="s">
        <v>15</v>
      </c>
      <c r="SE419" t="s">
        <v>22</v>
      </c>
      <c r="SF419" t="s">
        <v>7</v>
      </c>
      <c r="SH419" t="s">
        <v>15</v>
      </c>
      <c r="SI419" t="s">
        <v>5</v>
      </c>
      <c r="SJ419" s="246" t="s">
        <v>261</v>
      </c>
      <c r="SK419" s="260" t="s">
        <v>108</v>
      </c>
      <c r="SL419" s="246" t="s">
        <v>261</v>
      </c>
      <c r="WS419" s="66" t="s">
        <v>111</v>
      </c>
      <c r="WT419" s="27" t="str">
        <f t="shared" si="168"/>
        <v/>
      </c>
      <c r="WU419" s="27" t="str">
        <f t="shared" si="169"/>
        <v/>
      </c>
      <c r="WV419" s="27" t="str">
        <f t="shared" si="170"/>
        <v/>
      </c>
      <c r="WW419" s="27" t="str">
        <f t="shared" si="171"/>
        <v/>
      </c>
      <c r="WX419" s="27" t="str">
        <f t="shared" si="172"/>
        <v/>
      </c>
      <c r="WY419" s="27" t="str">
        <f t="shared" si="173"/>
        <v/>
      </c>
      <c r="WZ419" s="27" t="str">
        <f t="shared" si="174"/>
        <v/>
      </c>
      <c r="XA419" s="27" t="str">
        <f t="shared" si="175"/>
        <v/>
      </c>
      <c r="XB419" s="27" t="str">
        <f t="shared" si="176"/>
        <v/>
      </c>
      <c r="XC419" s="27" t="str">
        <f t="shared" si="177"/>
        <v/>
      </c>
      <c r="XD419" s="27" t="str">
        <f t="shared" si="178"/>
        <v/>
      </c>
      <c r="XE419" s="27" t="str">
        <f t="shared" si="179"/>
        <v/>
      </c>
      <c r="XF419" s="27" t="str">
        <f t="shared" si="180"/>
        <v/>
      </c>
      <c r="XG419" s="27" t="str">
        <f t="shared" si="181"/>
        <v/>
      </c>
      <c r="XH419" s="27" t="str">
        <f t="shared" si="182"/>
        <v/>
      </c>
      <c r="XI419" s="27" t="str">
        <f t="shared" si="183"/>
        <v/>
      </c>
      <c r="XJ419" s="27" t="str">
        <f t="shared" si="184"/>
        <v/>
      </c>
      <c r="XK419" s="27" t="str">
        <f t="shared" si="185"/>
        <v/>
      </c>
      <c r="XL419" s="27" t="str">
        <f t="shared" si="186"/>
        <v/>
      </c>
      <c r="XM419" s="27" t="str">
        <f t="shared" si="187"/>
        <v/>
      </c>
      <c r="XN419" s="27" t="str">
        <f t="shared" si="188"/>
        <v/>
      </c>
      <c r="XO419" s="27" t="str">
        <f t="shared" si="189"/>
        <v/>
      </c>
      <c r="XP419" s="27" t="str">
        <f t="shared" si="190"/>
        <v/>
      </c>
      <c r="XQ419" s="27" t="str">
        <f t="shared" si="191"/>
        <v/>
      </c>
      <c r="XR419" s="27" t="str">
        <f t="shared" si="192"/>
        <v/>
      </c>
      <c r="XS419" s="27" t="str">
        <f t="shared" si="193"/>
        <v/>
      </c>
      <c r="XT419" s="27" t="str">
        <f t="shared" si="194"/>
        <v/>
      </c>
      <c r="XU419" s="27" t="str">
        <f t="shared" si="195"/>
        <v/>
      </c>
      <c r="XV419" s="27" t="str">
        <f t="shared" si="196"/>
        <v/>
      </c>
      <c r="XW419" s="27" t="str">
        <f t="shared" si="197"/>
        <v/>
      </c>
      <c r="XX419" s="27" t="str">
        <f t="shared" si="198"/>
        <v/>
      </c>
      <c r="XY419" s="27" t="str">
        <f t="shared" si="199"/>
        <v/>
      </c>
      <c r="XZ419" s="27" t="str">
        <f t="shared" si="200"/>
        <v/>
      </c>
      <c r="YA419" s="27" t="str">
        <f t="shared" si="201"/>
        <v/>
      </c>
      <c r="YB419" s="27" t="str">
        <f t="shared" si="202"/>
        <v/>
      </c>
      <c r="YC419" s="27" t="str">
        <f t="shared" si="203"/>
        <v/>
      </c>
      <c r="YD419" s="27" t="str">
        <f t="shared" si="204"/>
        <v/>
      </c>
      <c r="YE419" s="27" t="str">
        <f t="shared" si="205"/>
        <v/>
      </c>
      <c r="YF419" s="27" t="str">
        <f t="shared" si="206"/>
        <v/>
      </c>
      <c r="YG419" s="27" t="str">
        <f t="shared" si="207"/>
        <v/>
      </c>
      <c r="YH419" s="27" t="str">
        <f t="shared" si="208"/>
        <v/>
      </c>
      <c r="YI419" s="27" t="str">
        <f t="shared" si="209"/>
        <v/>
      </c>
      <c r="YJ419" s="27" t="str">
        <f t="shared" si="210"/>
        <v/>
      </c>
      <c r="YK419" s="27" t="str">
        <f t="shared" si="211"/>
        <v/>
      </c>
      <c r="YL419" s="27" t="str">
        <f t="shared" si="212"/>
        <v/>
      </c>
      <c r="YM419" s="27" t="str">
        <f t="shared" si="213"/>
        <v/>
      </c>
      <c r="YN419" s="27" t="str">
        <f t="shared" si="214"/>
        <v/>
      </c>
    </row>
    <row r="420" spans="28:664" ht="21" x14ac:dyDescent="0.35">
      <c r="AB420" s="277" t="s">
        <v>17</v>
      </c>
      <c r="AC420" s="277" t="s">
        <v>1</v>
      </c>
      <c r="AD420" s="277" t="s">
        <v>2</v>
      </c>
      <c r="AE420" s="277" t="s">
        <v>10</v>
      </c>
      <c r="AF420" s="277" t="s">
        <v>4</v>
      </c>
      <c r="AG420" s="277" t="s">
        <v>5</v>
      </c>
      <c r="AH420" s="277" t="s">
        <v>2</v>
      </c>
      <c r="AI420" s="277" t="s">
        <v>2</v>
      </c>
      <c r="AJ420" s="277" t="s">
        <v>2</v>
      </c>
      <c r="AK420" s="277" t="s">
        <v>10</v>
      </c>
      <c r="AL420" s="277" t="s">
        <v>2</v>
      </c>
      <c r="AM420" s="277" t="s">
        <v>18</v>
      </c>
      <c r="AN420" s="277" t="s">
        <v>246</v>
      </c>
      <c r="AO420" s="277"/>
      <c r="AP420" s="277" t="s">
        <v>247</v>
      </c>
      <c r="AQ420" s="277" t="s">
        <v>19</v>
      </c>
      <c r="AR420" s="277"/>
      <c r="AS420" s="277" t="s">
        <v>9</v>
      </c>
      <c r="AT420" s="277" t="s">
        <v>11</v>
      </c>
      <c r="AU420" s="277" t="s">
        <v>20</v>
      </c>
      <c r="AV420" s="277" t="s">
        <v>7</v>
      </c>
      <c r="AW420" s="277" t="s">
        <v>5</v>
      </c>
      <c r="AX420" s="277"/>
      <c r="AY420" s="277"/>
      <c r="AZ420" s="277" t="s">
        <v>15</v>
      </c>
      <c r="BA420" s="277" t="s">
        <v>20</v>
      </c>
      <c r="BB420" s="277" t="s">
        <v>6</v>
      </c>
      <c r="BC420" s="277" t="s">
        <v>21</v>
      </c>
      <c r="BD420" s="277" t="s">
        <v>244</v>
      </c>
      <c r="BE420" s="277"/>
      <c r="BF420" s="277"/>
      <c r="BG420" s="277" t="s">
        <v>7</v>
      </c>
      <c r="BH420" s="277"/>
      <c r="BI420" s="277" t="s">
        <v>14</v>
      </c>
      <c r="BJ420" s="277" t="s">
        <v>5</v>
      </c>
      <c r="BK420" s="277" t="s">
        <v>11</v>
      </c>
      <c r="BL420" s="277"/>
      <c r="BM420" s="277" t="s">
        <v>22</v>
      </c>
      <c r="BN420" s="277" t="s">
        <v>15</v>
      </c>
      <c r="GO420" s="14" t="s">
        <v>53</v>
      </c>
      <c r="GP420" s="1" t="s">
        <v>37</v>
      </c>
      <c r="GQ420" s="27" t="str">
        <f t="shared" si="220"/>
        <v/>
      </c>
      <c r="GR420" s="27" t="str">
        <f t="shared" si="221"/>
        <v/>
      </c>
      <c r="GS420" s="27" t="str">
        <f t="shared" si="222"/>
        <v/>
      </c>
      <c r="GT420" s="27" t="str">
        <f t="shared" si="223"/>
        <v/>
      </c>
      <c r="GU420" s="27" t="str">
        <f t="shared" si="224"/>
        <v/>
      </c>
      <c r="GV420" s="27" t="str">
        <f t="shared" si="225"/>
        <v/>
      </c>
      <c r="GW420" s="27" t="str">
        <f t="shared" si="226"/>
        <v/>
      </c>
      <c r="GX420" s="27" t="str">
        <f t="shared" si="227"/>
        <v/>
      </c>
      <c r="GY420" s="27" t="str">
        <f t="shared" si="228"/>
        <v/>
      </c>
      <c r="GZ420" s="27" t="str">
        <f t="shared" si="229"/>
        <v/>
      </c>
      <c r="HA420" s="27" t="str">
        <f t="shared" si="230"/>
        <v/>
      </c>
      <c r="HB420" s="27" t="str">
        <f t="shared" si="231"/>
        <v/>
      </c>
      <c r="HC420" s="27" t="str">
        <f t="shared" si="232"/>
        <v/>
      </c>
      <c r="HD420" s="27" t="str">
        <f t="shared" si="233"/>
        <v/>
      </c>
      <c r="HE420" s="27" t="str">
        <f t="shared" si="234"/>
        <v/>
      </c>
      <c r="HF420" s="27" t="str">
        <f t="shared" si="235"/>
        <v/>
      </c>
      <c r="HG420" s="27" t="str">
        <f t="shared" si="236"/>
        <v/>
      </c>
      <c r="HH420" s="27" t="str">
        <f t="shared" si="237"/>
        <v/>
      </c>
      <c r="HI420" s="27" t="str">
        <f t="shared" si="238"/>
        <v/>
      </c>
      <c r="HJ420" s="27" t="str">
        <f t="shared" si="239"/>
        <v/>
      </c>
      <c r="HK420" s="27" t="str">
        <f t="shared" si="240"/>
        <v/>
      </c>
      <c r="HL420" s="27" t="str">
        <f t="shared" si="241"/>
        <v/>
      </c>
      <c r="HM420" s="27" t="str">
        <f t="shared" si="242"/>
        <v/>
      </c>
      <c r="HN420" s="27" t="str">
        <f t="shared" si="243"/>
        <v/>
      </c>
      <c r="HO420" s="27" t="str">
        <f t="shared" si="244"/>
        <v/>
      </c>
      <c r="HP420" s="27" t="str">
        <f t="shared" si="245"/>
        <v/>
      </c>
      <c r="HQ420" s="27" t="str">
        <f t="shared" si="246"/>
        <v/>
      </c>
      <c r="HR420" s="27" t="str">
        <f t="shared" si="247"/>
        <v/>
      </c>
      <c r="HS420" s="27" t="str">
        <f t="shared" si="248"/>
        <v/>
      </c>
      <c r="HT420" s="27" t="str">
        <f t="shared" si="249"/>
        <v/>
      </c>
      <c r="HU420" s="27" t="str">
        <f t="shared" si="250"/>
        <v/>
      </c>
      <c r="HV420" s="27" t="str">
        <f t="shared" si="251"/>
        <v/>
      </c>
      <c r="HW420" s="27" t="str">
        <f t="shared" si="252"/>
        <v/>
      </c>
      <c r="HX420" s="27" t="str">
        <f t="shared" si="253"/>
        <v/>
      </c>
      <c r="HY420" s="27" t="str">
        <f t="shared" si="254"/>
        <v/>
      </c>
      <c r="HZ420" s="27" t="str">
        <f t="shared" si="255"/>
        <v/>
      </c>
      <c r="IA420" s="27" t="str">
        <f t="shared" si="256"/>
        <v/>
      </c>
      <c r="IB420" s="27" t="str">
        <f t="shared" si="257"/>
        <v/>
      </c>
      <c r="IC420" s="23" t="s">
        <v>64</v>
      </c>
      <c r="ID420" s="27" t="str">
        <f t="shared" si="258"/>
        <v/>
      </c>
      <c r="IE420" s="27" t="str">
        <f t="shared" si="259"/>
        <v/>
      </c>
      <c r="IF420" s="27" t="str">
        <f t="shared" si="260"/>
        <v/>
      </c>
      <c r="IG420" s="27" t="str">
        <f t="shared" si="261"/>
        <v/>
      </c>
      <c r="IH420" s="27" t="str">
        <f t="shared" si="262"/>
        <v/>
      </c>
      <c r="II420" s="27" t="str">
        <f t="shared" si="263"/>
        <v/>
      </c>
      <c r="IJ420" s="27" t="str">
        <f t="shared" si="264"/>
        <v/>
      </c>
      <c r="IK420" s="27" t="str">
        <f t="shared" si="265"/>
        <v/>
      </c>
      <c r="IL420" s="27" t="str">
        <f t="shared" si="266"/>
        <v/>
      </c>
      <c r="IM420" s="27" t="str">
        <f t="shared" si="267"/>
        <v/>
      </c>
      <c r="IN420" s="27" t="str">
        <f t="shared" si="268"/>
        <v/>
      </c>
      <c r="IO420" s="27" t="str">
        <f t="shared" si="269"/>
        <v/>
      </c>
      <c r="IP420" s="27" t="str">
        <f t="shared" si="270"/>
        <v/>
      </c>
      <c r="IQ420" s="27" t="str">
        <f t="shared" si="271"/>
        <v/>
      </c>
      <c r="IR420" s="27" t="str">
        <f t="shared" si="272"/>
        <v/>
      </c>
      <c r="IS420" s="27" t="str">
        <f t="shared" si="273"/>
        <v/>
      </c>
      <c r="IT420" s="27" t="str">
        <f t="shared" si="274"/>
        <v/>
      </c>
      <c r="IU420" s="27" t="str">
        <f t="shared" si="275"/>
        <v/>
      </c>
      <c r="NU420" s="34" t="s">
        <v>160</v>
      </c>
      <c r="NX420" s="27" t="str">
        <f t="shared" si="217"/>
        <v/>
      </c>
      <c r="NY420" s="27" t="str">
        <f t="shared" si="288"/>
        <v/>
      </c>
      <c r="NZ420" s="27" t="str">
        <f t="shared" si="289"/>
        <v/>
      </c>
      <c r="OA420" s="27" t="str">
        <f t="shared" si="290"/>
        <v/>
      </c>
      <c r="OB420" s="27" t="str">
        <f t="shared" si="291"/>
        <v/>
      </c>
      <c r="OC420" s="27" t="str">
        <f t="shared" si="292"/>
        <v/>
      </c>
      <c r="OD420" s="27" t="str">
        <f t="shared" si="293"/>
        <v/>
      </c>
      <c r="OE420" s="27" t="str">
        <f t="shared" si="294"/>
        <v/>
      </c>
      <c r="OF420" s="27" t="str">
        <f t="shared" si="295"/>
        <v/>
      </c>
      <c r="OG420" s="27" t="str">
        <f t="shared" si="296"/>
        <v/>
      </c>
      <c r="OH420" s="27" t="str">
        <f t="shared" si="297"/>
        <v/>
      </c>
      <c r="OI420" s="27" t="str">
        <f t="shared" si="298"/>
        <v/>
      </c>
      <c r="OJ420" s="27" t="str">
        <f t="shared" si="299"/>
        <v/>
      </c>
      <c r="OK420" s="27" t="str">
        <f t="shared" si="300"/>
        <v/>
      </c>
      <c r="OL420" s="27" t="str">
        <f t="shared" si="301"/>
        <v/>
      </c>
      <c r="OM420" s="27" t="str">
        <f t="shared" si="302"/>
        <v/>
      </c>
      <c r="ON420" s="27" t="str">
        <f t="shared" si="303"/>
        <v/>
      </c>
      <c r="OO420" s="27" t="str">
        <f t="shared" si="304"/>
        <v/>
      </c>
      <c r="OP420" s="27" t="str">
        <f t="shared" si="305"/>
        <v/>
      </c>
      <c r="OQ420" s="27" t="str">
        <f t="shared" si="306"/>
        <v/>
      </c>
      <c r="OR420" s="27" t="str">
        <f t="shared" si="307"/>
        <v/>
      </c>
      <c r="OS420" s="27" t="str">
        <f t="shared" si="308"/>
        <v/>
      </c>
      <c r="OT420" s="27" t="str">
        <f t="shared" si="309"/>
        <v/>
      </c>
      <c r="OU420" s="27">
        <f t="shared" si="310"/>
        <v>0</v>
      </c>
      <c r="OV420" s="27" t="str">
        <f t="shared" si="311"/>
        <v>DPA1*03:01</v>
      </c>
      <c r="OW420" s="27" t="str">
        <f t="shared" si="312"/>
        <v/>
      </c>
      <c r="OX420" s="27" t="str">
        <f t="shared" si="313"/>
        <v/>
      </c>
      <c r="OY420" s="27" t="str">
        <f t="shared" si="314"/>
        <v/>
      </c>
      <c r="OZ420" s="27" t="str">
        <f t="shared" si="276"/>
        <v/>
      </c>
      <c r="PA420" s="27" t="str">
        <f t="shared" si="277"/>
        <v/>
      </c>
      <c r="PB420" s="27" t="str">
        <f t="shared" si="278"/>
        <v/>
      </c>
      <c r="PC420" s="27" t="str">
        <f t="shared" si="279"/>
        <v/>
      </c>
      <c r="PD420" s="27" t="str">
        <f t="shared" si="280"/>
        <v/>
      </c>
      <c r="PE420" s="27" t="str">
        <f t="shared" si="281"/>
        <v/>
      </c>
      <c r="PF420" s="27" t="str">
        <f t="shared" si="282"/>
        <v/>
      </c>
      <c r="PG420" s="27" t="str">
        <f t="shared" si="283"/>
        <v/>
      </c>
      <c r="PH420" s="27" t="str">
        <f t="shared" si="284"/>
        <v/>
      </c>
      <c r="PI420" s="27" t="str">
        <f t="shared" si="285"/>
        <v/>
      </c>
      <c r="PJ420" s="27" t="str">
        <f t="shared" si="286"/>
        <v/>
      </c>
      <c r="PK420" s="27" t="str">
        <f t="shared" si="287"/>
        <v/>
      </c>
      <c r="QO420" s="260" t="s">
        <v>110</v>
      </c>
      <c r="QP420" t="s">
        <v>195</v>
      </c>
      <c r="QQ420" t="s">
        <v>20</v>
      </c>
      <c r="QR420" t="s">
        <v>2</v>
      </c>
      <c r="QS420" t="s">
        <v>215</v>
      </c>
      <c r="QT420" t="s">
        <v>1</v>
      </c>
      <c r="QU420" t="s">
        <v>15</v>
      </c>
      <c r="QV420" t="s">
        <v>3</v>
      </c>
      <c r="QX420" t="s">
        <v>198</v>
      </c>
      <c r="QY420" t="s">
        <v>6</v>
      </c>
      <c r="QZ420" t="s">
        <v>20</v>
      </c>
      <c r="RA420" t="s">
        <v>22</v>
      </c>
      <c r="RC420" t="s">
        <v>8</v>
      </c>
      <c r="RD420" t="s">
        <v>22</v>
      </c>
      <c r="RE420" t="s">
        <v>6</v>
      </c>
      <c r="RF420" t="s">
        <v>6</v>
      </c>
      <c r="RG420" t="s">
        <v>8</v>
      </c>
      <c r="RH420" t="s">
        <v>206</v>
      </c>
      <c r="RJ420" t="s">
        <v>7</v>
      </c>
      <c r="RK420" t="s">
        <v>1</v>
      </c>
      <c r="RL420" t="s">
        <v>8</v>
      </c>
      <c r="RM420" t="s">
        <v>203</v>
      </c>
      <c r="RN420" t="s">
        <v>212</v>
      </c>
      <c r="RO420" t="s">
        <v>201</v>
      </c>
      <c r="RQ420" t="s">
        <v>5</v>
      </c>
      <c r="RS420" t="s">
        <v>10</v>
      </c>
      <c r="RT420" t="s">
        <v>21</v>
      </c>
      <c r="RV420" t="s">
        <v>10</v>
      </c>
      <c r="RW420" t="s">
        <v>7</v>
      </c>
      <c r="RX420" t="s">
        <v>209</v>
      </c>
      <c r="RY420" t="s">
        <v>22</v>
      </c>
      <c r="RZ420" t="s">
        <v>185</v>
      </c>
      <c r="SB420" t="s">
        <v>1</v>
      </c>
      <c r="SC420" t="s">
        <v>1</v>
      </c>
      <c r="SD420" t="s">
        <v>15</v>
      </c>
      <c r="SE420" t="s">
        <v>22</v>
      </c>
      <c r="SF420" t="s">
        <v>7</v>
      </c>
      <c r="SH420" t="s">
        <v>15</v>
      </c>
      <c r="SI420" t="s">
        <v>5</v>
      </c>
      <c r="SJ420" s="246" t="s">
        <v>261</v>
      </c>
      <c r="SK420" s="260" t="s">
        <v>110</v>
      </c>
      <c r="SL420" s="246" t="s">
        <v>261</v>
      </c>
      <c r="WS420" s="66" t="s">
        <v>113</v>
      </c>
      <c r="WT420" s="27" t="str">
        <f t="shared" si="168"/>
        <v/>
      </c>
      <c r="WU420" s="27" t="str">
        <f t="shared" si="169"/>
        <v/>
      </c>
      <c r="WV420" s="27" t="str">
        <f t="shared" si="170"/>
        <v/>
      </c>
      <c r="WW420" s="27" t="str">
        <f t="shared" si="171"/>
        <v/>
      </c>
      <c r="WX420" s="27" t="str">
        <f t="shared" si="172"/>
        <v/>
      </c>
      <c r="WY420" s="27" t="str">
        <f t="shared" si="173"/>
        <v/>
      </c>
      <c r="WZ420" s="27" t="str">
        <f t="shared" si="174"/>
        <v/>
      </c>
      <c r="XA420" s="27" t="str">
        <f t="shared" si="175"/>
        <v/>
      </c>
      <c r="XB420" s="27" t="str">
        <f t="shared" si="176"/>
        <v/>
      </c>
      <c r="XC420" s="27" t="str">
        <f t="shared" si="177"/>
        <v/>
      </c>
      <c r="XD420" s="27" t="str">
        <f t="shared" si="178"/>
        <v/>
      </c>
      <c r="XE420" s="27" t="str">
        <f t="shared" si="179"/>
        <v/>
      </c>
      <c r="XF420" s="27" t="str">
        <f t="shared" si="180"/>
        <v/>
      </c>
      <c r="XG420" s="27" t="str">
        <f t="shared" si="181"/>
        <v/>
      </c>
      <c r="XH420" s="27" t="str">
        <f t="shared" si="182"/>
        <v/>
      </c>
      <c r="XI420" s="27" t="str">
        <f t="shared" si="183"/>
        <v/>
      </c>
      <c r="XJ420" s="27" t="str">
        <f t="shared" si="184"/>
        <v/>
      </c>
      <c r="XK420" s="27" t="str">
        <f t="shared" si="185"/>
        <v/>
      </c>
      <c r="XL420" s="27" t="str">
        <f t="shared" si="186"/>
        <v/>
      </c>
      <c r="XM420" s="27" t="str">
        <f t="shared" si="187"/>
        <v/>
      </c>
      <c r="XN420" s="27" t="str">
        <f t="shared" si="188"/>
        <v/>
      </c>
      <c r="XO420" s="27" t="str">
        <f t="shared" si="189"/>
        <v/>
      </c>
      <c r="XP420" s="27" t="str">
        <f t="shared" si="190"/>
        <v/>
      </c>
      <c r="XQ420" s="27" t="str">
        <f t="shared" si="191"/>
        <v/>
      </c>
      <c r="XR420" s="27" t="str">
        <f t="shared" si="192"/>
        <v/>
      </c>
      <c r="XS420" s="27" t="str">
        <f t="shared" si="193"/>
        <v/>
      </c>
      <c r="XT420" s="27" t="str">
        <f t="shared" si="194"/>
        <v/>
      </c>
      <c r="XU420" s="27" t="str">
        <f t="shared" si="195"/>
        <v/>
      </c>
      <c r="XV420" s="27" t="str">
        <f t="shared" si="196"/>
        <v/>
      </c>
      <c r="XW420" s="27" t="str">
        <f t="shared" si="197"/>
        <v/>
      </c>
      <c r="XX420" s="27" t="str">
        <f t="shared" si="198"/>
        <v/>
      </c>
      <c r="XY420" s="27" t="str">
        <f t="shared" si="199"/>
        <v/>
      </c>
      <c r="XZ420" s="27" t="str">
        <f t="shared" si="200"/>
        <v/>
      </c>
      <c r="YA420" s="27" t="str">
        <f t="shared" si="201"/>
        <v/>
      </c>
      <c r="YB420" s="27" t="str">
        <f t="shared" si="202"/>
        <v/>
      </c>
      <c r="YC420" s="27" t="str">
        <f t="shared" si="203"/>
        <v/>
      </c>
      <c r="YD420" s="27" t="str">
        <f t="shared" si="204"/>
        <v/>
      </c>
      <c r="YE420" s="27" t="str">
        <f t="shared" si="205"/>
        <v/>
      </c>
      <c r="YF420" s="27" t="str">
        <f t="shared" si="206"/>
        <v/>
      </c>
      <c r="YG420" s="27" t="str">
        <f t="shared" si="207"/>
        <v/>
      </c>
      <c r="YH420" s="27" t="str">
        <f t="shared" si="208"/>
        <v/>
      </c>
      <c r="YI420" s="27" t="str">
        <f t="shared" si="209"/>
        <v/>
      </c>
      <c r="YJ420" s="27" t="str">
        <f t="shared" si="210"/>
        <v/>
      </c>
      <c r="YK420" s="27" t="str">
        <f t="shared" si="211"/>
        <v/>
      </c>
      <c r="YL420" s="27" t="str">
        <f t="shared" si="212"/>
        <v/>
      </c>
      <c r="YM420" s="27" t="str">
        <f t="shared" si="213"/>
        <v/>
      </c>
      <c r="YN420" s="27" t="str">
        <f t="shared" si="214"/>
        <v/>
      </c>
    </row>
    <row r="421" spans="28:664" ht="21" x14ac:dyDescent="0.35">
      <c r="AB421" s="277" t="s">
        <v>23</v>
      </c>
      <c r="AC421" s="277" t="s">
        <v>1</v>
      </c>
      <c r="AD421" s="277" t="s">
        <v>2</v>
      </c>
      <c r="AE421" s="277" t="s">
        <v>3</v>
      </c>
      <c r="AF421" s="277" t="s">
        <v>4</v>
      </c>
      <c r="AG421" s="277" t="s">
        <v>5</v>
      </c>
      <c r="AH421" s="277" t="s">
        <v>6</v>
      </c>
      <c r="AI421" s="277" t="s">
        <v>2</v>
      </c>
      <c r="AJ421" s="277" t="s">
        <v>2</v>
      </c>
      <c r="AK421" s="277" t="s">
        <v>10</v>
      </c>
      <c r="AL421" s="277" t="s">
        <v>2</v>
      </c>
      <c r="AM421" s="277" t="s">
        <v>24</v>
      </c>
      <c r="AN421" s="277" t="s">
        <v>246</v>
      </c>
      <c r="AO421" s="277" t="s">
        <v>3</v>
      </c>
      <c r="AP421" s="277" t="s">
        <v>247</v>
      </c>
      <c r="AQ421" s="277" t="s">
        <v>19</v>
      </c>
      <c r="AR421" s="277"/>
      <c r="AS421" s="277" t="s">
        <v>9</v>
      </c>
      <c r="AT421" s="277" t="s">
        <v>10</v>
      </c>
      <c r="AU421" s="277" t="s">
        <v>20</v>
      </c>
      <c r="AV421" s="277" t="s">
        <v>7</v>
      </c>
      <c r="AW421" s="277" t="s">
        <v>5</v>
      </c>
      <c r="AX421" s="277"/>
      <c r="AY421" s="277"/>
      <c r="AZ421" s="277" t="s">
        <v>15</v>
      </c>
      <c r="BA421" s="277" t="s">
        <v>20</v>
      </c>
      <c r="BB421" s="277" t="s">
        <v>6</v>
      </c>
      <c r="BC421" s="277" t="s">
        <v>21</v>
      </c>
      <c r="BD421" s="277" t="s">
        <v>244</v>
      </c>
      <c r="BE421" s="277"/>
      <c r="BF421" s="277"/>
      <c r="BG421" s="277" t="s">
        <v>7</v>
      </c>
      <c r="BH421" s="277"/>
      <c r="BI421" s="277" t="s">
        <v>14</v>
      </c>
      <c r="BJ421" s="277" t="s">
        <v>5</v>
      </c>
      <c r="BK421" s="277" t="s">
        <v>11</v>
      </c>
      <c r="BL421" s="277"/>
      <c r="BM421" s="277" t="s">
        <v>5</v>
      </c>
      <c r="BN421" s="277" t="s">
        <v>12</v>
      </c>
      <c r="GO421" s="15" t="s">
        <v>54</v>
      </c>
      <c r="GP421" s="1" t="s">
        <v>17</v>
      </c>
      <c r="GQ421" s="27" t="str">
        <f t="shared" si="220"/>
        <v/>
      </c>
      <c r="GR421" s="27" t="str">
        <f t="shared" si="221"/>
        <v/>
      </c>
      <c r="GS421" s="27" t="str">
        <f t="shared" si="222"/>
        <v>A</v>
      </c>
      <c r="GT421" s="27" t="str">
        <f t="shared" si="223"/>
        <v/>
      </c>
      <c r="GU421" s="27" t="str">
        <f t="shared" si="224"/>
        <v/>
      </c>
      <c r="GV421" s="27" t="str">
        <f t="shared" si="225"/>
        <v>Y</v>
      </c>
      <c r="GW421" s="27" t="str">
        <f t="shared" si="226"/>
        <v/>
      </c>
      <c r="GX421" s="27" t="str">
        <f t="shared" si="227"/>
        <v/>
      </c>
      <c r="GY421" s="27" t="str">
        <f t="shared" si="228"/>
        <v/>
      </c>
      <c r="GZ421" s="27" t="str">
        <f t="shared" si="229"/>
        <v/>
      </c>
      <c r="HA421" s="27" t="str">
        <f t="shared" si="230"/>
        <v>45EV</v>
      </c>
      <c r="HB421" s="27" t="str">
        <f t="shared" si="231"/>
        <v/>
      </c>
      <c r="HC421" s="27" t="str">
        <f t="shared" si="232"/>
        <v>*</v>
      </c>
      <c r="HD421" s="27" t="str">
        <f t="shared" si="233"/>
        <v>52PL3</v>
      </c>
      <c r="HE421" s="27" t="str">
        <f t="shared" si="234"/>
        <v>55PP</v>
      </c>
      <c r="HF421" s="27" t="str">
        <f t="shared" si="235"/>
        <v/>
      </c>
      <c r="HG421" s="27" t="str">
        <f t="shared" si="236"/>
        <v/>
      </c>
      <c r="HH421" s="27" t="str">
        <f t="shared" si="237"/>
        <v/>
      </c>
      <c r="HI421" s="27" t="str">
        <f t="shared" si="238"/>
        <v/>
      </c>
      <c r="HJ421" s="27" t="str">
        <f t="shared" si="239"/>
        <v/>
      </c>
      <c r="HK421" s="27" t="str">
        <f t="shared" si="240"/>
        <v/>
      </c>
      <c r="HL421" s="27" t="str">
        <f t="shared" si="241"/>
        <v/>
      </c>
      <c r="HM421" s="27" t="str">
        <f t="shared" si="242"/>
        <v/>
      </c>
      <c r="HN421" s="27" t="str">
        <f t="shared" si="243"/>
        <v/>
      </c>
      <c r="HO421" s="27" t="str">
        <f t="shared" si="244"/>
        <v/>
      </c>
      <c r="HP421" s="27" t="str">
        <f t="shared" si="245"/>
        <v/>
      </c>
      <c r="HQ421" s="27" t="str">
        <f t="shared" si="246"/>
        <v/>
      </c>
      <c r="HR421" s="27" t="str">
        <f t="shared" si="247"/>
        <v>84QL3</v>
      </c>
      <c r="HS421" s="27" t="str">
        <f t="shared" si="248"/>
        <v>*</v>
      </c>
      <c r="HT421" s="27" t="str">
        <f t="shared" si="249"/>
        <v/>
      </c>
      <c r="HU421" s="27" t="str">
        <f t="shared" si="250"/>
        <v/>
      </c>
      <c r="HV421" s="27" t="str">
        <f t="shared" si="251"/>
        <v/>
      </c>
      <c r="HW421" s="27" t="str">
        <f t="shared" si="252"/>
        <v/>
      </c>
      <c r="HX421" s="27" t="str">
        <f t="shared" si="253"/>
        <v/>
      </c>
      <c r="HY421" s="27" t="str">
        <f t="shared" si="254"/>
        <v/>
      </c>
      <c r="HZ421" s="27" t="str">
        <f t="shared" si="255"/>
        <v>*</v>
      </c>
      <c r="IA421" s="27" t="str">
        <f t="shared" si="256"/>
        <v>H</v>
      </c>
      <c r="IB421" s="27" t="str">
        <f t="shared" si="257"/>
        <v/>
      </c>
      <c r="IC421" s="22" t="s">
        <v>59</v>
      </c>
      <c r="ID421" s="27" t="str">
        <f t="shared" si="258"/>
        <v/>
      </c>
      <c r="IE421" s="27" t="str">
        <f t="shared" si="259"/>
        <v>*</v>
      </c>
      <c r="IF421" s="27" t="str">
        <f t="shared" si="260"/>
        <v/>
      </c>
      <c r="IG421" s="27" t="str">
        <f t="shared" si="261"/>
        <v/>
      </c>
      <c r="IH421" s="27" t="str">
        <f t="shared" si="262"/>
        <v/>
      </c>
      <c r="II421" s="27" t="str">
        <f t="shared" si="263"/>
        <v>EpY</v>
      </c>
      <c r="IJ421" s="27" t="str">
        <f t="shared" si="264"/>
        <v>47QL4</v>
      </c>
      <c r="IK421" s="27" t="str">
        <f t="shared" si="265"/>
        <v>50LR</v>
      </c>
      <c r="IL421" s="27" t="str">
        <f t="shared" si="266"/>
        <v/>
      </c>
      <c r="IM421" s="27" t="str">
        <f t="shared" si="267"/>
        <v>R</v>
      </c>
      <c r="IN421" s="27" t="str">
        <f t="shared" si="268"/>
        <v/>
      </c>
      <c r="IO421" s="27" t="str">
        <f t="shared" si="269"/>
        <v>L</v>
      </c>
      <c r="IP421" s="27" t="str">
        <f t="shared" si="270"/>
        <v/>
      </c>
      <c r="IQ421" s="27" t="str">
        <f t="shared" si="271"/>
        <v/>
      </c>
      <c r="IR421" s="27" t="str">
        <f t="shared" si="272"/>
        <v/>
      </c>
      <c r="IS421" s="27" t="str">
        <f t="shared" si="273"/>
        <v/>
      </c>
      <c r="IT421" s="27" t="str">
        <f t="shared" si="274"/>
        <v>E</v>
      </c>
      <c r="IU421" s="27" t="str">
        <f t="shared" si="275"/>
        <v>*</v>
      </c>
      <c r="NU421" s="36" t="s">
        <v>163</v>
      </c>
      <c r="NX421" s="27" t="str">
        <f t="shared" si="217"/>
        <v/>
      </c>
      <c r="NY421" s="27" t="str">
        <f t="shared" si="288"/>
        <v/>
      </c>
      <c r="NZ421" s="27" t="str">
        <f t="shared" si="289"/>
        <v/>
      </c>
      <c r="OA421" s="27" t="str">
        <f t="shared" si="290"/>
        <v/>
      </c>
      <c r="OB421" s="27" t="str">
        <f t="shared" si="291"/>
        <v/>
      </c>
      <c r="OC421" s="27" t="str">
        <f t="shared" si="292"/>
        <v/>
      </c>
      <c r="OD421" s="27" t="str">
        <f t="shared" si="293"/>
        <v/>
      </c>
      <c r="OE421" s="27" t="str">
        <f t="shared" si="294"/>
        <v/>
      </c>
      <c r="OF421" s="27" t="str">
        <f t="shared" si="295"/>
        <v/>
      </c>
      <c r="OG421" s="27" t="str">
        <f t="shared" si="296"/>
        <v/>
      </c>
      <c r="OH421" s="27" t="str">
        <f t="shared" si="297"/>
        <v/>
      </c>
      <c r="OI421" s="27" t="str">
        <f t="shared" si="298"/>
        <v/>
      </c>
      <c r="OJ421" s="27" t="str">
        <f t="shared" si="299"/>
        <v/>
      </c>
      <c r="OK421" s="27" t="str">
        <f t="shared" si="300"/>
        <v/>
      </c>
      <c r="OL421" s="27" t="str">
        <f t="shared" si="301"/>
        <v/>
      </c>
      <c r="OM421" s="27" t="str">
        <f t="shared" si="302"/>
        <v/>
      </c>
      <c r="ON421" s="27" t="str">
        <f t="shared" si="303"/>
        <v/>
      </c>
      <c r="OO421" s="27" t="str">
        <f t="shared" si="304"/>
        <v/>
      </c>
      <c r="OP421" s="27" t="str">
        <f t="shared" si="305"/>
        <v/>
      </c>
      <c r="OQ421" s="27" t="str">
        <f t="shared" si="306"/>
        <v/>
      </c>
      <c r="OR421" s="27" t="str">
        <f t="shared" si="307"/>
        <v/>
      </c>
      <c r="OS421" s="27" t="str">
        <f t="shared" si="308"/>
        <v/>
      </c>
      <c r="OT421" s="27" t="str">
        <f t="shared" si="309"/>
        <v/>
      </c>
      <c r="OU421" s="27">
        <f t="shared" si="310"/>
        <v>0</v>
      </c>
      <c r="OV421" s="27" t="str">
        <f t="shared" si="311"/>
        <v>DPA1*02:01</v>
      </c>
      <c r="OW421" s="27" t="str">
        <f t="shared" si="312"/>
        <v/>
      </c>
      <c r="OX421" s="27" t="str">
        <f t="shared" si="313"/>
        <v/>
      </c>
      <c r="OY421" s="27" t="str">
        <f t="shared" si="314"/>
        <v/>
      </c>
      <c r="OZ421" s="27" t="str">
        <f t="shared" si="276"/>
        <v/>
      </c>
      <c r="PA421" s="27" t="str">
        <f t="shared" si="277"/>
        <v/>
      </c>
      <c r="PB421" s="27" t="str">
        <f t="shared" si="278"/>
        <v/>
      </c>
      <c r="PC421" s="27" t="str">
        <f t="shared" si="279"/>
        <v/>
      </c>
      <c r="PD421" s="27" t="str">
        <f t="shared" si="280"/>
        <v/>
      </c>
      <c r="PE421" s="27" t="str">
        <f t="shared" si="281"/>
        <v/>
      </c>
      <c r="PF421" s="27" t="str">
        <f t="shared" si="282"/>
        <v/>
      </c>
      <c r="PG421" s="27" t="str">
        <f t="shared" si="283"/>
        <v/>
      </c>
      <c r="PH421" s="27" t="str">
        <f t="shared" si="284"/>
        <v/>
      </c>
      <c r="PI421" s="27" t="str">
        <f t="shared" si="285"/>
        <v/>
      </c>
      <c r="PJ421" s="27" t="str">
        <f t="shared" si="286"/>
        <v/>
      </c>
      <c r="PK421" s="27" t="str">
        <f t="shared" si="287"/>
        <v/>
      </c>
      <c r="QO421" s="260" t="s">
        <v>111</v>
      </c>
      <c r="QP421" t="s">
        <v>195</v>
      </c>
      <c r="QQ421" t="s">
        <v>20</v>
      </c>
      <c r="QR421" t="s">
        <v>2</v>
      </c>
      <c r="QS421" t="s">
        <v>204</v>
      </c>
      <c r="QT421" t="s">
        <v>1</v>
      </c>
      <c r="QU421" t="s">
        <v>15</v>
      </c>
      <c r="QV421" t="s">
        <v>1</v>
      </c>
      <c r="QW421" t="s">
        <v>22</v>
      </c>
      <c r="QX421" t="s">
        <v>198</v>
      </c>
      <c r="QY421" t="s">
        <v>8</v>
      </c>
      <c r="QZ421" t="s">
        <v>11</v>
      </c>
      <c r="RA421" t="s">
        <v>2</v>
      </c>
      <c r="RC421" t="s">
        <v>8</v>
      </c>
      <c r="RD421" t="s">
        <v>22</v>
      </c>
      <c r="RE421" t="s">
        <v>205</v>
      </c>
      <c r="RF421" t="s">
        <v>7</v>
      </c>
      <c r="RG421" t="s">
        <v>8</v>
      </c>
      <c r="RH421" t="s">
        <v>206</v>
      </c>
      <c r="RJ421" t="s">
        <v>11</v>
      </c>
      <c r="RK421" t="s">
        <v>2</v>
      </c>
      <c r="RL421" t="s">
        <v>12</v>
      </c>
      <c r="RM421" t="s">
        <v>203</v>
      </c>
      <c r="RN421" t="s">
        <v>212</v>
      </c>
      <c r="RO421" t="s">
        <v>201</v>
      </c>
      <c r="RQ421" t="s">
        <v>20</v>
      </c>
      <c r="RS421" t="s">
        <v>10</v>
      </c>
      <c r="RT421" t="s">
        <v>21</v>
      </c>
      <c r="RV421" t="s">
        <v>7</v>
      </c>
      <c r="RW421" t="s">
        <v>7</v>
      </c>
      <c r="RX421" t="s">
        <v>209</v>
      </c>
      <c r="RY421" t="s">
        <v>22</v>
      </c>
      <c r="RZ421" t="s">
        <v>185</v>
      </c>
      <c r="SB421" t="s">
        <v>1</v>
      </c>
      <c r="SC421" t="s">
        <v>1</v>
      </c>
      <c r="SD421" t="s">
        <v>15</v>
      </c>
      <c r="SE421" t="s">
        <v>22</v>
      </c>
      <c r="SF421" t="s">
        <v>7</v>
      </c>
      <c r="SH421" t="s">
        <v>15</v>
      </c>
      <c r="SI421" t="s">
        <v>5</v>
      </c>
      <c r="SJ421" s="246" t="s">
        <v>261</v>
      </c>
      <c r="SK421" s="260" t="s">
        <v>111</v>
      </c>
      <c r="SL421" s="246" t="s">
        <v>261</v>
      </c>
      <c r="WS421" s="66" t="s">
        <v>114</v>
      </c>
      <c r="WT421" s="27" t="str">
        <f t="shared" si="168"/>
        <v/>
      </c>
      <c r="WU421" s="27" t="str">
        <f t="shared" si="169"/>
        <v/>
      </c>
      <c r="WV421" s="27" t="str">
        <f t="shared" si="170"/>
        <v/>
      </c>
      <c r="WW421" s="27" t="str">
        <f t="shared" si="171"/>
        <v/>
      </c>
      <c r="WX421" s="27" t="str">
        <f t="shared" si="172"/>
        <v/>
      </c>
      <c r="WY421" s="27" t="str">
        <f t="shared" si="173"/>
        <v/>
      </c>
      <c r="WZ421" s="27" t="str">
        <f t="shared" si="174"/>
        <v/>
      </c>
      <c r="XA421" s="27" t="str">
        <f t="shared" si="175"/>
        <v/>
      </c>
      <c r="XB421" s="27" t="str">
        <f t="shared" si="176"/>
        <v/>
      </c>
      <c r="XC421" s="27" t="str">
        <f t="shared" si="177"/>
        <v/>
      </c>
      <c r="XD421" s="27" t="str">
        <f t="shared" si="178"/>
        <v/>
      </c>
      <c r="XE421" s="27" t="str">
        <f t="shared" si="179"/>
        <v/>
      </c>
      <c r="XF421" s="27" t="str">
        <f t="shared" si="180"/>
        <v/>
      </c>
      <c r="XG421" s="27" t="str">
        <f t="shared" si="181"/>
        <v/>
      </c>
      <c r="XH421" s="27" t="str">
        <f t="shared" si="182"/>
        <v/>
      </c>
      <c r="XI421" s="27" t="str">
        <f t="shared" si="183"/>
        <v/>
      </c>
      <c r="XJ421" s="27" t="str">
        <f t="shared" si="184"/>
        <v/>
      </c>
      <c r="XK421" s="27" t="str">
        <f t="shared" si="185"/>
        <v/>
      </c>
      <c r="XL421" s="27" t="str">
        <f t="shared" si="186"/>
        <v/>
      </c>
      <c r="XM421" s="27" t="str">
        <f t="shared" si="187"/>
        <v/>
      </c>
      <c r="XN421" s="27" t="str">
        <f t="shared" si="188"/>
        <v/>
      </c>
      <c r="XO421" s="27" t="str">
        <f t="shared" si="189"/>
        <v/>
      </c>
      <c r="XP421" s="27" t="str">
        <f t="shared" si="190"/>
        <v/>
      </c>
      <c r="XQ421" s="27" t="str">
        <f t="shared" si="191"/>
        <v/>
      </c>
      <c r="XR421" s="27" t="str">
        <f t="shared" si="192"/>
        <v/>
      </c>
      <c r="XS421" s="27" t="str">
        <f t="shared" si="193"/>
        <v/>
      </c>
      <c r="XT421" s="27" t="str">
        <f t="shared" si="194"/>
        <v/>
      </c>
      <c r="XU421" s="27" t="str">
        <f t="shared" si="195"/>
        <v/>
      </c>
      <c r="XV421" s="27" t="str">
        <f t="shared" si="196"/>
        <v/>
      </c>
      <c r="XW421" s="27" t="str">
        <f t="shared" si="197"/>
        <v/>
      </c>
      <c r="XX421" s="27" t="str">
        <f t="shared" si="198"/>
        <v/>
      </c>
      <c r="XY421" s="27" t="str">
        <f t="shared" si="199"/>
        <v/>
      </c>
      <c r="XZ421" s="27" t="str">
        <f t="shared" si="200"/>
        <v/>
      </c>
      <c r="YA421" s="27" t="str">
        <f t="shared" si="201"/>
        <v/>
      </c>
      <c r="YB421" s="27" t="str">
        <f t="shared" si="202"/>
        <v/>
      </c>
      <c r="YC421" s="27" t="str">
        <f t="shared" si="203"/>
        <v/>
      </c>
      <c r="YD421" s="27" t="str">
        <f t="shared" si="204"/>
        <v/>
      </c>
      <c r="YE421" s="27" t="str">
        <f t="shared" si="205"/>
        <v/>
      </c>
      <c r="YF421" s="27" t="str">
        <f t="shared" si="206"/>
        <v/>
      </c>
      <c r="YG421" s="27" t="str">
        <f t="shared" si="207"/>
        <v/>
      </c>
      <c r="YH421" s="27" t="str">
        <f t="shared" si="208"/>
        <v/>
      </c>
      <c r="YI421" s="27" t="str">
        <f t="shared" si="209"/>
        <v/>
      </c>
      <c r="YJ421" s="27" t="str">
        <f t="shared" si="210"/>
        <v/>
      </c>
      <c r="YK421" s="27" t="str">
        <f t="shared" si="211"/>
        <v/>
      </c>
      <c r="YL421" s="27" t="str">
        <f t="shared" si="212"/>
        <v/>
      </c>
      <c r="YM421" s="27" t="str">
        <f t="shared" si="213"/>
        <v/>
      </c>
      <c r="YN421" s="27" t="str">
        <f t="shared" si="214"/>
        <v/>
      </c>
    </row>
    <row r="422" spans="28:664" ht="21" x14ac:dyDescent="0.35">
      <c r="AB422" s="277" t="s">
        <v>25</v>
      </c>
      <c r="AC422" s="277" t="s">
        <v>1</v>
      </c>
      <c r="AD422" s="277" t="s">
        <v>2</v>
      </c>
      <c r="AE422" s="277" t="s">
        <v>3</v>
      </c>
      <c r="AF422" s="277" t="s">
        <v>4</v>
      </c>
      <c r="AG422" s="277" t="s">
        <v>5</v>
      </c>
      <c r="AH422" s="277" t="s">
        <v>6</v>
      </c>
      <c r="AI422" s="277" t="s">
        <v>2</v>
      </c>
      <c r="AJ422" s="277" t="s">
        <v>2</v>
      </c>
      <c r="AK422" s="277" t="s">
        <v>10</v>
      </c>
      <c r="AL422" s="277" t="s">
        <v>2</v>
      </c>
      <c r="AM422" s="277" t="s">
        <v>24</v>
      </c>
      <c r="AN422" s="277" t="s">
        <v>246</v>
      </c>
      <c r="AO422" s="277" t="s">
        <v>3</v>
      </c>
      <c r="AP422" s="277" t="s">
        <v>247</v>
      </c>
      <c r="AQ422" s="277" t="s">
        <v>19</v>
      </c>
      <c r="AR422" s="277"/>
      <c r="AS422" s="277" t="s">
        <v>9</v>
      </c>
      <c r="AT422" s="277" t="s">
        <v>11</v>
      </c>
      <c r="AU422" s="277" t="s">
        <v>20</v>
      </c>
      <c r="AV422" s="277" t="s">
        <v>7</v>
      </c>
      <c r="AW422" s="277" t="s">
        <v>5</v>
      </c>
      <c r="AX422" s="277"/>
      <c r="AY422" s="277"/>
      <c r="AZ422" s="277" t="s">
        <v>15</v>
      </c>
      <c r="BA422" s="277" t="s">
        <v>20</v>
      </c>
      <c r="BB422" s="277" t="s">
        <v>6</v>
      </c>
      <c r="BC422" s="277" t="s">
        <v>21</v>
      </c>
      <c r="BD422" s="277" t="s">
        <v>244</v>
      </c>
      <c r="BE422" s="277"/>
      <c r="BF422" s="277"/>
      <c r="BG422" s="277" t="s">
        <v>7</v>
      </c>
      <c r="BH422" s="277"/>
      <c r="BI422" s="277" t="s">
        <v>14</v>
      </c>
      <c r="BJ422" s="277" t="s">
        <v>5</v>
      </c>
      <c r="BK422" s="277" t="s">
        <v>11</v>
      </c>
      <c r="BL422" s="277"/>
      <c r="BM422" s="277" t="s">
        <v>5</v>
      </c>
      <c r="BN422" s="277" t="s">
        <v>12</v>
      </c>
      <c r="GO422" s="15" t="s">
        <v>54</v>
      </c>
      <c r="GP422" s="1" t="s">
        <v>17</v>
      </c>
      <c r="GQ422" s="27" t="str">
        <f t="shared" si="220"/>
        <v/>
      </c>
      <c r="GR422" s="27" t="str">
        <f t="shared" si="221"/>
        <v/>
      </c>
      <c r="GS422" s="27" t="str">
        <f t="shared" si="222"/>
        <v>A</v>
      </c>
      <c r="GT422" s="27" t="str">
        <f t="shared" si="223"/>
        <v/>
      </c>
      <c r="GU422" s="27" t="str">
        <f t="shared" si="224"/>
        <v/>
      </c>
      <c r="GV422" s="27" t="str">
        <f t="shared" si="225"/>
        <v>Y</v>
      </c>
      <c r="GW422" s="27" t="str">
        <f t="shared" si="226"/>
        <v/>
      </c>
      <c r="GX422" s="27" t="str">
        <f t="shared" si="227"/>
        <v/>
      </c>
      <c r="GY422" s="27" t="str">
        <f t="shared" si="228"/>
        <v/>
      </c>
      <c r="GZ422" s="27" t="str">
        <f t="shared" si="229"/>
        <v/>
      </c>
      <c r="HA422" s="27" t="str">
        <f t="shared" si="230"/>
        <v>45EV</v>
      </c>
      <c r="HB422" s="27" t="str">
        <f t="shared" si="231"/>
        <v/>
      </c>
      <c r="HC422" s="27" t="str">
        <f t="shared" si="232"/>
        <v>*</v>
      </c>
      <c r="HD422" s="27" t="str">
        <f t="shared" si="233"/>
        <v>52PL3</v>
      </c>
      <c r="HE422" s="27" t="str">
        <f t="shared" si="234"/>
        <v>55PP</v>
      </c>
      <c r="HF422" s="27" t="str">
        <f t="shared" si="235"/>
        <v/>
      </c>
      <c r="HG422" s="27" t="str">
        <f t="shared" si="236"/>
        <v/>
      </c>
      <c r="HH422" s="27" t="str">
        <f t="shared" si="237"/>
        <v/>
      </c>
      <c r="HI422" s="27" t="str">
        <f t="shared" si="238"/>
        <v/>
      </c>
      <c r="HJ422" s="27" t="str">
        <f t="shared" si="239"/>
        <v/>
      </c>
      <c r="HK422" s="27" t="str">
        <f t="shared" si="240"/>
        <v/>
      </c>
      <c r="HL422" s="27" t="str">
        <f t="shared" si="241"/>
        <v/>
      </c>
      <c r="HM422" s="27" t="str">
        <f t="shared" si="242"/>
        <v/>
      </c>
      <c r="HN422" s="27" t="str">
        <f t="shared" si="243"/>
        <v/>
      </c>
      <c r="HO422" s="27" t="str">
        <f t="shared" si="244"/>
        <v/>
      </c>
      <c r="HP422" s="27" t="str">
        <f t="shared" si="245"/>
        <v/>
      </c>
      <c r="HQ422" s="27" t="str">
        <f t="shared" si="246"/>
        <v/>
      </c>
      <c r="HR422" s="27" t="str">
        <f t="shared" si="247"/>
        <v>84QL3</v>
      </c>
      <c r="HS422" s="27" t="str">
        <f t="shared" si="248"/>
        <v>*</v>
      </c>
      <c r="HT422" s="27" t="str">
        <f t="shared" si="249"/>
        <v/>
      </c>
      <c r="HU422" s="27" t="str">
        <f t="shared" si="250"/>
        <v/>
      </c>
      <c r="HV422" s="27" t="str">
        <f t="shared" si="251"/>
        <v/>
      </c>
      <c r="HW422" s="27" t="str">
        <f t="shared" si="252"/>
        <v/>
      </c>
      <c r="HX422" s="27" t="str">
        <f t="shared" si="253"/>
        <v/>
      </c>
      <c r="HY422" s="27" t="str">
        <f t="shared" si="254"/>
        <v/>
      </c>
      <c r="HZ422" s="27" t="str">
        <f t="shared" si="255"/>
        <v>*</v>
      </c>
      <c r="IA422" s="27" t="str">
        <f t="shared" si="256"/>
        <v>H</v>
      </c>
      <c r="IB422" s="27" t="str">
        <f t="shared" si="257"/>
        <v/>
      </c>
      <c r="IC422" s="21" t="s">
        <v>58</v>
      </c>
      <c r="ID422" s="27" t="str">
        <f t="shared" si="258"/>
        <v/>
      </c>
      <c r="IE422" s="27" t="str">
        <f t="shared" si="259"/>
        <v/>
      </c>
      <c r="IF422" s="27" t="str">
        <f t="shared" si="260"/>
        <v/>
      </c>
      <c r="IG422" s="27" t="str">
        <f t="shared" si="261"/>
        <v/>
      </c>
      <c r="IH422" s="27" t="str">
        <f t="shared" si="262"/>
        <v/>
      </c>
      <c r="II422" s="27" t="str">
        <f t="shared" si="263"/>
        <v>EpY</v>
      </c>
      <c r="IJ422" s="27" t="str">
        <f t="shared" si="264"/>
        <v>47KHL</v>
      </c>
      <c r="IK422" s="27" t="str">
        <f t="shared" si="265"/>
        <v>50LR</v>
      </c>
      <c r="IL422" s="27" t="str">
        <f t="shared" si="266"/>
        <v/>
      </c>
      <c r="IM422" s="27" t="str">
        <f t="shared" si="267"/>
        <v/>
      </c>
      <c r="IN422" s="27" t="str">
        <f t="shared" si="268"/>
        <v>*</v>
      </c>
      <c r="IO422" s="27" t="str">
        <f t="shared" si="269"/>
        <v>L</v>
      </c>
      <c r="IP422" s="27" t="str">
        <f t="shared" si="270"/>
        <v/>
      </c>
      <c r="IQ422" s="27" t="str">
        <f t="shared" si="271"/>
        <v>L</v>
      </c>
      <c r="IR422" s="27" t="str">
        <f t="shared" si="272"/>
        <v/>
      </c>
      <c r="IS422" s="27" t="str">
        <f t="shared" si="273"/>
        <v/>
      </c>
      <c r="IT422" s="27" t="str">
        <f t="shared" si="274"/>
        <v>E</v>
      </c>
      <c r="IU422" s="27" t="str">
        <f t="shared" si="275"/>
        <v/>
      </c>
      <c r="NU422" s="37" t="s">
        <v>165</v>
      </c>
      <c r="NX422" s="27" t="str">
        <f t="shared" si="217"/>
        <v/>
      </c>
      <c r="NY422" s="27" t="str">
        <f t="shared" si="288"/>
        <v/>
      </c>
      <c r="NZ422" s="27" t="str">
        <f t="shared" si="289"/>
        <v/>
      </c>
      <c r="OA422" s="27" t="str">
        <f t="shared" si="290"/>
        <v/>
      </c>
      <c r="OB422" s="27" t="str">
        <f t="shared" si="291"/>
        <v/>
      </c>
      <c r="OC422" s="27" t="str">
        <f t="shared" si="292"/>
        <v/>
      </c>
      <c r="OD422" s="27" t="str">
        <f t="shared" si="293"/>
        <v/>
      </c>
      <c r="OE422" s="27" t="str">
        <f t="shared" si="294"/>
        <v/>
      </c>
      <c r="OF422" s="27" t="str">
        <f t="shared" si="295"/>
        <v/>
      </c>
      <c r="OG422" s="27" t="str">
        <f t="shared" si="296"/>
        <v/>
      </c>
      <c r="OH422" s="27" t="str">
        <f t="shared" si="297"/>
        <v/>
      </c>
      <c r="OI422" s="27" t="str">
        <f t="shared" si="298"/>
        <v/>
      </c>
      <c r="OJ422" s="27" t="str">
        <f t="shared" si="299"/>
        <v/>
      </c>
      <c r="OK422" s="27" t="str">
        <f t="shared" si="300"/>
        <v/>
      </c>
      <c r="OL422" s="27" t="str">
        <f t="shared" si="301"/>
        <v/>
      </c>
      <c r="OM422" s="27" t="str">
        <f t="shared" si="302"/>
        <v/>
      </c>
      <c r="ON422" s="27" t="str">
        <f t="shared" si="303"/>
        <v/>
      </c>
      <c r="OO422" s="27" t="str">
        <f t="shared" si="304"/>
        <v/>
      </c>
      <c r="OP422" s="27" t="str">
        <f t="shared" si="305"/>
        <v/>
      </c>
      <c r="OQ422" s="27" t="str">
        <f t="shared" si="306"/>
        <v/>
      </c>
      <c r="OR422" s="27" t="str">
        <f t="shared" si="307"/>
        <v/>
      </c>
      <c r="OS422" s="27" t="str">
        <f t="shared" si="308"/>
        <v/>
      </c>
      <c r="OT422" s="27" t="str">
        <f t="shared" si="309"/>
        <v/>
      </c>
      <c r="OU422" s="27">
        <f t="shared" si="310"/>
        <v>0</v>
      </c>
      <c r="OV422" s="27" t="str">
        <f t="shared" si="311"/>
        <v>DPA1*02:01</v>
      </c>
      <c r="OW422" s="27" t="str">
        <f t="shared" si="312"/>
        <v/>
      </c>
      <c r="OX422" s="27" t="str">
        <f t="shared" si="313"/>
        <v/>
      </c>
      <c r="OY422" s="27" t="str">
        <f t="shared" si="314"/>
        <v/>
      </c>
      <c r="OZ422" s="27" t="str">
        <f t="shared" si="276"/>
        <v/>
      </c>
      <c r="PA422" s="27" t="str">
        <f t="shared" si="277"/>
        <v/>
      </c>
      <c r="PB422" s="27" t="str">
        <f t="shared" si="278"/>
        <v/>
      </c>
      <c r="PC422" s="27" t="str">
        <f t="shared" si="279"/>
        <v/>
      </c>
      <c r="PD422" s="27" t="str">
        <f t="shared" si="280"/>
        <v/>
      </c>
      <c r="PE422" s="27" t="str">
        <f t="shared" si="281"/>
        <v/>
      </c>
      <c r="PF422" s="27" t="str">
        <f t="shared" si="282"/>
        <v/>
      </c>
      <c r="PG422" s="27" t="str">
        <f t="shared" si="283"/>
        <v/>
      </c>
      <c r="PH422" s="27" t="str">
        <f t="shared" si="284"/>
        <v/>
      </c>
      <c r="PI422" s="27" t="str">
        <f t="shared" si="285"/>
        <v/>
      </c>
      <c r="PJ422" s="27" t="str">
        <f t="shared" si="286"/>
        <v/>
      </c>
      <c r="PK422" s="27" t="str">
        <f t="shared" si="287"/>
        <v/>
      </c>
      <c r="QO422" s="260" t="s">
        <v>265</v>
      </c>
      <c r="QP422" t="s">
        <v>195</v>
      </c>
      <c r="QQ422" t="s">
        <v>20</v>
      </c>
      <c r="QR422" t="s">
        <v>2</v>
      </c>
      <c r="QS422" t="s">
        <v>204</v>
      </c>
      <c r="QT422" t="s">
        <v>1</v>
      </c>
      <c r="QU422" t="s">
        <v>15</v>
      </c>
      <c r="QV422" t="s">
        <v>1</v>
      </c>
      <c r="QW422" t="s">
        <v>22</v>
      </c>
      <c r="QX422" t="s">
        <v>198</v>
      </c>
      <c r="QY422" t="s">
        <v>8</v>
      </c>
      <c r="QZ422" t="s">
        <v>11</v>
      </c>
      <c r="RA422" t="s">
        <v>2</v>
      </c>
      <c r="RC422" t="s">
        <v>8</v>
      </c>
      <c r="RD422" t="s">
        <v>22</v>
      </c>
      <c r="RE422" t="s">
        <v>205</v>
      </c>
      <c r="RF422" t="s">
        <v>7</v>
      </c>
      <c r="RG422" t="s">
        <v>8</v>
      </c>
      <c r="RH422" t="s">
        <v>206</v>
      </c>
      <c r="RJ422" t="s">
        <v>11</v>
      </c>
      <c r="RK422" t="s">
        <v>2</v>
      </c>
      <c r="RL422" t="s">
        <v>12</v>
      </c>
      <c r="RM422" t="s">
        <v>203</v>
      </c>
      <c r="RN422" t="s">
        <v>212</v>
      </c>
      <c r="RO422" t="s">
        <v>201</v>
      </c>
      <c r="RQ422" t="s">
        <v>20</v>
      </c>
      <c r="RS422" t="s">
        <v>10</v>
      </c>
      <c r="RT422" t="s">
        <v>21</v>
      </c>
      <c r="RV422" t="s">
        <v>7</v>
      </c>
      <c r="RW422" t="s">
        <v>3</v>
      </c>
      <c r="RX422" t="s">
        <v>209</v>
      </c>
      <c r="RY422" t="s">
        <v>22</v>
      </c>
      <c r="RZ422" t="s">
        <v>185</v>
      </c>
      <c r="SB422" t="s">
        <v>1</v>
      </c>
      <c r="SC422" t="s">
        <v>1</v>
      </c>
      <c r="SD422" t="s">
        <v>15</v>
      </c>
      <c r="SE422" t="s">
        <v>22</v>
      </c>
      <c r="SF422" t="s">
        <v>7</v>
      </c>
      <c r="SH422" t="s">
        <v>15</v>
      </c>
      <c r="SI422" t="s">
        <v>5</v>
      </c>
      <c r="SJ422" s="246" t="s">
        <v>261</v>
      </c>
      <c r="SK422" s="260" t="s">
        <v>265</v>
      </c>
      <c r="SL422" s="246" t="s">
        <v>261</v>
      </c>
      <c r="WS422" s="66" t="s">
        <v>116</v>
      </c>
      <c r="WT422" s="27" t="str">
        <f t="shared" si="168"/>
        <v/>
      </c>
      <c r="WU422" s="27" t="str">
        <f t="shared" si="169"/>
        <v/>
      </c>
      <c r="WV422" s="27" t="str">
        <f t="shared" si="170"/>
        <v/>
      </c>
      <c r="WW422" s="27" t="str">
        <f t="shared" si="171"/>
        <v/>
      </c>
      <c r="WX422" s="27" t="str">
        <f t="shared" si="172"/>
        <v/>
      </c>
      <c r="WY422" s="27" t="str">
        <f t="shared" si="173"/>
        <v/>
      </c>
      <c r="WZ422" s="27" t="str">
        <f t="shared" si="174"/>
        <v/>
      </c>
      <c r="XA422" s="27" t="str">
        <f t="shared" si="175"/>
        <v/>
      </c>
      <c r="XB422" s="27" t="str">
        <f t="shared" si="176"/>
        <v/>
      </c>
      <c r="XC422" s="27" t="str">
        <f t="shared" si="177"/>
        <v/>
      </c>
      <c r="XD422" s="27" t="str">
        <f t="shared" si="178"/>
        <v/>
      </c>
      <c r="XE422" s="27" t="str">
        <f t="shared" si="179"/>
        <v/>
      </c>
      <c r="XF422" s="27" t="str">
        <f t="shared" si="180"/>
        <v/>
      </c>
      <c r="XG422" s="27" t="str">
        <f t="shared" si="181"/>
        <v/>
      </c>
      <c r="XH422" s="27" t="str">
        <f t="shared" si="182"/>
        <v/>
      </c>
      <c r="XI422" s="27" t="str">
        <f t="shared" si="183"/>
        <v/>
      </c>
      <c r="XJ422" s="27" t="str">
        <f t="shared" si="184"/>
        <v/>
      </c>
      <c r="XK422" s="27" t="str">
        <f t="shared" si="185"/>
        <v/>
      </c>
      <c r="XL422" s="27" t="str">
        <f t="shared" si="186"/>
        <v/>
      </c>
      <c r="XM422" s="27" t="str">
        <f t="shared" si="187"/>
        <v/>
      </c>
      <c r="XN422" s="27" t="str">
        <f t="shared" si="188"/>
        <v/>
      </c>
      <c r="XO422" s="27" t="str">
        <f t="shared" si="189"/>
        <v/>
      </c>
      <c r="XP422" s="27" t="str">
        <f t="shared" si="190"/>
        <v/>
      </c>
      <c r="XQ422" s="27" t="str">
        <f t="shared" si="191"/>
        <v/>
      </c>
      <c r="XR422" s="27" t="str">
        <f t="shared" si="192"/>
        <v/>
      </c>
      <c r="XS422" s="27" t="str">
        <f t="shared" si="193"/>
        <v/>
      </c>
      <c r="XT422" s="27" t="str">
        <f t="shared" si="194"/>
        <v/>
      </c>
      <c r="XU422" s="27" t="str">
        <f t="shared" si="195"/>
        <v/>
      </c>
      <c r="XV422" s="27" t="str">
        <f t="shared" si="196"/>
        <v/>
      </c>
      <c r="XW422" s="27" t="str">
        <f t="shared" si="197"/>
        <v/>
      </c>
      <c r="XX422" s="27" t="str">
        <f t="shared" si="198"/>
        <v/>
      </c>
      <c r="XY422" s="27" t="str">
        <f t="shared" si="199"/>
        <v/>
      </c>
      <c r="XZ422" s="27" t="str">
        <f t="shared" si="200"/>
        <v/>
      </c>
      <c r="YA422" s="27" t="str">
        <f t="shared" si="201"/>
        <v/>
      </c>
      <c r="YB422" s="27" t="str">
        <f t="shared" si="202"/>
        <v/>
      </c>
      <c r="YC422" s="27" t="str">
        <f t="shared" si="203"/>
        <v/>
      </c>
      <c r="YD422" s="27" t="str">
        <f t="shared" si="204"/>
        <v/>
      </c>
      <c r="YE422" s="27" t="str">
        <f t="shared" si="205"/>
        <v/>
      </c>
      <c r="YF422" s="27" t="str">
        <f t="shared" si="206"/>
        <v/>
      </c>
      <c r="YG422" s="27" t="str">
        <f t="shared" si="207"/>
        <v/>
      </c>
      <c r="YH422" s="27" t="str">
        <f t="shared" si="208"/>
        <v/>
      </c>
      <c r="YI422" s="27" t="str">
        <f t="shared" si="209"/>
        <v/>
      </c>
      <c r="YJ422" s="27" t="str">
        <f t="shared" si="210"/>
        <v/>
      </c>
      <c r="YK422" s="27" t="str">
        <f t="shared" si="211"/>
        <v/>
      </c>
      <c r="YL422" s="27" t="str">
        <f t="shared" si="212"/>
        <v/>
      </c>
      <c r="YM422" s="27" t="str">
        <f t="shared" si="213"/>
        <v/>
      </c>
      <c r="YN422" s="27" t="str">
        <f t="shared" si="214"/>
        <v/>
      </c>
    </row>
    <row r="423" spans="28:664" ht="21" x14ac:dyDescent="0.35">
      <c r="AB423" s="277" t="s">
        <v>26</v>
      </c>
      <c r="AC423" s="277" t="s">
        <v>1</v>
      </c>
      <c r="AD423" s="277" t="s">
        <v>8</v>
      </c>
      <c r="AE423" s="277" t="s">
        <v>3</v>
      </c>
      <c r="AF423" s="277" t="s">
        <v>4</v>
      </c>
      <c r="AG423" s="277" t="s">
        <v>6</v>
      </c>
      <c r="AH423" s="277"/>
      <c r="AI423" s="277" t="s">
        <v>2</v>
      </c>
      <c r="AJ423" s="277" t="s">
        <v>2</v>
      </c>
      <c r="AK423" s="277" t="s">
        <v>10</v>
      </c>
      <c r="AL423" s="277" t="s">
        <v>2</v>
      </c>
      <c r="AM423" s="277" t="s">
        <v>24</v>
      </c>
      <c r="AN423" s="277" t="s">
        <v>246</v>
      </c>
      <c r="AO423" s="277" t="s">
        <v>3</v>
      </c>
      <c r="AP423" s="277" t="s">
        <v>247</v>
      </c>
      <c r="AQ423" s="277" t="s">
        <v>27</v>
      </c>
      <c r="AR423" s="277" t="s">
        <v>248</v>
      </c>
      <c r="AS423" s="277"/>
      <c r="AT423" s="277" t="s">
        <v>11</v>
      </c>
      <c r="AU423" s="277" t="s">
        <v>11</v>
      </c>
      <c r="AV423" s="277" t="s">
        <v>12</v>
      </c>
      <c r="AW423" s="277"/>
      <c r="AX423" s="277"/>
      <c r="AY423" s="277" t="s">
        <v>249</v>
      </c>
      <c r="AZ423" s="277"/>
      <c r="BA423" s="277"/>
      <c r="BB423" s="277" t="s">
        <v>7</v>
      </c>
      <c r="BC423" s="277" t="s">
        <v>21</v>
      </c>
      <c r="BD423" s="277" t="s">
        <v>244</v>
      </c>
      <c r="BE423" s="277"/>
      <c r="BF423" s="277"/>
      <c r="BG423" s="277" t="s">
        <v>7</v>
      </c>
      <c r="BH423" s="277"/>
      <c r="BI423" s="277" t="s">
        <v>14</v>
      </c>
      <c r="BJ423" s="277" t="s">
        <v>5</v>
      </c>
      <c r="BK423" s="277" t="s">
        <v>11</v>
      </c>
      <c r="BL423" s="277"/>
      <c r="BM423" s="277" t="s">
        <v>5</v>
      </c>
      <c r="BN423" s="277" t="s">
        <v>12</v>
      </c>
      <c r="GO423" s="15" t="s">
        <v>54</v>
      </c>
      <c r="GP423" s="1" t="s">
        <v>17</v>
      </c>
      <c r="GQ423" s="27" t="str">
        <f t="shared" si="220"/>
        <v/>
      </c>
      <c r="GR423" s="27" t="str">
        <f t="shared" si="221"/>
        <v/>
      </c>
      <c r="GS423" s="27" t="str">
        <f t="shared" si="222"/>
        <v>A</v>
      </c>
      <c r="GT423" s="27" t="str">
        <f t="shared" si="223"/>
        <v/>
      </c>
      <c r="GU423" s="27" t="str">
        <f t="shared" si="224"/>
        <v/>
      </c>
      <c r="GV423" s="27" t="str">
        <f t="shared" si="225"/>
        <v>Y</v>
      </c>
      <c r="GW423" s="27" t="str">
        <f t="shared" si="226"/>
        <v/>
      </c>
      <c r="GX423" s="27" t="str">
        <f t="shared" si="227"/>
        <v/>
      </c>
      <c r="GY423" s="27" t="str">
        <f t="shared" si="228"/>
        <v/>
      </c>
      <c r="GZ423" s="27" t="str">
        <f t="shared" si="229"/>
        <v/>
      </c>
      <c r="HA423" s="27" t="str">
        <f t="shared" si="230"/>
        <v>45EV</v>
      </c>
      <c r="HB423" s="27" t="str">
        <f t="shared" si="231"/>
        <v/>
      </c>
      <c r="HC423" s="27" t="str">
        <f t="shared" si="232"/>
        <v>*</v>
      </c>
      <c r="HD423" s="27" t="str">
        <f t="shared" si="233"/>
        <v>52PL3</v>
      </c>
      <c r="HE423" s="27" t="str">
        <f t="shared" si="234"/>
        <v>55PP</v>
      </c>
      <c r="HF423" s="27" t="str">
        <f t="shared" si="235"/>
        <v/>
      </c>
      <c r="HG423" s="27" t="str">
        <f t="shared" si="236"/>
        <v/>
      </c>
      <c r="HH423" s="27" t="str">
        <f t="shared" si="237"/>
        <v/>
      </c>
      <c r="HI423" s="27" t="str">
        <f t="shared" si="238"/>
        <v/>
      </c>
      <c r="HJ423" s="27" t="str">
        <f t="shared" si="239"/>
        <v/>
      </c>
      <c r="HK423" s="27" t="str">
        <f t="shared" si="240"/>
        <v/>
      </c>
      <c r="HL423" s="27" t="str">
        <f t="shared" si="241"/>
        <v/>
      </c>
      <c r="HM423" s="27" t="str">
        <f t="shared" si="242"/>
        <v/>
      </c>
      <c r="HN423" s="27" t="str">
        <f t="shared" si="243"/>
        <v/>
      </c>
      <c r="HO423" s="27" t="str">
        <f t="shared" si="244"/>
        <v/>
      </c>
      <c r="HP423" s="27" t="str">
        <f t="shared" si="245"/>
        <v/>
      </c>
      <c r="HQ423" s="27" t="str">
        <f t="shared" si="246"/>
        <v/>
      </c>
      <c r="HR423" s="27" t="str">
        <f t="shared" si="247"/>
        <v>84QL3</v>
      </c>
      <c r="HS423" s="27" t="str">
        <f t="shared" si="248"/>
        <v>*</v>
      </c>
      <c r="HT423" s="27" t="str">
        <f t="shared" si="249"/>
        <v/>
      </c>
      <c r="HU423" s="27" t="str">
        <f t="shared" si="250"/>
        <v/>
      </c>
      <c r="HV423" s="27" t="str">
        <f t="shared" si="251"/>
        <v/>
      </c>
      <c r="HW423" s="27" t="str">
        <f t="shared" si="252"/>
        <v/>
      </c>
      <c r="HX423" s="27" t="str">
        <f t="shared" si="253"/>
        <v/>
      </c>
      <c r="HY423" s="27" t="str">
        <f t="shared" si="254"/>
        <v/>
      </c>
      <c r="HZ423" s="27" t="str">
        <f t="shared" si="255"/>
        <v>*</v>
      </c>
      <c r="IA423" s="27" t="str">
        <f t="shared" si="256"/>
        <v>H</v>
      </c>
      <c r="IB423" s="27" t="str">
        <f t="shared" si="257"/>
        <v/>
      </c>
      <c r="IC423" s="19" t="s">
        <v>66</v>
      </c>
      <c r="ID423" s="27" t="str">
        <f t="shared" si="258"/>
        <v/>
      </c>
      <c r="IE423" s="27" t="str">
        <f t="shared" si="259"/>
        <v/>
      </c>
      <c r="IF423" s="27" t="str">
        <f t="shared" si="260"/>
        <v/>
      </c>
      <c r="IG423" s="27" t="str">
        <f t="shared" si="261"/>
        <v>40GR3</v>
      </c>
      <c r="IH423" s="27" t="str">
        <f t="shared" si="262"/>
        <v>*</v>
      </c>
      <c r="II423" s="27" t="str">
        <f t="shared" si="263"/>
        <v>EpY</v>
      </c>
      <c r="IJ423" s="27" t="str">
        <f t="shared" si="264"/>
        <v>75S3</v>
      </c>
      <c r="IK423" s="27" t="str">
        <f t="shared" si="265"/>
        <v/>
      </c>
      <c r="IL423" s="27" t="str">
        <f t="shared" si="266"/>
        <v>*</v>
      </c>
      <c r="IM423" s="27" t="str">
        <f t="shared" si="267"/>
        <v>R</v>
      </c>
      <c r="IN423" s="27" t="str">
        <f t="shared" si="268"/>
        <v/>
      </c>
      <c r="IO423" s="27" t="str">
        <f t="shared" si="269"/>
        <v>L</v>
      </c>
      <c r="IP423" s="27" t="str">
        <f t="shared" si="270"/>
        <v>*</v>
      </c>
      <c r="IQ423" s="27" t="str">
        <f t="shared" si="271"/>
        <v>L</v>
      </c>
      <c r="IR423" s="27" t="str">
        <f t="shared" si="272"/>
        <v/>
      </c>
      <c r="IS423" s="27" t="str">
        <f t="shared" si="273"/>
        <v>S</v>
      </c>
      <c r="IT423" s="27" t="str">
        <f t="shared" si="274"/>
        <v/>
      </c>
      <c r="IU423" s="27" t="str">
        <f t="shared" si="275"/>
        <v/>
      </c>
      <c r="NU423" s="36" t="s">
        <v>167</v>
      </c>
      <c r="NX423" s="27" t="str">
        <f t="shared" si="217"/>
        <v/>
      </c>
      <c r="NY423" s="27" t="str">
        <f t="shared" si="288"/>
        <v/>
      </c>
      <c r="NZ423" s="27" t="str">
        <f t="shared" si="289"/>
        <v/>
      </c>
      <c r="OA423" s="27" t="str">
        <f t="shared" si="290"/>
        <v/>
      </c>
      <c r="OB423" s="27" t="str">
        <f t="shared" si="291"/>
        <v/>
      </c>
      <c r="OC423" s="27" t="str">
        <f t="shared" si="292"/>
        <v/>
      </c>
      <c r="OD423" s="27" t="str">
        <f t="shared" si="293"/>
        <v/>
      </c>
      <c r="OE423" s="27" t="str">
        <f t="shared" si="294"/>
        <v/>
      </c>
      <c r="OF423" s="27" t="str">
        <f t="shared" si="295"/>
        <v/>
      </c>
      <c r="OG423" s="27" t="str">
        <f t="shared" si="296"/>
        <v/>
      </c>
      <c r="OH423" s="27" t="str">
        <f t="shared" si="297"/>
        <v/>
      </c>
      <c r="OI423" s="27" t="str">
        <f t="shared" si="298"/>
        <v/>
      </c>
      <c r="OJ423" s="27" t="str">
        <f t="shared" si="299"/>
        <v/>
      </c>
      <c r="OK423" s="27" t="str">
        <f t="shared" si="300"/>
        <v/>
      </c>
      <c r="OL423" s="27" t="str">
        <f t="shared" si="301"/>
        <v/>
      </c>
      <c r="OM423" s="27" t="str">
        <f t="shared" si="302"/>
        <v/>
      </c>
      <c r="ON423" s="27" t="str">
        <f t="shared" si="303"/>
        <v/>
      </c>
      <c r="OO423" s="27" t="str">
        <f t="shared" si="304"/>
        <v/>
      </c>
      <c r="OP423" s="27" t="str">
        <f t="shared" si="305"/>
        <v/>
      </c>
      <c r="OQ423" s="27" t="str">
        <f t="shared" si="306"/>
        <v/>
      </c>
      <c r="OR423" s="27" t="str">
        <f t="shared" si="307"/>
        <v/>
      </c>
      <c r="OS423" s="27" t="str">
        <f t="shared" si="308"/>
        <v/>
      </c>
      <c r="OT423" s="27" t="str">
        <f t="shared" si="309"/>
        <v/>
      </c>
      <c r="OU423" s="27">
        <f t="shared" si="310"/>
        <v>0</v>
      </c>
      <c r="OV423" s="27" t="str">
        <f t="shared" si="311"/>
        <v>DPA1*02:01</v>
      </c>
      <c r="OW423" s="27" t="str">
        <f t="shared" si="312"/>
        <v/>
      </c>
      <c r="OX423" s="27" t="str">
        <f t="shared" si="313"/>
        <v/>
      </c>
      <c r="OY423" s="27" t="str">
        <f t="shared" si="314"/>
        <v/>
      </c>
      <c r="OZ423" s="27" t="str">
        <f t="shared" si="276"/>
        <v/>
      </c>
      <c r="PA423" s="27" t="str">
        <f t="shared" si="277"/>
        <v/>
      </c>
      <c r="PB423" s="27" t="str">
        <f t="shared" si="278"/>
        <v/>
      </c>
      <c r="PC423" s="27" t="str">
        <f t="shared" si="279"/>
        <v/>
      </c>
      <c r="PD423" s="27" t="str">
        <f t="shared" si="280"/>
        <v/>
      </c>
      <c r="PE423" s="27" t="str">
        <f t="shared" si="281"/>
        <v/>
      </c>
      <c r="PF423" s="27" t="str">
        <f t="shared" si="282"/>
        <v/>
      </c>
      <c r="PG423" s="27" t="str">
        <f t="shared" si="283"/>
        <v/>
      </c>
      <c r="PH423" s="27" t="str">
        <f t="shared" si="284"/>
        <v/>
      </c>
      <c r="PI423" s="27" t="str">
        <f t="shared" si="285"/>
        <v/>
      </c>
      <c r="PJ423" s="27" t="str">
        <f t="shared" si="286"/>
        <v/>
      </c>
      <c r="PK423" s="27" t="str">
        <f t="shared" si="287"/>
        <v/>
      </c>
      <c r="QO423" s="260" t="s">
        <v>113</v>
      </c>
      <c r="QP423" t="s">
        <v>195</v>
      </c>
      <c r="QQ423" t="s">
        <v>20</v>
      </c>
      <c r="QR423" t="s">
        <v>2</v>
      </c>
      <c r="QS423" t="s">
        <v>204</v>
      </c>
      <c r="QT423" t="s">
        <v>1</v>
      </c>
      <c r="QU423" t="s">
        <v>15</v>
      </c>
      <c r="QV423" t="s">
        <v>1</v>
      </c>
      <c r="QW423" t="s">
        <v>22</v>
      </c>
      <c r="QX423" t="s">
        <v>198</v>
      </c>
      <c r="QY423" t="s">
        <v>8</v>
      </c>
      <c r="QZ423" t="s">
        <v>11</v>
      </c>
      <c r="RA423" t="s">
        <v>2</v>
      </c>
      <c r="RB423" t="s">
        <v>210</v>
      </c>
      <c r="RC423" t="s">
        <v>8</v>
      </c>
      <c r="RD423" t="s">
        <v>2</v>
      </c>
      <c r="RE423" t="s">
        <v>2</v>
      </c>
      <c r="RF423" t="s">
        <v>7</v>
      </c>
      <c r="RG423" t="s">
        <v>8</v>
      </c>
      <c r="RJ423" t="s">
        <v>1</v>
      </c>
      <c r="RK423" t="s">
        <v>2</v>
      </c>
      <c r="RL423" t="s">
        <v>12</v>
      </c>
      <c r="RM423" t="s">
        <v>203</v>
      </c>
      <c r="RN423" t="s">
        <v>212</v>
      </c>
      <c r="RO423" t="s">
        <v>201</v>
      </c>
      <c r="RQ423" t="s">
        <v>185</v>
      </c>
      <c r="RS423" t="s">
        <v>10</v>
      </c>
      <c r="RT423" t="s">
        <v>21</v>
      </c>
      <c r="RV423" t="s">
        <v>7</v>
      </c>
      <c r="RW423" t="s">
        <v>3</v>
      </c>
      <c r="RX423" t="s">
        <v>209</v>
      </c>
      <c r="RY423" t="s">
        <v>22</v>
      </c>
      <c r="RZ423" t="s">
        <v>185</v>
      </c>
      <c r="SB423" t="s">
        <v>1</v>
      </c>
      <c r="SC423" t="s">
        <v>1</v>
      </c>
      <c r="SD423" t="s">
        <v>15</v>
      </c>
      <c r="SE423" t="s">
        <v>22</v>
      </c>
      <c r="SF423" t="s">
        <v>7</v>
      </c>
      <c r="SH423" t="s">
        <v>15</v>
      </c>
      <c r="SI423" t="s">
        <v>5</v>
      </c>
      <c r="SJ423" s="246" t="s">
        <v>261</v>
      </c>
      <c r="SK423" s="260" t="s">
        <v>113</v>
      </c>
      <c r="SL423" s="246" t="s">
        <v>261</v>
      </c>
      <c r="WS423" s="66" t="s">
        <v>117</v>
      </c>
      <c r="WT423" s="27" t="str">
        <f t="shared" si="168"/>
        <v/>
      </c>
      <c r="WU423" s="27" t="str">
        <f t="shared" si="169"/>
        <v/>
      </c>
      <c r="WV423" s="27" t="str">
        <f t="shared" si="170"/>
        <v/>
      </c>
      <c r="WW423" s="27" t="str">
        <f t="shared" si="171"/>
        <v/>
      </c>
      <c r="WX423" s="27" t="str">
        <f t="shared" si="172"/>
        <v/>
      </c>
      <c r="WY423" s="27" t="str">
        <f t="shared" si="173"/>
        <v/>
      </c>
      <c r="WZ423" s="27" t="str">
        <f t="shared" si="174"/>
        <v/>
      </c>
      <c r="XA423" s="27" t="str">
        <f t="shared" si="175"/>
        <v/>
      </c>
      <c r="XB423" s="27" t="str">
        <f t="shared" si="176"/>
        <v/>
      </c>
      <c r="XC423" s="27" t="str">
        <f t="shared" si="177"/>
        <v/>
      </c>
      <c r="XD423" s="27" t="str">
        <f t="shared" si="178"/>
        <v/>
      </c>
      <c r="XE423" s="27" t="str">
        <f t="shared" si="179"/>
        <v/>
      </c>
      <c r="XF423" s="27" t="str">
        <f t="shared" si="180"/>
        <v/>
      </c>
      <c r="XG423" s="27" t="str">
        <f t="shared" si="181"/>
        <v/>
      </c>
      <c r="XH423" s="27" t="str">
        <f t="shared" si="182"/>
        <v/>
      </c>
      <c r="XI423" s="27" t="str">
        <f t="shared" si="183"/>
        <v/>
      </c>
      <c r="XJ423" s="27" t="str">
        <f t="shared" si="184"/>
        <v/>
      </c>
      <c r="XK423" s="27" t="str">
        <f t="shared" si="185"/>
        <v/>
      </c>
      <c r="XL423" s="27" t="str">
        <f t="shared" si="186"/>
        <v/>
      </c>
      <c r="XM423" s="27" t="str">
        <f t="shared" si="187"/>
        <v/>
      </c>
      <c r="XN423" s="27" t="str">
        <f t="shared" si="188"/>
        <v/>
      </c>
      <c r="XO423" s="27" t="str">
        <f t="shared" si="189"/>
        <v/>
      </c>
      <c r="XP423" s="27" t="str">
        <f t="shared" si="190"/>
        <v/>
      </c>
      <c r="XQ423" s="27" t="str">
        <f t="shared" si="191"/>
        <v/>
      </c>
      <c r="XR423" s="27" t="str">
        <f t="shared" si="192"/>
        <v/>
      </c>
      <c r="XS423" s="27" t="str">
        <f t="shared" si="193"/>
        <v/>
      </c>
      <c r="XT423" s="27" t="str">
        <f t="shared" si="194"/>
        <v/>
      </c>
      <c r="XU423" s="27" t="str">
        <f t="shared" si="195"/>
        <v/>
      </c>
      <c r="XV423" s="27" t="str">
        <f t="shared" si="196"/>
        <v/>
      </c>
      <c r="XW423" s="27" t="str">
        <f t="shared" si="197"/>
        <v/>
      </c>
      <c r="XX423" s="27" t="str">
        <f t="shared" si="198"/>
        <v/>
      </c>
      <c r="XY423" s="27" t="str">
        <f t="shared" si="199"/>
        <v/>
      </c>
      <c r="XZ423" s="27" t="str">
        <f t="shared" si="200"/>
        <v/>
      </c>
      <c r="YA423" s="27" t="str">
        <f t="shared" si="201"/>
        <v/>
      </c>
      <c r="YB423" s="27" t="str">
        <f t="shared" si="202"/>
        <v/>
      </c>
      <c r="YC423" s="27" t="str">
        <f t="shared" si="203"/>
        <v/>
      </c>
      <c r="YD423" s="27" t="str">
        <f t="shared" si="204"/>
        <v/>
      </c>
      <c r="YE423" s="27" t="str">
        <f t="shared" si="205"/>
        <v/>
      </c>
      <c r="YF423" s="27" t="str">
        <f t="shared" si="206"/>
        <v/>
      </c>
      <c r="YG423" s="27" t="str">
        <f t="shared" si="207"/>
        <v/>
      </c>
      <c r="YH423" s="27" t="str">
        <f t="shared" si="208"/>
        <v/>
      </c>
      <c r="YI423" s="27" t="str">
        <f t="shared" si="209"/>
        <v/>
      </c>
      <c r="YJ423" s="27" t="str">
        <f t="shared" si="210"/>
        <v/>
      </c>
      <c r="YK423" s="27" t="str">
        <f t="shared" si="211"/>
        <v/>
      </c>
      <c r="YL423" s="27" t="str">
        <f t="shared" si="212"/>
        <v/>
      </c>
      <c r="YM423" s="27" t="str">
        <f t="shared" si="213"/>
        <v/>
      </c>
      <c r="YN423" s="27" t="str">
        <f t="shared" si="214"/>
        <v/>
      </c>
    </row>
    <row r="424" spans="28:664" ht="21" x14ac:dyDescent="0.35">
      <c r="AB424" s="277" t="s">
        <v>28</v>
      </c>
      <c r="AC424" s="277" t="s">
        <v>1</v>
      </c>
      <c r="AD424" s="277" t="s">
        <v>8</v>
      </c>
      <c r="AE424" s="277" t="s">
        <v>3</v>
      </c>
      <c r="AF424" s="277" t="s">
        <v>4</v>
      </c>
      <c r="AG424" s="277" t="s">
        <v>5</v>
      </c>
      <c r="AH424" s="277"/>
      <c r="AI424" s="277" t="s">
        <v>2</v>
      </c>
      <c r="AJ424" s="277" t="s">
        <v>2</v>
      </c>
      <c r="AK424" s="277" t="s">
        <v>10</v>
      </c>
      <c r="AL424" s="277" t="s">
        <v>2</v>
      </c>
      <c r="AM424" s="277" t="s">
        <v>24</v>
      </c>
      <c r="AN424" s="277" t="s">
        <v>246</v>
      </c>
      <c r="AO424" s="277" t="s">
        <v>3</v>
      </c>
      <c r="AP424" s="277" t="s">
        <v>247</v>
      </c>
      <c r="AQ424" s="277" t="s">
        <v>27</v>
      </c>
      <c r="AR424" s="277" t="s">
        <v>248</v>
      </c>
      <c r="AS424" s="277"/>
      <c r="AT424" s="277" t="s">
        <v>11</v>
      </c>
      <c r="AU424" s="277" t="s">
        <v>11</v>
      </c>
      <c r="AV424" s="277" t="s">
        <v>12</v>
      </c>
      <c r="AW424" s="277"/>
      <c r="AX424" s="277"/>
      <c r="AY424" s="277" t="s">
        <v>249</v>
      </c>
      <c r="AZ424" s="277"/>
      <c r="BA424" s="277"/>
      <c r="BB424" s="277" t="s">
        <v>7</v>
      </c>
      <c r="BC424" s="277" t="s">
        <v>21</v>
      </c>
      <c r="BD424" s="277" t="s">
        <v>244</v>
      </c>
      <c r="BE424" s="277"/>
      <c r="BF424" s="277"/>
      <c r="BG424" s="277" t="s">
        <v>7</v>
      </c>
      <c r="BH424" s="277"/>
      <c r="BI424" s="277" t="s">
        <v>14</v>
      </c>
      <c r="BJ424" s="277" t="s">
        <v>5</v>
      </c>
      <c r="BK424" s="277" t="s">
        <v>11</v>
      </c>
      <c r="BL424" s="277"/>
      <c r="BM424" s="277" t="s">
        <v>5</v>
      </c>
      <c r="BN424" s="277" t="s">
        <v>12</v>
      </c>
      <c r="GO424" s="15" t="s">
        <v>54</v>
      </c>
      <c r="GP424" s="1" t="s">
        <v>17</v>
      </c>
      <c r="GQ424" s="27" t="str">
        <f t="shared" si="220"/>
        <v/>
      </c>
      <c r="GR424" s="27" t="str">
        <f t="shared" si="221"/>
        <v/>
      </c>
      <c r="GS424" s="27" t="str">
        <f t="shared" si="222"/>
        <v>A</v>
      </c>
      <c r="GT424" s="27" t="str">
        <f t="shared" si="223"/>
        <v/>
      </c>
      <c r="GU424" s="27" t="str">
        <f t="shared" si="224"/>
        <v/>
      </c>
      <c r="GV424" s="27" t="str">
        <f t="shared" si="225"/>
        <v>Y</v>
      </c>
      <c r="GW424" s="27" t="str">
        <f t="shared" si="226"/>
        <v/>
      </c>
      <c r="GX424" s="27" t="str">
        <f t="shared" si="227"/>
        <v/>
      </c>
      <c r="GY424" s="27" t="str">
        <f t="shared" si="228"/>
        <v/>
      </c>
      <c r="GZ424" s="27" t="str">
        <f t="shared" si="229"/>
        <v/>
      </c>
      <c r="HA424" s="27" t="str">
        <f t="shared" si="230"/>
        <v>45EV</v>
      </c>
      <c r="HB424" s="27" t="str">
        <f t="shared" si="231"/>
        <v/>
      </c>
      <c r="HC424" s="27" t="str">
        <f t="shared" si="232"/>
        <v>*</v>
      </c>
      <c r="HD424" s="27" t="str">
        <f t="shared" si="233"/>
        <v>52PL3</v>
      </c>
      <c r="HE424" s="27" t="str">
        <f t="shared" si="234"/>
        <v>55PP</v>
      </c>
      <c r="HF424" s="27" t="str">
        <f t="shared" si="235"/>
        <v/>
      </c>
      <c r="HG424" s="27" t="str">
        <f t="shared" si="236"/>
        <v/>
      </c>
      <c r="HH424" s="27" t="str">
        <f t="shared" si="237"/>
        <v/>
      </c>
      <c r="HI424" s="27" t="str">
        <f t="shared" si="238"/>
        <v/>
      </c>
      <c r="HJ424" s="27" t="str">
        <f t="shared" si="239"/>
        <v/>
      </c>
      <c r="HK424" s="27" t="str">
        <f t="shared" si="240"/>
        <v/>
      </c>
      <c r="HL424" s="27" t="str">
        <f t="shared" si="241"/>
        <v/>
      </c>
      <c r="HM424" s="27" t="str">
        <f t="shared" si="242"/>
        <v/>
      </c>
      <c r="HN424" s="27" t="str">
        <f t="shared" si="243"/>
        <v/>
      </c>
      <c r="HO424" s="27" t="str">
        <f t="shared" si="244"/>
        <v/>
      </c>
      <c r="HP424" s="27" t="str">
        <f t="shared" si="245"/>
        <v/>
      </c>
      <c r="HQ424" s="27" t="str">
        <f t="shared" si="246"/>
        <v/>
      </c>
      <c r="HR424" s="27" t="str">
        <f t="shared" si="247"/>
        <v>84QL3</v>
      </c>
      <c r="HS424" s="27" t="str">
        <f t="shared" si="248"/>
        <v>*</v>
      </c>
      <c r="HT424" s="27" t="str">
        <f t="shared" si="249"/>
        <v/>
      </c>
      <c r="HU424" s="27" t="str">
        <f t="shared" si="250"/>
        <v/>
      </c>
      <c r="HV424" s="27" t="str">
        <f t="shared" si="251"/>
        <v/>
      </c>
      <c r="HW424" s="27" t="str">
        <f t="shared" si="252"/>
        <v/>
      </c>
      <c r="HX424" s="27" t="str">
        <f t="shared" si="253"/>
        <v/>
      </c>
      <c r="HY424" s="27" t="str">
        <f t="shared" si="254"/>
        <v/>
      </c>
      <c r="HZ424" s="27" t="str">
        <f t="shared" si="255"/>
        <v>*</v>
      </c>
      <c r="IA424" s="27" t="str">
        <f t="shared" si="256"/>
        <v>H</v>
      </c>
      <c r="IB424" s="27" t="str">
        <f t="shared" si="257"/>
        <v/>
      </c>
      <c r="IC424" s="19" t="s">
        <v>67</v>
      </c>
      <c r="ID424" s="27" t="str">
        <f t="shared" si="258"/>
        <v/>
      </c>
      <c r="IE424" s="27" t="str">
        <f t="shared" si="259"/>
        <v/>
      </c>
      <c r="IF424" s="27" t="str">
        <f t="shared" si="260"/>
        <v/>
      </c>
      <c r="IG424" s="27" t="str">
        <f t="shared" si="261"/>
        <v>40GR3</v>
      </c>
      <c r="IH424" s="27" t="str">
        <f t="shared" si="262"/>
        <v>*</v>
      </c>
      <c r="II424" s="27" t="str">
        <f t="shared" si="263"/>
        <v>EpY</v>
      </c>
      <c r="IJ424" s="27" t="str">
        <f t="shared" si="264"/>
        <v>75S3</v>
      </c>
      <c r="IK424" s="27" t="str">
        <f t="shared" si="265"/>
        <v/>
      </c>
      <c r="IL424" s="27" t="str">
        <f t="shared" si="266"/>
        <v>*</v>
      </c>
      <c r="IM424" s="27" t="str">
        <f t="shared" si="267"/>
        <v>R</v>
      </c>
      <c r="IN424" s="27" t="str">
        <f t="shared" si="268"/>
        <v/>
      </c>
      <c r="IO424" s="27" t="str">
        <f t="shared" si="269"/>
        <v>L</v>
      </c>
      <c r="IP424" s="27" t="str">
        <f t="shared" si="270"/>
        <v>*</v>
      </c>
      <c r="IQ424" s="27" t="str">
        <f t="shared" si="271"/>
        <v>L</v>
      </c>
      <c r="IR424" s="27" t="str">
        <f t="shared" si="272"/>
        <v/>
      </c>
      <c r="IS424" s="27" t="str">
        <f t="shared" si="273"/>
        <v/>
      </c>
      <c r="IT424" s="27" t="str">
        <f t="shared" si="274"/>
        <v/>
      </c>
      <c r="IU424" s="27" t="str">
        <f t="shared" si="275"/>
        <v/>
      </c>
      <c r="NU424" s="35" t="s">
        <v>169</v>
      </c>
      <c r="NX424" s="27" t="str">
        <f t="shared" si="217"/>
        <v/>
      </c>
      <c r="NY424" s="27" t="str">
        <f t="shared" si="288"/>
        <v/>
      </c>
      <c r="NZ424" s="27" t="str">
        <f t="shared" si="289"/>
        <v/>
      </c>
      <c r="OA424" s="27" t="str">
        <f t="shared" si="290"/>
        <v/>
      </c>
      <c r="OB424" s="27" t="str">
        <f t="shared" si="291"/>
        <v/>
      </c>
      <c r="OC424" s="27" t="str">
        <f t="shared" si="292"/>
        <v/>
      </c>
      <c r="OD424" s="27" t="str">
        <f t="shared" si="293"/>
        <v/>
      </c>
      <c r="OE424" s="27" t="str">
        <f t="shared" si="294"/>
        <v/>
      </c>
      <c r="OF424" s="27" t="str">
        <f t="shared" si="295"/>
        <v/>
      </c>
      <c r="OG424" s="27" t="str">
        <f t="shared" si="296"/>
        <v/>
      </c>
      <c r="OH424" s="27" t="str">
        <f t="shared" si="297"/>
        <v/>
      </c>
      <c r="OI424" s="27" t="str">
        <f t="shared" si="298"/>
        <v/>
      </c>
      <c r="OJ424" s="27" t="str">
        <f t="shared" si="299"/>
        <v/>
      </c>
      <c r="OK424" s="27" t="str">
        <f t="shared" si="300"/>
        <v/>
      </c>
      <c r="OL424" s="27" t="str">
        <f t="shared" si="301"/>
        <v/>
      </c>
      <c r="OM424" s="27" t="str">
        <f t="shared" si="302"/>
        <v/>
      </c>
      <c r="ON424" s="27" t="str">
        <f t="shared" si="303"/>
        <v/>
      </c>
      <c r="OO424" s="27" t="str">
        <f t="shared" si="304"/>
        <v/>
      </c>
      <c r="OP424" s="27" t="str">
        <f t="shared" si="305"/>
        <v/>
      </c>
      <c r="OQ424" s="27" t="str">
        <f t="shared" si="306"/>
        <v/>
      </c>
      <c r="OR424" s="27" t="str">
        <f t="shared" si="307"/>
        <v/>
      </c>
      <c r="OS424" s="27" t="str">
        <f t="shared" si="308"/>
        <v/>
      </c>
      <c r="OT424" s="27" t="str">
        <f t="shared" si="309"/>
        <v/>
      </c>
      <c r="OU424" s="27">
        <f t="shared" si="310"/>
        <v>0</v>
      </c>
      <c r="OV424" s="27" t="str">
        <f t="shared" si="311"/>
        <v>DPA1*02:01</v>
      </c>
      <c r="OW424" s="27" t="str">
        <f t="shared" si="312"/>
        <v/>
      </c>
      <c r="OX424" s="27" t="str">
        <f t="shared" si="313"/>
        <v/>
      </c>
      <c r="OY424" s="27" t="str">
        <f t="shared" si="314"/>
        <v/>
      </c>
      <c r="OZ424" s="27" t="str">
        <f t="shared" si="276"/>
        <v/>
      </c>
      <c r="PA424" s="27" t="str">
        <f t="shared" si="277"/>
        <v/>
      </c>
      <c r="PB424" s="27" t="str">
        <f t="shared" si="278"/>
        <v/>
      </c>
      <c r="PC424" s="27" t="str">
        <f t="shared" si="279"/>
        <v/>
      </c>
      <c r="PD424" s="27" t="str">
        <f t="shared" si="280"/>
        <v/>
      </c>
      <c r="PE424" s="27" t="str">
        <f t="shared" si="281"/>
        <v/>
      </c>
      <c r="PF424" s="27" t="str">
        <f t="shared" si="282"/>
        <v/>
      </c>
      <c r="PG424" s="27" t="str">
        <f t="shared" si="283"/>
        <v/>
      </c>
      <c r="PH424" s="27" t="str">
        <f t="shared" si="284"/>
        <v/>
      </c>
      <c r="PI424" s="27" t="str">
        <f t="shared" si="285"/>
        <v/>
      </c>
      <c r="PJ424" s="27" t="str">
        <f t="shared" si="286"/>
        <v/>
      </c>
      <c r="PK424" s="27" t="str">
        <f t="shared" si="287"/>
        <v/>
      </c>
      <c r="QO424" s="260" t="s">
        <v>114</v>
      </c>
      <c r="QP424" t="s">
        <v>195</v>
      </c>
      <c r="QQ424" t="s">
        <v>20</v>
      </c>
      <c r="QR424" t="s">
        <v>2</v>
      </c>
      <c r="QS424" t="s">
        <v>204</v>
      </c>
      <c r="QT424" t="s">
        <v>1</v>
      </c>
      <c r="QU424" t="s">
        <v>15</v>
      </c>
      <c r="QV424" t="s">
        <v>1</v>
      </c>
      <c r="QW424" t="s">
        <v>22</v>
      </c>
      <c r="QX424" t="s">
        <v>198</v>
      </c>
      <c r="QY424" t="s">
        <v>8</v>
      </c>
      <c r="QZ424" t="s">
        <v>11</v>
      </c>
      <c r="RA424" t="s">
        <v>2</v>
      </c>
      <c r="RC424" t="s">
        <v>8</v>
      </c>
      <c r="RD424" t="s">
        <v>22</v>
      </c>
      <c r="RE424" t="s">
        <v>8</v>
      </c>
      <c r="RF424" t="s">
        <v>7</v>
      </c>
      <c r="RG424" t="s">
        <v>8</v>
      </c>
      <c r="RJ424" t="s">
        <v>10</v>
      </c>
      <c r="RK424" t="s">
        <v>22</v>
      </c>
      <c r="RL424" t="s">
        <v>6</v>
      </c>
      <c r="RO424" t="s">
        <v>201</v>
      </c>
      <c r="RP424" t="s">
        <v>5</v>
      </c>
      <c r="RQ424" t="s">
        <v>5</v>
      </c>
      <c r="RS424" t="s">
        <v>20</v>
      </c>
      <c r="RT424" t="s">
        <v>21</v>
      </c>
      <c r="RV424" t="s">
        <v>7</v>
      </c>
      <c r="RW424" t="s">
        <v>7</v>
      </c>
      <c r="RX424" t="s">
        <v>209</v>
      </c>
      <c r="RY424" t="s">
        <v>22</v>
      </c>
      <c r="RZ424" t="s">
        <v>185</v>
      </c>
      <c r="SB424" t="s">
        <v>1</v>
      </c>
      <c r="SC424" t="s">
        <v>1</v>
      </c>
      <c r="SD424" t="s">
        <v>15</v>
      </c>
      <c r="SE424" t="s">
        <v>22</v>
      </c>
      <c r="SF424" t="s">
        <v>7</v>
      </c>
      <c r="SH424" t="s">
        <v>15</v>
      </c>
      <c r="SI424" t="s">
        <v>5</v>
      </c>
      <c r="SJ424" s="246" t="s">
        <v>261</v>
      </c>
      <c r="SK424" s="260" t="s">
        <v>114</v>
      </c>
      <c r="SL424" s="246" t="s">
        <v>261</v>
      </c>
      <c r="WS424" s="66" t="s">
        <v>118</v>
      </c>
      <c r="WT424" s="27" t="str">
        <f t="shared" si="168"/>
        <v/>
      </c>
      <c r="WU424" s="27" t="str">
        <f t="shared" si="169"/>
        <v/>
      </c>
      <c r="WV424" s="27" t="str">
        <f t="shared" si="170"/>
        <v/>
      </c>
      <c r="WW424" s="27" t="str">
        <f t="shared" si="171"/>
        <v/>
      </c>
      <c r="WX424" s="27" t="str">
        <f t="shared" si="172"/>
        <v/>
      </c>
      <c r="WY424" s="27" t="str">
        <f t="shared" si="173"/>
        <v/>
      </c>
      <c r="WZ424" s="27" t="str">
        <f t="shared" si="174"/>
        <v/>
      </c>
      <c r="XA424" s="27" t="str">
        <f t="shared" si="175"/>
        <v/>
      </c>
      <c r="XB424" s="27" t="str">
        <f t="shared" si="176"/>
        <v/>
      </c>
      <c r="XC424" s="27" t="str">
        <f t="shared" si="177"/>
        <v/>
      </c>
      <c r="XD424" s="27" t="str">
        <f t="shared" si="178"/>
        <v/>
      </c>
      <c r="XE424" s="27" t="str">
        <f t="shared" si="179"/>
        <v/>
      </c>
      <c r="XF424" s="27" t="str">
        <f t="shared" si="180"/>
        <v/>
      </c>
      <c r="XG424" s="27" t="str">
        <f t="shared" si="181"/>
        <v/>
      </c>
      <c r="XH424" s="27" t="str">
        <f t="shared" si="182"/>
        <v/>
      </c>
      <c r="XI424" s="27" t="str">
        <f t="shared" si="183"/>
        <v/>
      </c>
      <c r="XJ424" s="27" t="str">
        <f t="shared" si="184"/>
        <v/>
      </c>
      <c r="XK424" s="27" t="str">
        <f t="shared" si="185"/>
        <v/>
      </c>
      <c r="XL424" s="27" t="str">
        <f t="shared" si="186"/>
        <v/>
      </c>
      <c r="XM424" s="27" t="str">
        <f t="shared" si="187"/>
        <v/>
      </c>
      <c r="XN424" s="27" t="str">
        <f t="shared" si="188"/>
        <v/>
      </c>
      <c r="XO424" s="27" t="str">
        <f t="shared" si="189"/>
        <v/>
      </c>
      <c r="XP424" s="27" t="str">
        <f t="shared" si="190"/>
        <v/>
      </c>
      <c r="XQ424" s="27" t="str">
        <f t="shared" si="191"/>
        <v/>
      </c>
      <c r="XR424" s="27" t="str">
        <f t="shared" si="192"/>
        <v/>
      </c>
      <c r="XS424" s="27" t="str">
        <f t="shared" si="193"/>
        <v/>
      </c>
      <c r="XT424" s="27" t="str">
        <f t="shared" si="194"/>
        <v/>
      </c>
      <c r="XU424" s="27" t="str">
        <f t="shared" si="195"/>
        <v/>
      </c>
      <c r="XV424" s="27" t="str">
        <f t="shared" si="196"/>
        <v/>
      </c>
      <c r="XW424" s="27" t="str">
        <f t="shared" si="197"/>
        <v/>
      </c>
      <c r="XX424" s="27" t="str">
        <f t="shared" si="198"/>
        <v/>
      </c>
      <c r="XY424" s="27" t="str">
        <f t="shared" si="199"/>
        <v/>
      </c>
      <c r="XZ424" s="27" t="str">
        <f t="shared" si="200"/>
        <v/>
      </c>
      <c r="YA424" s="27" t="str">
        <f t="shared" si="201"/>
        <v/>
      </c>
      <c r="YB424" s="27" t="str">
        <f t="shared" si="202"/>
        <v/>
      </c>
      <c r="YC424" s="27" t="str">
        <f t="shared" si="203"/>
        <v/>
      </c>
      <c r="YD424" s="27" t="str">
        <f t="shared" si="204"/>
        <v/>
      </c>
      <c r="YE424" s="27" t="str">
        <f t="shared" si="205"/>
        <v/>
      </c>
      <c r="YF424" s="27" t="str">
        <f t="shared" si="206"/>
        <v/>
      </c>
      <c r="YG424" s="27" t="str">
        <f t="shared" si="207"/>
        <v/>
      </c>
      <c r="YH424" s="27" t="str">
        <f t="shared" si="208"/>
        <v/>
      </c>
      <c r="YI424" s="27" t="str">
        <f t="shared" si="209"/>
        <v/>
      </c>
      <c r="YJ424" s="27" t="str">
        <f t="shared" si="210"/>
        <v/>
      </c>
      <c r="YK424" s="27" t="str">
        <f t="shared" si="211"/>
        <v/>
      </c>
      <c r="YL424" s="27" t="str">
        <f t="shared" si="212"/>
        <v/>
      </c>
      <c r="YM424" s="27" t="str">
        <f t="shared" si="213"/>
        <v/>
      </c>
      <c r="YN424" s="27" t="str">
        <f t="shared" si="214"/>
        <v/>
      </c>
    </row>
    <row r="425" spans="28:664" ht="21" x14ac:dyDescent="0.35">
      <c r="AB425" s="277" t="s">
        <v>29</v>
      </c>
      <c r="AC425" s="277" t="s">
        <v>1</v>
      </c>
      <c r="AD425" s="277" t="s">
        <v>2</v>
      </c>
      <c r="AE425" s="277" t="s">
        <v>3</v>
      </c>
      <c r="AF425" s="277" t="s">
        <v>6</v>
      </c>
      <c r="AG425" s="277" t="s">
        <v>5</v>
      </c>
      <c r="AH425" s="277"/>
      <c r="AI425" s="277" t="s">
        <v>22</v>
      </c>
      <c r="AJ425" s="277" t="s">
        <v>2</v>
      </c>
      <c r="AK425" s="277" t="s">
        <v>7</v>
      </c>
      <c r="AL425" s="277" t="s">
        <v>8</v>
      </c>
      <c r="AM425" s="277" t="s">
        <v>24</v>
      </c>
      <c r="AN425" s="277" t="s">
        <v>246</v>
      </c>
      <c r="AO425" s="277" t="s">
        <v>3</v>
      </c>
      <c r="AP425" s="277" t="s">
        <v>250</v>
      </c>
      <c r="AQ425" s="277" t="s">
        <v>27</v>
      </c>
      <c r="AR425" s="277" t="s">
        <v>30</v>
      </c>
      <c r="AS425" s="277" t="s">
        <v>9</v>
      </c>
      <c r="AT425" s="277"/>
      <c r="AU425" s="277" t="s">
        <v>20</v>
      </c>
      <c r="AV425" s="277" t="s">
        <v>7</v>
      </c>
      <c r="AW425" s="277" t="s">
        <v>3</v>
      </c>
      <c r="AX425" s="277" t="s">
        <v>251</v>
      </c>
      <c r="AY425" s="277" t="s">
        <v>249</v>
      </c>
      <c r="AZ425" s="277"/>
      <c r="BA425" s="277"/>
      <c r="BB425" s="277" t="s">
        <v>7</v>
      </c>
      <c r="BC425" s="277" t="s">
        <v>13</v>
      </c>
      <c r="BD425" s="277"/>
      <c r="BE425" s="277" t="s">
        <v>10</v>
      </c>
      <c r="BF425" s="277" t="s">
        <v>2</v>
      </c>
      <c r="BG425" s="277"/>
      <c r="BH425" s="277"/>
      <c r="BI425" s="277" t="s">
        <v>14</v>
      </c>
      <c r="BJ425" s="277" t="s">
        <v>5</v>
      </c>
      <c r="BK425" s="277" t="s">
        <v>11</v>
      </c>
      <c r="BL425" s="277" t="s">
        <v>245</v>
      </c>
      <c r="BM425" s="277" t="s">
        <v>5</v>
      </c>
      <c r="BN425" s="277" t="s">
        <v>15</v>
      </c>
      <c r="GO425" s="15" t="s">
        <v>54</v>
      </c>
      <c r="GP425" s="1" t="s">
        <v>17</v>
      </c>
      <c r="GQ425" s="27" t="str">
        <f t="shared" si="220"/>
        <v/>
      </c>
      <c r="GR425" s="27" t="str">
        <f t="shared" si="221"/>
        <v/>
      </c>
      <c r="GS425" s="27" t="str">
        <f t="shared" si="222"/>
        <v>A</v>
      </c>
      <c r="GT425" s="27" t="str">
        <f t="shared" si="223"/>
        <v/>
      </c>
      <c r="GU425" s="27" t="str">
        <f t="shared" si="224"/>
        <v/>
      </c>
      <c r="GV425" s="27" t="str">
        <f t="shared" si="225"/>
        <v>Y</v>
      </c>
      <c r="GW425" s="27" t="str">
        <f t="shared" si="226"/>
        <v/>
      </c>
      <c r="GX425" s="27" t="str">
        <f t="shared" si="227"/>
        <v/>
      </c>
      <c r="GY425" s="27" t="str">
        <f t="shared" si="228"/>
        <v/>
      </c>
      <c r="GZ425" s="27" t="str">
        <f t="shared" si="229"/>
        <v/>
      </c>
      <c r="HA425" s="27" t="str">
        <f t="shared" si="230"/>
        <v>45EV</v>
      </c>
      <c r="HB425" s="27" t="str">
        <f t="shared" si="231"/>
        <v/>
      </c>
      <c r="HC425" s="27" t="str">
        <f t="shared" si="232"/>
        <v>*</v>
      </c>
      <c r="HD425" s="27" t="str">
        <f t="shared" si="233"/>
        <v>52PL3</v>
      </c>
      <c r="HE425" s="27" t="str">
        <f t="shared" si="234"/>
        <v>55PP</v>
      </c>
      <c r="HF425" s="27" t="str">
        <f t="shared" si="235"/>
        <v/>
      </c>
      <c r="HG425" s="27" t="str">
        <f t="shared" si="236"/>
        <v/>
      </c>
      <c r="HH425" s="27" t="str">
        <f t="shared" si="237"/>
        <v/>
      </c>
      <c r="HI425" s="27" t="str">
        <f t="shared" si="238"/>
        <v/>
      </c>
      <c r="HJ425" s="27" t="str">
        <f t="shared" si="239"/>
        <v/>
      </c>
      <c r="HK425" s="27" t="str">
        <f t="shared" si="240"/>
        <v/>
      </c>
      <c r="HL425" s="27" t="str">
        <f t="shared" si="241"/>
        <v/>
      </c>
      <c r="HM425" s="27" t="str">
        <f t="shared" si="242"/>
        <v/>
      </c>
      <c r="HN425" s="27" t="str">
        <f t="shared" si="243"/>
        <v/>
      </c>
      <c r="HO425" s="27" t="str">
        <f t="shared" si="244"/>
        <v/>
      </c>
      <c r="HP425" s="27" t="str">
        <f t="shared" si="245"/>
        <v/>
      </c>
      <c r="HQ425" s="27" t="str">
        <f t="shared" si="246"/>
        <v/>
      </c>
      <c r="HR425" s="27" t="str">
        <f t="shared" si="247"/>
        <v>84QL3</v>
      </c>
      <c r="HS425" s="27" t="str">
        <f t="shared" si="248"/>
        <v>*</v>
      </c>
      <c r="HT425" s="27" t="str">
        <f t="shared" si="249"/>
        <v/>
      </c>
      <c r="HU425" s="27" t="str">
        <f t="shared" si="250"/>
        <v/>
      </c>
      <c r="HV425" s="27" t="str">
        <f t="shared" si="251"/>
        <v/>
      </c>
      <c r="HW425" s="27" t="str">
        <f t="shared" si="252"/>
        <v/>
      </c>
      <c r="HX425" s="27" t="str">
        <f t="shared" si="253"/>
        <v/>
      </c>
      <c r="HY425" s="27" t="str">
        <f t="shared" si="254"/>
        <v/>
      </c>
      <c r="HZ425" s="27" t="str">
        <f t="shared" si="255"/>
        <v>*</v>
      </c>
      <c r="IA425" s="27" t="str">
        <f t="shared" si="256"/>
        <v>H</v>
      </c>
      <c r="IB425" s="27" t="str">
        <f t="shared" si="257"/>
        <v/>
      </c>
      <c r="IC425" s="19" t="s">
        <v>68</v>
      </c>
      <c r="ID425" s="27" t="str">
        <f t="shared" si="258"/>
        <v/>
      </c>
      <c r="IE425" s="27" t="str">
        <f t="shared" si="259"/>
        <v/>
      </c>
      <c r="IF425" s="27" t="str">
        <f t="shared" si="260"/>
        <v/>
      </c>
      <c r="IG425" s="27" t="str">
        <f t="shared" si="261"/>
        <v>40GR3</v>
      </c>
      <c r="IH425" s="27" t="str">
        <f t="shared" si="262"/>
        <v>*</v>
      </c>
      <c r="II425" s="27" t="str">
        <f t="shared" si="263"/>
        <v>EpY</v>
      </c>
      <c r="IJ425" s="27" t="str">
        <f t="shared" si="264"/>
        <v/>
      </c>
      <c r="IK425" s="27" t="str">
        <f t="shared" si="265"/>
        <v/>
      </c>
      <c r="IL425" s="27" t="str">
        <f t="shared" si="266"/>
        <v>*</v>
      </c>
      <c r="IM425" s="27" t="str">
        <f t="shared" si="267"/>
        <v>R</v>
      </c>
      <c r="IN425" s="27" t="str">
        <f t="shared" si="268"/>
        <v/>
      </c>
      <c r="IO425" s="27" t="str">
        <f t="shared" si="269"/>
        <v>T</v>
      </c>
      <c r="IP425" s="27" t="str">
        <f t="shared" si="270"/>
        <v/>
      </c>
      <c r="IQ425" s="27" t="str">
        <f t="shared" si="271"/>
        <v>L</v>
      </c>
      <c r="IR425" s="27" t="str">
        <f t="shared" si="272"/>
        <v/>
      </c>
      <c r="IS425" s="27" t="str">
        <f t="shared" si="273"/>
        <v/>
      </c>
      <c r="IT425" s="27" t="str">
        <f t="shared" si="274"/>
        <v>E</v>
      </c>
      <c r="IU425" s="27" t="str">
        <f t="shared" si="275"/>
        <v/>
      </c>
      <c r="NU425" s="35" t="s">
        <v>169</v>
      </c>
      <c r="NX425" s="27" t="str">
        <f t="shared" si="217"/>
        <v/>
      </c>
      <c r="NY425" s="27" t="str">
        <f t="shared" si="288"/>
        <v/>
      </c>
      <c r="NZ425" s="27" t="str">
        <f t="shared" si="289"/>
        <v/>
      </c>
      <c r="OA425" s="27" t="str">
        <f t="shared" si="290"/>
        <v/>
      </c>
      <c r="OB425" s="27" t="str">
        <f t="shared" si="291"/>
        <v/>
      </c>
      <c r="OC425" s="27" t="str">
        <f t="shared" si="292"/>
        <v/>
      </c>
      <c r="OD425" s="27" t="str">
        <f t="shared" si="293"/>
        <v/>
      </c>
      <c r="OE425" s="27" t="str">
        <f t="shared" si="294"/>
        <v/>
      </c>
      <c r="OF425" s="27" t="str">
        <f t="shared" si="295"/>
        <v/>
      </c>
      <c r="OG425" s="27" t="str">
        <f t="shared" si="296"/>
        <v/>
      </c>
      <c r="OH425" s="27" t="str">
        <f t="shared" si="297"/>
        <v/>
      </c>
      <c r="OI425" s="27" t="str">
        <f t="shared" si="298"/>
        <v/>
      </c>
      <c r="OJ425" s="27" t="str">
        <f t="shared" si="299"/>
        <v/>
      </c>
      <c r="OK425" s="27" t="str">
        <f t="shared" si="300"/>
        <v/>
      </c>
      <c r="OL425" s="27" t="str">
        <f t="shared" si="301"/>
        <v/>
      </c>
      <c r="OM425" s="27" t="str">
        <f t="shared" si="302"/>
        <v/>
      </c>
      <c r="ON425" s="27" t="str">
        <f t="shared" si="303"/>
        <v/>
      </c>
      <c r="OO425" s="27" t="str">
        <f t="shared" si="304"/>
        <v/>
      </c>
      <c r="OP425" s="27" t="str">
        <f t="shared" si="305"/>
        <v/>
      </c>
      <c r="OQ425" s="27" t="str">
        <f t="shared" si="306"/>
        <v/>
      </c>
      <c r="OR425" s="27" t="str">
        <f t="shared" si="307"/>
        <v/>
      </c>
      <c r="OS425" s="27" t="str">
        <f t="shared" si="308"/>
        <v/>
      </c>
      <c r="OT425" s="27" t="str">
        <f t="shared" si="309"/>
        <v/>
      </c>
      <c r="OU425" s="27">
        <f t="shared" si="310"/>
        <v>0</v>
      </c>
      <c r="OV425" s="27" t="str">
        <f t="shared" si="311"/>
        <v>DPA1*01:05</v>
      </c>
      <c r="OW425" s="27" t="str">
        <f t="shared" si="312"/>
        <v/>
      </c>
      <c r="OX425" s="27" t="str">
        <f t="shared" si="313"/>
        <v/>
      </c>
      <c r="OY425" s="27" t="str">
        <f t="shared" si="314"/>
        <v/>
      </c>
      <c r="OZ425" s="27" t="str">
        <f t="shared" si="276"/>
        <v/>
      </c>
      <c r="PA425" s="27" t="str">
        <f t="shared" si="277"/>
        <v/>
      </c>
      <c r="PB425" s="27" t="str">
        <f t="shared" si="278"/>
        <v/>
      </c>
      <c r="PC425" s="27" t="str">
        <f t="shared" si="279"/>
        <v/>
      </c>
      <c r="PD425" s="27" t="str">
        <f t="shared" si="280"/>
        <v/>
      </c>
      <c r="PE425" s="27" t="str">
        <f t="shared" si="281"/>
        <v/>
      </c>
      <c r="PF425" s="27" t="str">
        <f t="shared" si="282"/>
        <v/>
      </c>
      <c r="PG425" s="27" t="str">
        <f t="shared" si="283"/>
        <v/>
      </c>
      <c r="PH425" s="27" t="str">
        <f t="shared" si="284"/>
        <v/>
      </c>
      <c r="PI425" s="27" t="str">
        <f t="shared" si="285"/>
        <v/>
      </c>
      <c r="PJ425" s="27" t="str">
        <f t="shared" si="286"/>
        <v/>
      </c>
      <c r="PK425" s="27" t="str">
        <f t="shared" si="287"/>
        <v/>
      </c>
      <c r="QO425" s="260" t="s">
        <v>116</v>
      </c>
      <c r="QP425" t="s">
        <v>195</v>
      </c>
      <c r="QQ425" t="s">
        <v>20</v>
      </c>
      <c r="QR425" t="s">
        <v>2</v>
      </c>
      <c r="QS425" t="s">
        <v>204</v>
      </c>
      <c r="QT425" t="s">
        <v>1</v>
      </c>
      <c r="QU425" t="s">
        <v>15</v>
      </c>
      <c r="QV425" t="s">
        <v>1</v>
      </c>
      <c r="QW425" t="s">
        <v>22</v>
      </c>
      <c r="QX425" t="s">
        <v>198</v>
      </c>
      <c r="QY425" t="s">
        <v>8</v>
      </c>
      <c r="QZ425" t="s">
        <v>20</v>
      </c>
      <c r="RA425" t="s">
        <v>2</v>
      </c>
      <c r="RC425" t="s">
        <v>8</v>
      </c>
      <c r="RD425" t="s">
        <v>22</v>
      </c>
      <c r="RE425" t="s">
        <v>205</v>
      </c>
      <c r="RF425" t="s">
        <v>7</v>
      </c>
      <c r="RG425" t="s">
        <v>8</v>
      </c>
      <c r="RJ425" t="s">
        <v>11</v>
      </c>
      <c r="RK425" t="s">
        <v>2</v>
      </c>
      <c r="RL425" t="s">
        <v>6</v>
      </c>
      <c r="RN425" t="s">
        <v>200</v>
      </c>
      <c r="RO425" t="s">
        <v>201</v>
      </c>
      <c r="RP425" t="s">
        <v>14</v>
      </c>
      <c r="RQ425" t="s">
        <v>5</v>
      </c>
      <c r="RS425" t="s">
        <v>10</v>
      </c>
      <c r="RT425" t="s">
        <v>21</v>
      </c>
      <c r="RV425" t="s">
        <v>7</v>
      </c>
      <c r="RW425" t="s">
        <v>3</v>
      </c>
      <c r="RX425" t="s">
        <v>209</v>
      </c>
      <c r="RY425" t="s">
        <v>22</v>
      </c>
      <c r="RZ425" t="s">
        <v>185</v>
      </c>
      <c r="SB425" t="s">
        <v>1</v>
      </c>
      <c r="SC425" t="s">
        <v>1</v>
      </c>
      <c r="SD425" t="s">
        <v>15</v>
      </c>
      <c r="SE425" t="s">
        <v>22</v>
      </c>
      <c r="SF425" t="s">
        <v>7</v>
      </c>
      <c r="SH425" t="s">
        <v>15</v>
      </c>
      <c r="SI425" t="s">
        <v>5</v>
      </c>
      <c r="SJ425" s="246" t="s">
        <v>261</v>
      </c>
      <c r="SK425" s="260" t="s">
        <v>116</v>
      </c>
      <c r="SL425" s="246" t="s">
        <v>261</v>
      </c>
      <c r="WS425" s="66" t="s">
        <v>120</v>
      </c>
      <c r="WT425" s="27" t="str">
        <f t="shared" si="168"/>
        <v/>
      </c>
      <c r="WU425" s="27" t="str">
        <f t="shared" si="169"/>
        <v/>
      </c>
      <c r="WV425" s="27" t="str">
        <f t="shared" si="170"/>
        <v/>
      </c>
      <c r="WW425" s="27" t="str">
        <f t="shared" si="171"/>
        <v/>
      </c>
      <c r="WX425" s="27" t="str">
        <f t="shared" si="172"/>
        <v/>
      </c>
      <c r="WY425" s="27" t="str">
        <f t="shared" si="173"/>
        <v/>
      </c>
      <c r="WZ425" s="27" t="str">
        <f t="shared" si="174"/>
        <v/>
      </c>
      <c r="XA425" s="27" t="str">
        <f t="shared" si="175"/>
        <v/>
      </c>
      <c r="XB425" s="27" t="str">
        <f t="shared" si="176"/>
        <v/>
      </c>
      <c r="XC425" s="27" t="str">
        <f t="shared" si="177"/>
        <v/>
      </c>
      <c r="XD425" s="27" t="str">
        <f t="shared" si="178"/>
        <v/>
      </c>
      <c r="XE425" s="27" t="str">
        <f t="shared" si="179"/>
        <v/>
      </c>
      <c r="XF425" s="27" t="str">
        <f t="shared" si="180"/>
        <v/>
      </c>
      <c r="XG425" s="27" t="str">
        <f t="shared" si="181"/>
        <v/>
      </c>
      <c r="XH425" s="27" t="str">
        <f t="shared" si="182"/>
        <v/>
      </c>
      <c r="XI425" s="27" t="str">
        <f t="shared" si="183"/>
        <v/>
      </c>
      <c r="XJ425" s="27" t="str">
        <f t="shared" si="184"/>
        <v/>
      </c>
      <c r="XK425" s="27" t="str">
        <f t="shared" si="185"/>
        <v/>
      </c>
      <c r="XL425" s="27" t="str">
        <f t="shared" si="186"/>
        <v/>
      </c>
      <c r="XM425" s="27" t="str">
        <f t="shared" si="187"/>
        <v/>
      </c>
      <c r="XN425" s="27" t="str">
        <f t="shared" si="188"/>
        <v/>
      </c>
      <c r="XO425" s="27" t="str">
        <f t="shared" si="189"/>
        <v/>
      </c>
      <c r="XP425" s="27" t="str">
        <f t="shared" si="190"/>
        <v/>
      </c>
      <c r="XQ425" s="27" t="str">
        <f t="shared" si="191"/>
        <v/>
      </c>
      <c r="XR425" s="27" t="str">
        <f t="shared" si="192"/>
        <v/>
      </c>
      <c r="XS425" s="27" t="str">
        <f t="shared" si="193"/>
        <v/>
      </c>
      <c r="XT425" s="27" t="str">
        <f t="shared" si="194"/>
        <v/>
      </c>
      <c r="XU425" s="27" t="str">
        <f t="shared" si="195"/>
        <v/>
      </c>
      <c r="XV425" s="27" t="str">
        <f t="shared" si="196"/>
        <v/>
      </c>
      <c r="XW425" s="27" t="str">
        <f t="shared" si="197"/>
        <v/>
      </c>
      <c r="XX425" s="27" t="str">
        <f t="shared" si="198"/>
        <v/>
      </c>
      <c r="XY425" s="27" t="str">
        <f t="shared" si="199"/>
        <v/>
      </c>
      <c r="XZ425" s="27" t="str">
        <f t="shared" si="200"/>
        <v/>
      </c>
      <c r="YA425" s="27" t="str">
        <f t="shared" si="201"/>
        <v/>
      </c>
      <c r="YB425" s="27" t="str">
        <f t="shared" si="202"/>
        <v/>
      </c>
      <c r="YC425" s="27" t="str">
        <f t="shared" si="203"/>
        <v/>
      </c>
      <c r="YD425" s="27" t="str">
        <f t="shared" si="204"/>
        <v/>
      </c>
      <c r="YE425" s="27" t="str">
        <f t="shared" si="205"/>
        <v/>
      </c>
      <c r="YF425" s="27" t="str">
        <f t="shared" si="206"/>
        <v/>
      </c>
      <c r="YG425" s="27" t="str">
        <f t="shared" si="207"/>
        <v/>
      </c>
      <c r="YH425" s="27" t="str">
        <f t="shared" si="208"/>
        <v/>
      </c>
      <c r="YI425" s="27" t="str">
        <f t="shared" si="209"/>
        <v/>
      </c>
      <c r="YJ425" s="27" t="str">
        <f t="shared" si="210"/>
        <v/>
      </c>
      <c r="YK425" s="27" t="str">
        <f t="shared" si="211"/>
        <v/>
      </c>
      <c r="YL425" s="27" t="str">
        <f t="shared" si="212"/>
        <v/>
      </c>
      <c r="YM425" s="27" t="str">
        <f t="shared" si="213"/>
        <v/>
      </c>
      <c r="YN425" s="27" t="str">
        <f t="shared" si="214"/>
        <v/>
      </c>
    </row>
    <row r="426" spans="28:664" ht="21" x14ac:dyDescent="0.35">
      <c r="AB426" s="277" t="s">
        <v>31</v>
      </c>
      <c r="AC426" s="277" t="s">
        <v>1</v>
      </c>
      <c r="AD426" s="277" t="s">
        <v>2</v>
      </c>
      <c r="AE426" s="277" t="s">
        <v>3</v>
      </c>
      <c r="AF426" s="277" t="s">
        <v>6</v>
      </c>
      <c r="AG426" s="277" t="s">
        <v>5</v>
      </c>
      <c r="AH426" s="277"/>
      <c r="AI426" s="277" t="s">
        <v>22</v>
      </c>
      <c r="AJ426" s="277" t="s">
        <v>2</v>
      </c>
      <c r="AK426" s="277" t="s">
        <v>7</v>
      </c>
      <c r="AL426" s="277" t="s">
        <v>8</v>
      </c>
      <c r="AM426" s="277" t="s">
        <v>24</v>
      </c>
      <c r="AN426" s="277" t="s">
        <v>246</v>
      </c>
      <c r="AO426" s="277" t="s">
        <v>3</v>
      </c>
      <c r="AP426" s="277" t="s">
        <v>250</v>
      </c>
      <c r="AQ426" s="277" t="s">
        <v>27</v>
      </c>
      <c r="AR426" s="277"/>
      <c r="AS426" s="277" t="s">
        <v>9</v>
      </c>
      <c r="AT426" s="277" t="s">
        <v>1</v>
      </c>
      <c r="AU426" s="277" t="s">
        <v>20</v>
      </c>
      <c r="AV426" s="277" t="s">
        <v>7</v>
      </c>
      <c r="AW426" s="277" t="s">
        <v>3</v>
      </c>
      <c r="AX426" s="277" t="s">
        <v>251</v>
      </c>
      <c r="AY426" s="277" t="s">
        <v>249</v>
      </c>
      <c r="AZ426" s="277"/>
      <c r="BA426" s="277"/>
      <c r="BB426" s="277" t="s">
        <v>7</v>
      </c>
      <c r="BC426" s="277" t="s">
        <v>13</v>
      </c>
      <c r="BD426" s="277"/>
      <c r="BE426" s="277" t="s">
        <v>10</v>
      </c>
      <c r="BF426" s="277" t="s">
        <v>2</v>
      </c>
      <c r="BG426" s="277"/>
      <c r="BH426" s="277"/>
      <c r="BI426" s="277" t="s">
        <v>22</v>
      </c>
      <c r="BJ426" s="277" t="s">
        <v>5</v>
      </c>
      <c r="BK426" s="277" t="s">
        <v>11</v>
      </c>
      <c r="BL426" s="277" t="s">
        <v>245</v>
      </c>
      <c r="BM426" s="277" t="s">
        <v>5</v>
      </c>
      <c r="BN426" s="277" t="s">
        <v>15</v>
      </c>
      <c r="GO426" s="16" t="s">
        <v>55</v>
      </c>
      <c r="GP426" s="1" t="s">
        <v>23</v>
      </c>
      <c r="GQ426" s="27" t="str">
        <f t="shared" si="220"/>
        <v/>
      </c>
      <c r="GR426" s="27" t="str">
        <f t="shared" si="221"/>
        <v/>
      </c>
      <c r="GS426" s="27" t="str">
        <f t="shared" si="222"/>
        <v/>
      </c>
      <c r="GT426" s="27" t="str">
        <f t="shared" si="223"/>
        <v/>
      </c>
      <c r="GU426" s="27" t="str">
        <f t="shared" si="224"/>
        <v/>
      </c>
      <c r="GV426" s="27" t="str">
        <f t="shared" si="225"/>
        <v/>
      </c>
      <c r="GW426" s="27" t="str">
        <f t="shared" si="226"/>
        <v/>
      </c>
      <c r="GX426" s="27" t="str">
        <f t="shared" si="227"/>
        <v/>
      </c>
      <c r="GY426" s="27" t="str">
        <f t="shared" si="228"/>
        <v/>
      </c>
      <c r="GZ426" s="27" t="str">
        <f t="shared" si="229"/>
        <v/>
      </c>
      <c r="HA426" s="27" t="str">
        <f t="shared" si="230"/>
        <v/>
      </c>
      <c r="HB426" s="27" t="str">
        <f t="shared" si="231"/>
        <v/>
      </c>
      <c r="HC426" s="27" t="str">
        <f t="shared" si="232"/>
        <v/>
      </c>
      <c r="HD426" s="27" t="str">
        <f t="shared" si="233"/>
        <v>52PL3</v>
      </c>
      <c r="HE426" s="27" t="str">
        <f t="shared" si="234"/>
        <v>55PP</v>
      </c>
      <c r="HF426" s="27" t="str">
        <f t="shared" si="235"/>
        <v/>
      </c>
      <c r="HG426" s="27" t="str">
        <f t="shared" si="236"/>
        <v/>
      </c>
      <c r="HH426" s="27" t="str">
        <f t="shared" si="237"/>
        <v>A</v>
      </c>
      <c r="HI426" s="27" t="str">
        <f t="shared" si="238"/>
        <v/>
      </c>
      <c r="HJ426" s="27" t="str">
        <f t="shared" si="239"/>
        <v/>
      </c>
      <c r="HK426" s="27" t="str">
        <f t="shared" si="240"/>
        <v/>
      </c>
      <c r="HL426" s="27" t="str">
        <f t="shared" si="241"/>
        <v/>
      </c>
      <c r="HM426" s="27" t="str">
        <f t="shared" si="242"/>
        <v/>
      </c>
      <c r="HN426" s="27" t="str">
        <f t="shared" si="243"/>
        <v/>
      </c>
      <c r="HO426" s="27" t="str">
        <f t="shared" si="244"/>
        <v/>
      </c>
      <c r="HP426" s="27" t="str">
        <f t="shared" si="245"/>
        <v/>
      </c>
      <c r="HQ426" s="27" t="str">
        <f t="shared" si="246"/>
        <v/>
      </c>
      <c r="HR426" s="27" t="str">
        <f t="shared" si="247"/>
        <v>84QL3</v>
      </c>
      <c r="HS426" s="27" t="str">
        <f t="shared" si="248"/>
        <v>*</v>
      </c>
      <c r="HT426" s="27" t="str">
        <f t="shared" si="249"/>
        <v/>
      </c>
      <c r="HU426" s="27" t="str">
        <f t="shared" si="250"/>
        <v/>
      </c>
      <c r="HV426" s="27" t="str">
        <f t="shared" si="251"/>
        <v/>
      </c>
      <c r="HW426" s="27" t="str">
        <f t="shared" si="252"/>
        <v/>
      </c>
      <c r="HX426" s="27" t="str">
        <f t="shared" si="253"/>
        <v/>
      </c>
      <c r="HY426" s="27" t="str">
        <f t="shared" si="254"/>
        <v/>
      </c>
      <c r="HZ426" s="27" t="str">
        <f t="shared" si="255"/>
        <v>*</v>
      </c>
      <c r="IA426" s="27" t="str">
        <f t="shared" si="256"/>
        <v/>
      </c>
      <c r="IB426" s="27" t="str">
        <f t="shared" si="257"/>
        <v>I</v>
      </c>
      <c r="IC426" s="21" t="s">
        <v>58</v>
      </c>
      <c r="ID426" s="27" t="str">
        <f t="shared" si="258"/>
        <v/>
      </c>
      <c r="IE426" s="27" t="str">
        <f t="shared" si="259"/>
        <v/>
      </c>
      <c r="IF426" s="27" t="str">
        <f t="shared" si="260"/>
        <v/>
      </c>
      <c r="IG426" s="27" t="str">
        <f t="shared" si="261"/>
        <v/>
      </c>
      <c r="IH426" s="27" t="str">
        <f t="shared" si="262"/>
        <v/>
      </c>
      <c r="II426" s="27" t="str">
        <f t="shared" si="263"/>
        <v>EpY</v>
      </c>
      <c r="IJ426" s="27" t="str">
        <f t="shared" si="264"/>
        <v>47KHL</v>
      </c>
      <c r="IK426" s="27" t="str">
        <f t="shared" si="265"/>
        <v>50LR</v>
      </c>
      <c r="IL426" s="27" t="str">
        <f t="shared" si="266"/>
        <v/>
      </c>
      <c r="IM426" s="27" t="str">
        <f t="shared" si="267"/>
        <v/>
      </c>
      <c r="IN426" s="27" t="str">
        <f t="shared" si="268"/>
        <v>*</v>
      </c>
      <c r="IO426" s="27" t="str">
        <f t="shared" si="269"/>
        <v>L</v>
      </c>
      <c r="IP426" s="27" t="str">
        <f t="shared" si="270"/>
        <v/>
      </c>
      <c r="IQ426" s="27" t="str">
        <f t="shared" si="271"/>
        <v>L</v>
      </c>
      <c r="IR426" s="27" t="str">
        <f t="shared" si="272"/>
        <v/>
      </c>
      <c r="IS426" s="27" t="str">
        <f t="shared" si="273"/>
        <v/>
      </c>
      <c r="IT426" s="27" t="str">
        <f t="shared" si="274"/>
        <v>E</v>
      </c>
      <c r="IU426" s="27" t="str">
        <f t="shared" si="275"/>
        <v/>
      </c>
      <c r="NU426" s="35" t="s">
        <v>169</v>
      </c>
      <c r="NX426" s="27" t="str">
        <f t="shared" si="217"/>
        <v/>
      </c>
      <c r="NY426" s="27" t="str">
        <f t="shared" si="288"/>
        <v/>
      </c>
      <c r="NZ426" s="27" t="str">
        <f t="shared" si="289"/>
        <v/>
      </c>
      <c r="OA426" s="27" t="str">
        <f t="shared" si="290"/>
        <v/>
      </c>
      <c r="OB426" s="27" t="str">
        <f t="shared" si="291"/>
        <v/>
      </c>
      <c r="OC426" s="27" t="str">
        <f t="shared" si="292"/>
        <v/>
      </c>
      <c r="OD426" s="27" t="str">
        <f t="shared" si="293"/>
        <v/>
      </c>
      <c r="OE426" s="27" t="str">
        <f t="shared" si="294"/>
        <v/>
      </c>
      <c r="OF426" s="27" t="str">
        <f t="shared" si="295"/>
        <v/>
      </c>
      <c r="OG426" s="27" t="str">
        <f t="shared" si="296"/>
        <v/>
      </c>
      <c r="OH426" s="27" t="str">
        <f t="shared" si="297"/>
        <v/>
      </c>
      <c r="OI426" s="27" t="str">
        <f t="shared" si="298"/>
        <v/>
      </c>
      <c r="OJ426" s="27" t="str">
        <f t="shared" si="299"/>
        <v/>
      </c>
      <c r="OK426" s="27" t="str">
        <f t="shared" si="300"/>
        <v/>
      </c>
      <c r="OL426" s="27" t="str">
        <f t="shared" si="301"/>
        <v/>
      </c>
      <c r="OM426" s="27" t="str">
        <f t="shared" si="302"/>
        <v/>
      </c>
      <c r="ON426" s="27" t="str">
        <f t="shared" si="303"/>
        <v/>
      </c>
      <c r="OO426" s="27" t="str">
        <f t="shared" si="304"/>
        <v/>
      </c>
      <c r="OP426" s="27" t="str">
        <f t="shared" si="305"/>
        <v/>
      </c>
      <c r="OQ426" s="27" t="str">
        <f t="shared" si="306"/>
        <v/>
      </c>
      <c r="OR426" s="27" t="str">
        <f t="shared" si="307"/>
        <v/>
      </c>
      <c r="OS426" s="27" t="str">
        <f t="shared" si="308"/>
        <v/>
      </c>
      <c r="OT426" s="27" t="str">
        <f t="shared" si="309"/>
        <v/>
      </c>
      <c r="OU426" s="27">
        <f t="shared" si="310"/>
        <v>0</v>
      </c>
      <c r="OV426" s="27" t="str">
        <f t="shared" si="311"/>
        <v>DPA1*01:04</v>
      </c>
      <c r="OW426" s="27" t="str">
        <f t="shared" si="312"/>
        <v/>
      </c>
      <c r="OX426" s="27" t="str">
        <f t="shared" si="313"/>
        <v/>
      </c>
      <c r="OY426" s="27" t="str">
        <f t="shared" si="314"/>
        <v/>
      </c>
      <c r="OZ426" s="27" t="str">
        <f t="shared" si="276"/>
        <v/>
      </c>
      <c r="PA426" s="27" t="str">
        <f t="shared" si="277"/>
        <v/>
      </c>
      <c r="PB426" s="27" t="str">
        <f t="shared" si="278"/>
        <v/>
      </c>
      <c r="PC426" s="27" t="str">
        <f t="shared" si="279"/>
        <v/>
      </c>
      <c r="PD426" s="27" t="str">
        <f t="shared" si="280"/>
        <v/>
      </c>
      <c r="PE426" s="27" t="str">
        <f t="shared" si="281"/>
        <v/>
      </c>
      <c r="PF426" s="27" t="str">
        <f t="shared" si="282"/>
        <v/>
      </c>
      <c r="PG426" s="27" t="str">
        <f t="shared" si="283"/>
        <v/>
      </c>
      <c r="PH426" s="27" t="str">
        <f t="shared" si="284"/>
        <v/>
      </c>
      <c r="PI426" s="27" t="str">
        <f t="shared" si="285"/>
        <v/>
      </c>
      <c r="PJ426" s="27" t="str">
        <f t="shared" si="286"/>
        <v/>
      </c>
      <c r="PK426" s="27" t="str">
        <f t="shared" si="287"/>
        <v/>
      </c>
      <c r="QO426" s="260" t="s">
        <v>117</v>
      </c>
      <c r="QP426" t="s">
        <v>195</v>
      </c>
      <c r="QQ426" t="s">
        <v>20</v>
      </c>
      <c r="QR426" t="s">
        <v>2</v>
      </c>
      <c r="QS426" t="s">
        <v>204</v>
      </c>
      <c r="QT426" t="s">
        <v>1</v>
      </c>
      <c r="QU426" t="s">
        <v>15</v>
      </c>
      <c r="QV426" t="s">
        <v>1</v>
      </c>
      <c r="QW426" t="s">
        <v>22</v>
      </c>
      <c r="QX426" t="s">
        <v>198</v>
      </c>
      <c r="QY426" t="s">
        <v>8</v>
      </c>
      <c r="QZ426" t="s">
        <v>11</v>
      </c>
      <c r="RA426" t="s">
        <v>2</v>
      </c>
      <c r="RC426" t="s">
        <v>8</v>
      </c>
      <c r="RD426" t="s">
        <v>22</v>
      </c>
      <c r="RE426" t="s">
        <v>8</v>
      </c>
      <c r="RF426" t="s">
        <v>7</v>
      </c>
      <c r="RG426" t="s">
        <v>8</v>
      </c>
      <c r="RJ426" t="s">
        <v>11</v>
      </c>
      <c r="RK426" t="s">
        <v>22</v>
      </c>
      <c r="RL426" t="s">
        <v>6</v>
      </c>
      <c r="RO426" t="s">
        <v>201</v>
      </c>
      <c r="RP426" t="s">
        <v>5</v>
      </c>
      <c r="RQ426" t="s">
        <v>5</v>
      </c>
      <c r="RS426" t="s">
        <v>20</v>
      </c>
      <c r="RT426" t="s">
        <v>21</v>
      </c>
      <c r="RV426" t="s">
        <v>7</v>
      </c>
      <c r="RW426" t="s">
        <v>7</v>
      </c>
      <c r="RX426" t="s">
        <v>209</v>
      </c>
      <c r="RY426" t="s">
        <v>22</v>
      </c>
      <c r="RZ426" t="s">
        <v>185</v>
      </c>
      <c r="SB426" t="s">
        <v>1</v>
      </c>
      <c r="SC426" t="s">
        <v>1</v>
      </c>
      <c r="SD426" t="s">
        <v>15</v>
      </c>
      <c r="SE426" t="s">
        <v>22</v>
      </c>
      <c r="SF426" t="s">
        <v>7</v>
      </c>
      <c r="SH426" t="s">
        <v>15</v>
      </c>
      <c r="SI426" t="s">
        <v>5</v>
      </c>
      <c r="SJ426" s="246" t="s">
        <v>261</v>
      </c>
      <c r="SK426" s="260" t="s">
        <v>117</v>
      </c>
      <c r="SL426" s="246" t="s">
        <v>261</v>
      </c>
      <c r="WS426" s="66" t="s">
        <v>121</v>
      </c>
      <c r="WT426" s="27" t="str">
        <f t="shared" si="168"/>
        <v/>
      </c>
      <c r="WU426" s="27" t="str">
        <f t="shared" si="169"/>
        <v/>
      </c>
      <c r="WV426" s="27" t="str">
        <f t="shared" si="170"/>
        <v/>
      </c>
      <c r="WW426" s="27" t="str">
        <f t="shared" si="171"/>
        <v/>
      </c>
      <c r="WX426" s="27" t="str">
        <f t="shared" si="172"/>
        <v/>
      </c>
      <c r="WY426" s="27" t="str">
        <f t="shared" si="173"/>
        <v/>
      </c>
      <c r="WZ426" s="27" t="str">
        <f t="shared" si="174"/>
        <v/>
      </c>
      <c r="XA426" s="27" t="str">
        <f t="shared" si="175"/>
        <v/>
      </c>
      <c r="XB426" s="27" t="str">
        <f t="shared" si="176"/>
        <v/>
      </c>
      <c r="XC426" s="27" t="str">
        <f t="shared" si="177"/>
        <v/>
      </c>
      <c r="XD426" s="27" t="str">
        <f t="shared" si="178"/>
        <v/>
      </c>
      <c r="XE426" s="27" t="str">
        <f t="shared" si="179"/>
        <v/>
      </c>
      <c r="XF426" s="27" t="str">
        <f t="shared" si="180"/>
        <v/>
      </c>
      <c r="XG426" s="27" t="str">
        <f t="shared" si="181"/>
        <v/>
      </c>
      <c r="XH426" s="27" t="str">
        <f t="shared" si="182"/>
        <v/>
      </c>
      <c r="XI426" s="27" t="str">
        <f t="shared" si="183"/>
        <v/>
      </c>
      <c r="XJ426" s="27" t="str">
        <f t="shared" si="184"/>
        <v/>
      </c>
      <c r="XK426" s="27" t="str">
        <f t="shared" si="185"/>
        <v/>
      </c>
      <c r="XL426" s="27" t="str">
        <f t="shared" si="186"/>
        <v/>
      </c>
      <c r="XM426" s="27" t="str">
        <f t="shared" si="187"/>
        <v/>
      </c>
      <c r="XN426" s="27" t="str">
        <f t="shared" si="188"/>
        <v/>
      </c>
      <c r="XO426" s="27" t="str">
        <f t="shared" si="189"/>
        <v/>
      </c>
      <c r="XP426" s="27" t="str">
        <f t="shared" si="190"/>
        <v/>
      </c>
      <c r="XQ426" s="27" t="str">
        <f t="shared" si="191"/>
        <v/>
      </c>
      <c r="XR426" s="27" t="str">
        <f t="shared" si="192"/>
        <v/>
      </c>
      <c r="XS426" s="27" t="str">
        <f t="shared" si="193"/>
        <v/>
      </c>
      <c r="XT426" s="27" t="str">
        <f t="shared" si="194"/>
        <v/>
      </c>
      <c r="XU426" s="27" t="str">
        <f t="shared" si="195"/>
        <v/>
      </c>
      <c r="XV426" s="27" t="str">
        <f t="shared" si="196"/>
        <v/>
      </c>
      <c r="XW426" s="27" t="str">
        <f t="shared" si="197"/>
        <v/>
      </c>
      <c r="XX426" s="27" t="str">
        <f t="shared" si="198"/>
        <v/>
      </c>
      <c r="XY426" s="27" t="str">
        <f t="shared" si="199"/>
        <v/>
      </c>
      <c r="XZ426" s="27" t="str">
        <f t="shared" si="200"/>
        <v/>
      </c>
      <c r="YA426" s="27" t="str">
        <f t="shared" si="201"/>
        <v/>
      </c>
      <c r="YB426" s="27" t="str">
        <f t="shared" si="202"/>
        <v/>
      </c>
      <c r="YC426" s="27" t="str">
        <f t="shared" si="203"/>
        <v/>
      </c>
      <c r="YD426" s="27" t="str">
        <f t="shared" si="204"/>
        <v/>
      </c>
      <c r="YE426" s="27" t="str">
        <f t="shared" si="205"/>
        <v/>
      </c>
      <c r="YF426" s="27" t="str">
        <f t="shared" si="206"/>
        <v/>
      </c>
      <c r="YG426" s="27" t="str">
        <f t="shared" si="207"/>
        <v/>
      </c>
      <c r="YH426" s="27" t="str">
        <f t="shared" si="208"/>
        <v/>
      </c>
      <c r="YI426" s="27" t="str">
        <f t="shared" si="209"/>
        <v/>
      </c>
      <c r="YJ426" s="27" t="str">
        <f t="shared" si="210"/>
        <v/>
      </c>
      <c r="YK426" s="27" t="str">
        <f t="shared" si="211"/>
        <v/>
      </c>
      <c r="YL426" s="27" t="str">
        <f t="shared" si="212"/>
        <v/>
      </c>
      <c r="YM426" s="27" t="str">
        <f t="shared" si="213"/>
        <v/>
      </c>
      <c r="YN426" s="27" t="str">
        <f t="shared" si="214"/>
        <v/>
      </c>
    </row>
    <row r="427" spans="28:664" ht="21" x14ac:dyDescent="0.35">
      <c r="AB427" s="277" t="s">
        <v>32</v>
      </c>
      <c r="AC427" s="277" t="s">
        <v>9</v>
      </c>
      <c r="AD427" s="277" t="s">
        <v>6</v>
      </c>
      <c r="AE427" s="277" t="s">
        <v>10</v>
      </c>
      <c r="AF427" s="277" t="s">
        <v>4</v>
      </c>
      <c r="AG427" s="277" t="s">
        <v>5</v>
      </c>
      <c r="AH427" s="277" t="s">
        <v>2</v>
      </c>
      <c r="AI427" s="277" t="s">
        <v>2</v>
      </c>
      <c r="AJ427" s="277" t="s">
        <v>11</v>
      </c>
      <c r="AK427" s="277" t="s">
        <v>7</v>
      </c>
      <c r="AL427" s="277" t="s">
        <v>8</v>
      </c>
      <c r="AM427" s="277" t="s">
        <v>24</v>
      </c>
      <c r="AN427" s="277" t="s">
        <v>246</v>
      </c>
      <c r="AO427" s="277" t="s">
        <v>3</v>
      </c>
      <c r="AP427" s="277" t="s">
        <v>250</v>
      </c>
      <c r="AQ427" s="277" t="s">
        <v>27</v>
      </c>
      <c r="AR427" s="277"/>
      <c r="AS427" s="277" t="s">
        <v>9</v>
      </c>
      <c r="AT427" s="277" t="s">
        <v>11</v>
      </c>
      <c r="AU427" s="277" t="s">
        <v>11</v>
      </c>
      <c r="AV427" s="277" t="s">
        <v>12</v>
      </c>
      <c r="AW427" s="277" t="s">
        <v>5</v>
      </c>
      <c r="AX427" s="277"/>
      <c r="AY427" s="277"/>
      <c r="AZ427" s="277" t="s">
        <v>15</v>
      </c>
      <c r="BA427" s="277" t="s">
        <v>20</v>
      </c>
      <c r="BB427" s="277" t="s">
        <v>6</v>
      </c>
      <c r="BC427" s="277" t="s">
        <v>21</v>
      </c>
      <c r="BD427" s="277" t="s">
        <v>33</v>
      </c>
      <c r="BE427" s="277" t="s">
        <v>10</v>
      </c>
      <c r="BF427" s="277"/>
      <c r="BG427" s="277" t="s">
        <v>7</v>
      </c>
      <c r="BH427" s="277" t="s">
        <v>3</v>
      </c>
      <c r="BI427" s="277" t="s">
        <v>14</v>
      </c>
      <c r="BJ427" s="277" t="s">
        <v>5</v>
      </c>
      <c r="BK427" s="277" t="s">
        <v>11</v>
      </c>
      <c r="BL427" s="277" t="s">
        <v>245</v>
      </c>
      <c r="BM427" s="277" t="s">
        <v>22</v>
      </c>
      <c r="BN427" s="277" t="s">
        <v>15</v>
      </c>
      <c r="GO427" s="16" t="s">
        <v>55</v>
      </c>
      <c r="GP427" s="1" t="s">
        <v>23</v>
      </c>
      <c r="GQ427" s="27" t="str">
        <f t="shared" si="220"/>
        <v/>
      </c>
      <c r="GR427" s="27" t="str">
        <f t="shared" si="221"/>
        <v/>
      </c>
      <c r="GS427" s="27" t="str">
        <f t="shared" si="222"/>
        <v/>
      </c>
      <c r="GT427" s="27" t="str">
        <f t="shared" si="223"/>
        <v/>
      </c>
      <c r="GU427" s="27" t="str">
        <f t="shared" si="224"/>
        <v/>
      </c>
      <c r="GV427" s="27" t="str">
        <f t="shared" si="225"/>
        <v/>
      </c>
      <c r="GW427" s="27" t="str">
        <f t="shared" si="226"/>
        <v/>
      </c>
      <c r="GX427" s="27" t="str">
        <f t="shared" si="227"/>
        <v/>
      </c>
      <c r="GY427" s="27" t="str">
        <f t="shared" si="228"/>
        <v/>
      </c>
      <c r="GZ427" s="27" t="str">
        <f t="shared" si="229"/>
        <v/>
      </c>
      <c r="HA427" s="27" t="str">
        <f t="shared" si="230"/>
        <v/>
      </c>
      <c r="HB427" s="27" t="str">
        <f t="shared" si="231"/>
        <v/>
      </c>
      <c r="HC427" s="27" t="str">
        <f t="shared" si="232"/>
        <v/>
      </c>
      <c r="HD427" s="27" t="str">
        <f t="shared" si="233"/>
        <v>52PL3</v>
      </c>
      <c r="HE427" s="27" t="str">
        <f t="shared" si="234"/>
        <v>55PP</v>
      </c>
      <c r="HF427" s="27" t="str">
        <f t="shared" si="235"/>
        <v/>
      </c>
      <c r="HG427" s="27" t="str">
        <f t="shared" si="236"/>
        <v/>
      </c>
      <c r="HH427" s="27" t="str">
        <f t="shared" si="237"/>
        <v>A</v>
      </c>
      <c r="HI427" s="27" t="str">
        <f t="shared" si="238"/>
        <v/>
      </c>
      <c r="HJ427" s="27" t="str">
        <f t="shared" si="239"/>
        <v/>
      </c>
      <c r="HK427" s="27" t="str">
        <f t="shared" si="240"/>
        <v/>
      </c>
      <c r="HL427" s="27" t="str">
        <f t="shared" si="241"/>
        <v/>
      </c>
      <c r="HM427" s="27" t="str">
        <f t="shared" si="242"/>
        <v/>
      </c>
      <c r="HN427" s="27" t="str">
        <f t="shared" si="243"/>
        <v/>
      </c>
      <c r="HO427" s="27" t="str">
        <f t="shared" si="244"/>
        <v/>
      </c>
      <c r="HP427" s="27" t="str">
        <f t="shared" si="245"/>
        <v/>
      </c>
      <c r="HQ427" s="27" t="str">
        <f t="shared" si="246"/>
        <v/>
      </c>
      <c r="HR427" s="27" t="str">
        <f t="shared" si="247"/>
        <v>84QL3</v>
      </c>
      <c r="HS427" s="27" t="str">
        <f t="shared" si="248"/>
        <v>*</v>
      </c>
      <c r="HT427" s="27" t="str">
        <f t="shared" si="249"/>
        <v/>
      </c>
      <c r="HU427" s="27" t="str">
        <f t="shared" si="250"/>
        <v/>
      </c>
      <c r="HV427" s="27" t="str">
        <f t="shared" si="251"/>
        <v/>
      </c>
      <c r="HW427" s="27" t="str">
        <f t="shared" si="252"/>
        <v/>
      </c>
      <c r="HX427" s="27" t="str">
        <f t="shared" si="253"/>
        <v/>
      </c>
      <c r="HY427" s="27" t="str">
        <f t="shared" si="254"/>
        <v/>
      </c>
      <c r="HZ427" s="27" t="str">
        <f t="shared" si="255"/>
        <v>*</v>
      </c>
      <c r="IA427" s="27" t="str">
        <f t="shared" si="256"/>
        <v/>
      </c>
      <c r="IB427" s="27" t="str">
        <f t="shared" si="257"/>
        <v>I</v>
      </c>
      <c r="IC427" s="22" t="s">
        <v>59</v>
      </c>
      <c r="ID427" s="27" t="str">
        <f t="shared" si="258"/>
        <v/>
      </c>
      <c r="IE427" s="27" t="str">
        <f t="shared" si="259"/>
        <v>*</v>
      </c>
      <c r="IF427" s="27" t="str">
        <f t="shared" si="260"/>
        <v/>
      </c>
      <c r="IG427" s="27" t="str">
        <f t="shared" si="261"/>
        <v/>
      </c>
      <c r="IH427" s="27" t="str">
        <f t="shared" si="262"/>
        <v/>
      </c>
      <c r="II427" s="27" t="str">
        <f t="shared" si="263"/>
        <v>EpY</v>
      </c>
      <c r="IJ427" s="27" t="str">
        <f t="shared" si="264"/>
        <v>47QL4</v>
      </c>
      <c r="IK427" s="27" t="str">
        <f t="shared" si="265"/>
        <v>50LR</v>
      </c>
      <c r="IL427" s="27" t="str">
        <f t="shared" si="266"/>
        <v/>
      </c>
      <c r="IM427" s="27" t="str">
        <f t="shared" si="267"/>
        <v>R</v>
      </c>
      <c r="IN427" s="27" t="str">
        <f t="shared" si="268"/>
        <v/>
      </c>
      <c r="IO427" s="27" t="str">
        <f t="shared" si="269"/>
        <v>L</v>
      </c>
      <c r="IP427" s="27" t="str">
        <f t="shared" si="270"/>
        <v/>
      </c>
      <c r="IQ427" s="27" t="str">
        <f t="shared" si="271"/>
        <v/>
      </c>
      <c r="IR427" s="27" t="str">
        <f t="shared" si="272"/>
        <v/>
      </c>
      <c r="IS427" s="27" t="str">
        <f t="shared" si="273"/>
        <v/>
      </c>
      <c r="IT427" s="27" t="str">
        <f t="shared" si="274"/>
        <v>E</v>
      </c>
      <c r="IU427" s="27" t="str">
        <f t="shared" si="275"/>
        <v>*</v>
      </c>
      <c r="NU427" s="34" t="s">
        <v>172</v>
      </c>
      <c r="NX427" s="27" t="str">
        <f t="shared" si="217"/>
        <v/>
      </c>
      <c r="NY427" s="27" t="str">
        <f t="shared" si="288"/>
        <v/>
      </c>
      <c r="NZ427" s="27" t="str">
        <f t="shared" si="289"/>
        <v/>
      </c>
      <c r="OA427" s="27" t="str">
        <f t="shared" si="290"/>
        <v/>
      </c>
      <c r="OB427" s="27" t="str">
        <f t="shared" si="291"/>
        <v/>
      </c>
      <c r="OC427" s="27" t="str">
        <f t="shared" si="292"/>
        <v/>
      </c>
      <c r="OD427" s="27" t="str">
        <f t="shared" si="293"/>
        <v/>
      </c>
      <c r="OE427" s="27" t="str">
        <f t="shared" si="294"/>
        <v/>
      </c>
      <c r="OF427" s="27" t="str">
        <f t="shared" si="295"/>
        <v/>
      </c>
      <c r="OG427" s="27" t="str">
        <f t="shared" si="296"/>
        <v/>
      </c>
      <c r="OH427" s="27" t="str">
        <f t="shared" si="297"/>
        <v/>
      </c>
      <c r="OI427" s="27" t="str">
        <f t="shared" si="298"/>
        <v/>
      </c>
      <c r="OJ427" s="27" t="str">
        <f t="shared" si="299"/>
        <v/>
      </c>
      <c r="OK427" s="27" t="str">
        <f t="shared" si="300"/>
        <v/>
      </c>
      <c r="OL427" s="27" t="str">
        <f t="shared" si="301"/>
        <v/>
      </c>
      <c r="OM427" s="27" t="str">
        <f t="shared" si="302"/>
        <v/>
      </c>
      <c r="ON427" s="27" t="str">
        <f t="shared" si="303"/>
        <v/>
      </c>
      <c r="OO427" s="27" t="str">
        <f t="shared" si="304"/>
        <v/>
      </c>
      <c r="OP427" s="27" t="str">
        <f t="shared" si="305"/>
        <v/>
      </c>
      <c r="OQ427" s="27" t="str">
        <f t="shared" si="306"/>
        <v/>
      </c>
      <c r="OR427" s="27" t="str">
        <f t="shared" si="307"/>
        <v/>
      </c>
      <c r="OS427" s="27" t="str">
        <f t="shared" si="308"/>
        <v/>
      </c>
      <c r="OT427" s="27" t="str">
        <f t="shared" si="309"/>
        <v/>
      </c>
      <c r="OU427" s="27">
        <f t="shared" si="310"/>
        <v>0</v>
      </c>
      <c r="OV427" s="27" t="str">
        <f t="shared" si="311"/>
        <v>DPA1*01:03</v>
      </c>
      <c r="OW427" s="27" t="str">
        <f t="shared" si="312"/>
        <v/>
      </c>
      <c r="OX427" s="27" t="str">
        <f t="shared" si="313"/>
        <v/>
      </c>
      <c r="OY427" s="27" t="str">
        <f t="shared" si="314"/>
        <v/>
      </c>
      <c r="OZ427" s="27" t="str">
        <f t="shared" si="276"/>
        <v/>
      </c>
      <c r="PA427" s="27" t="str">
        <f t="shared" si="277"/>
        <v/>
      </c>
      <c r="PB427" s="27" t="str">
        <f t="shared" si="278"/>
        <v/>
      </c>
      <c r="PC427" s="27" t="str">
        <f t="shared" si="279"/>
        <v/>
      </c>
      <c r="PD427" s="27" t="str">
        <f t="shared" si="280"/>
        <v/>
      </c>
      <c r="PE427" s="27" t="str">
        <f t="shared" si="281"/>
        <v/>
      </c>
      <c r="PF427" s="27" t="str">
        <f t="shared" si="282"/>
        <v/>
      </c>
      <c r="PG427" s="27" t="str">
        <f t="shared" si="283"/>
        <v/>
      </c>
      <c r="PH427" s="27" t="str">
        <f t="shared" si="284"/>
        <v/>
      </c>
      <c r="PI427" s="27" t="str">
        <f t="shared" si="285"/>
        <v/>
      </c>
      <c r="PJ427" s="27" t="str">
        <f t="shared" si="286"/>
        <v/>
      </c>
      <c r="PK427" s="27" t="str">
        <f t="shared" si="287"/>
        <v/>
      </c>
      <c r="QO427" s="260" t="s">
        <v>118</v>
      </c>
      <c r="QP427" t="s">
        <v>195</v>
      </c>
      <c r="QQ427" t="s">
        <v>196</v>
      </c>
      <c r="QR427" t="s">
        <v>14</v>
      </c>
      <c r="QT427" t="s">
        <v>9</v>
      </c>
      <c r="QU427" t="s">
        <v>185</v>
      </c>
      <c r="QW427" t="s">
        <v>22</v>
      </c>
      <c r="QX427" t="s">
        <v>198</v>
      </c>
      <c r="QY427" t="s">
        <v>8</v>
      </c>
      <c r="QZ427" t="s">
        <v>11</v>
      </c>
      <c r="RA427" t="s">
        <v>2</v>
      </c>
      <c r="RC427" t="s">
        <v>8</v>
      </c>
      <c r="RD427" t="s">
        <v>2</v>
      </c>
      <c r="RE427" t="s">
        <v>1</v>
      </c>
      <c r="RF427" t="s">
        <v>7</v>
      </c>
      <c r="RG427" t="s">
        <v>8</v>
      </c>
      <c r="RH427" t="s">
        <v>206</v>
      </c>
      <c r="RJ427" t="s">
        <v>11</v>
      </c>
      <c r="RK427" t="s">
        <v>2</v>
      </c>
      <c r="RL427" t="s">
        <v>12</v>
      </c>
      <c r="RN427" t="s">
        <v>200</v>
      </c>
      <c r="RO427" t="s">
        <v>201</v>
      </c>
      <c r="RP427" t="s">
        <v>14</v>
      </c>
      <c r="RQ427" t="s">
        <v>10</v>
      </c>
      <c r="RS427" t="s">
        <v>10</v>
      </c>
      <c r="RT427" t="s">
        <v>21</v>
      </c>
      <c r="RV427" t="s">
        <v>7</v>
      </c>
      <c r="RW427" t="s">
        <v>7</v>
      </c>
      <c r="RY427" t="s">
        <v>14</v>
      </c>
      <c r="RZ427" t="s">
        <v>185</v>
      </c>
      <c r="SA427" t="s">
        <v>269</v>
      </c>
      <c r="SB427" t="s">
        <v>1</v>
      </c>
      <c r="SC427" t="s">
        <v>1</v>
      </c>
      <c r="SD427" t="s">
        <v>10</v>
      </c>
      <c r="SE427" t="s">
        <v>14</v>
      </c>
      <c r="SF427" t="s">
        <v>7</v>
      </c>
      <c r="SH427" t="s">
        <v>15</v>
      </c>
      <c r="SI427" t="s">
        <v>5</v>
      </c>
      <c r="SJ427" s="246" t="s">
        <v>261</v>
      </c>
      <c r="SK427" s="260" t="s">
        <v>118</v>
      </c>
      <c r="SL427" s="246" t="s">
        <v>261</v>
      </c>
      <c r="WS427" s="66" t="s">
        <v>122</v>
      </c>
      <c r="WT427" s="27" t="str">
        <f t="shared" si="168"/>
        <v/>
      </c>
      <c r="WU427" s="27" t="str">
        <f t="shared" si="169"/>
        <v/>
      </c>
      <c r="WV427" s="27" t="str">
        <f t="shared" si="170"/>
        <v/>
      </c>
      <c r="WW427" s="27" t="str">
        <f t="shared" si="171"/>
        <v/>
      </c>
      <c r="WX427" s="27" t="str">
        <f t="shared" si="172"/>
        <v/>
      </c>
      <c r="WY427" s="27" t="str">
        <f t="shared" si="173"/>
        <v/>
      </c>
      <c r="WZ427" s="27" t="str">
        <f t="shared" si="174"/>
        <v/>
      </c>
      <c r="XA427" s="27" t="str">
        <f t="shared" si="175"/>
        <v/>
      </c>
      <c r="XB427" s="27" t="str">
        <f t="shared" si="176"/>
        <v/>
      </c>
      <c r="XC427" s="27" t="str">
        <f t="shared" si="177"/>
        <v/>
      </c>
      <c r="XD427" s="27" t="str">
        <f t="shared" si="178"/>
        <v/>
      </c>
      <c r="XE427" s="27" t="str">
        <f t="shared" si="179"/>
        <v/>
      </c>
      <c r="XF427" s="27" t="str">
        <f t="shared" si="180"/>
        <v/>
      </c>
      <c r="XG427" s="27" t="str">
        <f t="shared" si="181"/>
        <v/>
      </c>
      <c r="XH427" s="27" t="str">
        <f t="shared" si="182"/>
        <v/>
      </c>
      <c r="XI427" s="27" t="str">
        <f t="shared" si="183"/>
        <v/>
      </c>
      <c r="XJ427" s="27" t="str">
        <f t="shared" si="184"/>
        <v/>
      </c>
      <c r="XK427" s="27" t="str">
        <f t="shared" si="185"/>
        <v/>
      </c>
      <c r="XL427" s="27" t="str">
        <f t="shared" si="186"/>
        <v/>
      </c>
      <c r="XM427" s="27" t="str">
        <f t="shared" si="187"/>
        <v/>
      </c>
      <c r="XN427" s="27" t="str">
        <f t="shared" si="188"/>
        <v/>
      </c>
      <c r="XO427" s="27" t="str">
        <f t="shared" si="189"/>
        <v/>
      </c>
      <c r="XP427" s="27" t="str">
        <f t="shared" si="190"/>
        <v/>
      </c>
      <c r="XQ427" s="27" t="str">
        <f t="shared" si="191"/>
        <v/>
      </c>
      <c r="XR427" s="27" t="str">
        <f t="shared" si="192"/>
        <v/>
      </c>
      <c r="XS427" s="27" t="str">
        <f t="shared" si="193"/>
        <v/>
      </c>
      <c r="XT427" s="27" t="str">
        <f t="shared" si="194"/>
        <v/>
      </c>
      <c r="XU427" s="27" t="str">
        <f t="shared" si="195"/>
        <v/>
      </c>
      <c r="XV427" s="27" t="str">
        <f t="shared" si="196"/>
        <v/>
      </c>
      <c r="XW427" s="27" t="str">
        <f t="shared" si="197"/>
        <v/>
      </c>
      <c r="XX427" s="27" t="str">
        <f t="shared" si="198"/>
        <v/>
      </c>
      <c r="XY427" s="27" t="str">
        <f t="shared" si="199"/>
        <v/>
      </c>
      <c r="XZ427" s="27" t="str">
        <f t="shared" si="200"/>
        <v/>
      </c>
      <c r="YA427" s="27" t="str">
        <f t="shared" si="201"/>
        <v/>
      </c>
      <c r="YB427" s="27" t="str">
        <f t="shared" si="202"/>
        <v/>
      </c>
      <c r="YC427" s="27" t="str">
        <f t="shared" si="203"/>
        <v/>
      </c>
      <c r="YD427" s="27" t="str">
        <f t="shared" si="204"/>
        <v/>
      </c>
      <c r="YE427" s="27" t="str">
        <f t="shared" si="205"/>
        <v/>
      </c>
      <c r="YF427" s="27" t="str">
        <f t="shared" si="206"/>
        <v/>
      </c>
      <c r="YG427" s="27" t="str">
        <f t="shared" si="207"/>
        <v/>
      </c>
      <c r="YH427" s="27" t="str">
        <f t="shared" si="208"/>
        <v/>
      </c>
      <c r="YI427" s="27" t="str">
        <f t="shared" si="209"/>
        <v/>
      </c>
      <c r="YJ427" s="27" t="str">
        <f t="shared" si="210"/>
        <v/>
      </c>
      <c r="YK427" s="27" t="str">
        <f t="shared" si="211"/>
        <v/>
      </c>
      <c r="YL427" s="27" t="str">
        <f t="shared" si="212"/>
        <v/>
      </c>
      <c r="YM427" s="27" t="str">
        <f t="shared" si="213"/>
        <v/>
      </c>
      <c r="YN427" s="27" t="str">
        <f t="shared" si="214"/>
        <v/>
      </c>
    </row>
    <row r="428" spans="28:664" ht="21.75" thickBot="1" x14ac:dyDescent="0.4">
      <c r="AB428" s="277" t="s">
        <v>34</v>
      </c>
      <c r="AC428" s="277" t="s">
        <v>1</v>
      </c>
      <c r="AD428" s="277" t="s">
        <v>8</v>
      </c>
      <c r="AE428" s="277" t="s">
        <v>3</v>
      </c>
      <c r="AF428" s="277" t="s">
        <v>4</v>
      </c>
      <c r="AG428" s="277" t="s">
        <v>5</v>
      </c>
      <c r="AH428" s="277" t="s">
        <v>6</v>
      </c>
      <c r="AI428" s="277" t="s">
        <v>2</v>
      </c>
      <c r="AJ428" s="277" t="s">
        <v>2</v>
      </c>
      <c r="AK428" s="277" t="s">
        <v>10</v>
      </c>
      <c r="AL428" s="277" t="s">
        <v>2</v>
      </c>
      <c r="AM428" s="277" t="s">
        <v>24</v>
      </c>
      <c r="AN428" s="277" t="s">
        <v>246</v>
      </c>
      <c r="AO428" s="277" t="s">
        <v>3</v>
      </c>
      <c r="AP428" s="277" t="s">
        <v>250</v>
      </c>
      <c r="AQ428" s="277" t="s">
        <v>27</v>
      </c>
      <c r="AR428" s="277"/>
      <c r="AS428" s="277" t="s">
        <v>9</v>
      </c>
      <c r="AT428" s="277" t="s">
        <v>11</v>
      </c>
      <c r="AU428" s="277" t="s">
        <v>20</v>
      </c>
      <c r="AV428" s="277" t="s">
        <v>7</v>
      </c>
      <c r="AW428" s="277" t="s">
        <v>3</v>
      </c>
      <c r="AX428" s="277"/>
      <c r="AY428" s="277"/>
      <c r="AZ428" s="277" t="s">
        <v>15</v>
      </c>
      <c r="BA428" s="277" t="s">
        <v>20</v>
      </c>
      <c r="BB428" s="277" t="s">
        <v>6</v>
      </c>
      <c r="BC428" s="277" t="s">
        <v>21</v>
      </c>
      <c r="BD428" s="277" t="s">
        <v>33</v>
      </c>
      <c r="BE428" s="277" t="s">
        <v>10</v>
      </c>
      <c r="BF428" s="277"/>
      <c r="BG428" s="277" t="s">
        <v>7</v>
      </c>
      <c r="BH428" s="277" t="s">
        <v>3</v>
      </c>
      <c r="BI428" s="277" t="s">
        <v>14</v>
      </c>
      <c r="BJ428" s="277" t="s">
        <v>5</v>
      </c>
      <c r="BK428" s="277" t="s">
        <v>11</v>
      </c>
      <c r="BL428" s="277" t="s">
        <v>245</v>
      </c>
      <c r="BM428" s="277" t="s">
        <v>5</v>
      </c>
      <c r="BN428" s="277" t="s">
        <v>15</v>
      </c>
      <c r="GO428" s="16" t="s">
        <v>55</v>
      </c>
      <c r="GP428" s="1" t="s">
        <v>23</v>
      </c>
      <c r="GQ428" s="27" t="str">
        <f t="shared" si="220"/>
        <v/>
      </c>
      <c r="GR428" s="27" t="str">
        <f t="shared" si="221"/>
        <v/>
      </c>
      <c r="GS428" s="27" t="str">
        <f t="shared" si="222"/>
        <v/>
      </c>
      <c r="GT428" s="27" t="str">
        <f t="shared" si="223"/>
        <v/>
      </c>
      <c r="GU428" s="27" t="str">
        <f t="shared" si="224"/>
        <v/>
      </c>
      <c r="GV428" s="27" t="str">
        <f t="shared" si="225"/>
        <v/>
      </c>
      <c r="GW428" s="27" t="str">
        <f t="shared" si="226"/>
        <v/>
      </c>
      <c r="GX428" s="27" t="str">
        <f t="shared" si="227"/>
        <v/>
      </c>
      <c r="GY428" s="27" t="str">
        <f t="shared" si="228"/>
        <v/>
      </c>
      <c r="GZ428" s="27" t="str">
        <f t="shared" si="229"/>
        <v/>
      </c>
      <c r="HA428" s="27" t="str">
        <f t="shared" si="230"/>
        <v/>
      </c>
      <c r="HB428" s="27" t="str">
        <f t="shared" si="231"/>
        <v/>
      </c>
      <c r="HC428" s="27" t="str">
        <f t="shared" si="232"/>
        <v/>
      </c>
      <c r="HD428" s="27" t="str">
        <f t="shared" si="233"/>
        <v>52PL3</v>
      </c>
      <c r="HE428" s="27" t="str">
        <f t="shared" si="234"/>
        <v>55PP</v>
      </c>
      <c r="HF428" s="27" t="str">
        <f t="shared" si="235"/>
        <v/>
      </c>
      <c r="HG428" s="27" t="str">
        <f t="shared" si="236"/>
        <v/>
      </c>
      <c r="HH428" s="27" t="str">
        <f t="shared" si="237"/>
        <v>A</v>
      </c>
      <c r="HI428" s="27" t="str">
        <f t="shared" si="238"/>
        <v/>
      </c>
      <c r="HJ428" s="27" t="str">
        <f t="shared" si="239"/>
        <v/>
      </c>
      <c r="HK428" s="27" t="str">
        <f t="shared" si="240"/>
        <v/>
      </c>
      <c r="HL428" s="27" t="str">
        <f t="shared" si="241"/>
        <v/>
      </c>
      <c r="HM428" s="27" t="str">
        <f t="shared" si="242"/>
        <v/>
      </c>
      <c r="HN428" s="27" t="str">
        <f t="shared" si="243"/>
        <v/>
      </c>
      <c r="HO428" s="27" t="str">
        <f t="shared" si="244"/>
        <v/>
      </c>
      <c r="HP428" s="27" t="str">
        <f t="shared" si="245"/>
        <v/>
      </c>
      <c r="HQ428" s="27" t="str">
        <f t="shared" si="246"/>
        <v/>
      </c>
      <c r="HR428" s="27" t="str">
        <f t="shared" si="247"/>
        <v>84QL3</v>
      </c>
      <c r="HS428" s="27" t="str">
        <f t="shared" si="248"/>
        <v>*</v>
      </c>
      <c r="HT428" s="27" t="str">
        <f t="shared" si="249"/>
        <v/>
      </c>
      <c r="HU428" s="27" t="str">
        <f t="shared" si="250"/>
        <v/>
      </c>
      <c r="HV428" s="27" t="str">
        <f t="shared" si="251"/>
        <v/>
      </c>
      <c r="HW428" s="27" t="str">
        <f t="shared" si="252"/>
        <v/>
      </c>
      <c r="HX428" s="27" t="str">
        <f t="shared" si="253"/>
        <v/>
      </c>
      <c r="HY428" s="27" t="str">
        <f t="shared" si="254"/>
        <v/>
      </c>
      <c r="HZ428" s="27" t="str">
        <f t="shared" si="255"/>
        <v>*</v>
      </c>
      <c r="IA428" s="27" t="str">
        <f t="shared" si="256"/>
        <v/>
      </c>
      <c r="IB428" s="27" t="str">
        <f t="shared" si="257"/>
        <v>I</v>
      </c>
      <c r="IC428" s="19" t="s">
        <v>69</v>
      </c>
      <c r="ID428" s="27" t="str">
        <f t="shared" si="258"/>
        <v/>
      </c>
      <c r="IE428" s="27" t="str">
        <f t="shared" si="259"/>
        <v>*</v>
      </c>
      <c r="IF428" s="27" t="str">
        <f t="shared" si="260"/>
        <v/>
      </c>
      <c r="IG428" s="27" t="str">
        <f t="shared" si="261"/>
        <v/>
      </c>
      <c r="IH428" s="27" t="str">
        <f t="shared" si="262"/>
        <v/>
      </c>
      <c r="II428" s="27" t="str">
        <f t="shared" si="263"/>
        <v>EpY</v>
      </c>
      <c r="IJ428" s="27" t="str">
        <f t="shared" si="264"/>
        <v>47QL4</v>
      </c>
      <c r="IK428" s="27" t="str">
        <f t="shared" si="265"/>
        <v>50LR</v>
      </c>
      <c r="IL428" s="27" t="str">
        <f t="shared" si="266"/>
        <v/>
      </c>
      <c r="IM428" s="27" t="str">
        <f t="shared" si="267"/>
        <v>R</v>
      </c>
      <c r="IN428" s="27" t="str">
        <f t="shared" si="268"/>
        <v/>
      </c>
      <c r="IO428" s="27" t="str">
        <f t="shared" si="269"/>
        <v>L</v>
      </c>
      <c r="IP428" s="27" t="str">
        <f t="shared" si="270"/>
        <v/>
      </c>
      <c r="IQ428" s="27" t="str">
        <f t="shared" si="271"/>
        <v/>
      </c>
      <c r="IR428" s="27" t="str">
        <f t="shared" si="272"/>
        <v/>
      </c>
      <c r="IS428" s="27" t="str">
        <f t="shared" si="273"/>
        <v>D</v>
      </c>
      <c r="IT428" s="27" t="str">
        <f t="shared" si="274"/>
        <v>E</v>
      </c>
      <c r="IU428" s="27" t="str">
        <f t="shared" si="275"/>
        <v>*</v>
      </c>
      <c r="NU428" s="36" t="s">
        <v>174</v>
      </c>
      <c r="NX428" s="27" t="str">
        <f t="shared" si="217"/>
        <v/>
      </c>
      <c r="NY428" s="27" t="str">
        <f t="shared" si="288"/>
        <v/>
      </c>
      <c r="NZ428" s="27" t="str">
        <f t="shared" si="289"/>
        <v/>
      </c>
      <c r="OA428" s="27" t="str">
        <f t="shared" si="290"/>
        <v/>
      </c>
      <c r="OB428" s="27" t="str">
        <f t="shared" si="291"/>
        <v/>
      </c>
      <c r="OC428" s="27" t="str">
        <f t="shared" si="292"/>
        <v/>
      </c>
      <c r="OD428" s="27" t="str">
        <f t="shared" si="293"/>
        <v/>
      </c>
      <c r="OE428" s="27" t="str">
        <f t="shared" si="294"/>
        <v/>
      </c>
      <c r="OF428" s="27" t="str">
        <f t="shared" si="295"/>
        <v/>
      </c>
      <c r="OG428" s="27" t="str">
        <f t="shared" si="296"/>
        <v/>
      </c>
      <c r="OH428" s="27" t="str">
        <f t="shared" si="297"/>
        <v/>
      </c>
      <c r="OI428" s="27" t="str">
        <f t="shared" si="298"/>
        <v/>
      </c>
      <c r="OJ428" s="27" t="str">
        <f t="shared" si="299"/>
        <v/>
      </c>
      <c r="OK428" s="27" t="str">
        <f t="shared" si="300"/>
        <v/>
      </c>
      <c r="OL428" s="27" t="str">
        <f t="shared" si="301"/>
        <v/>
      </c>
      <c r="OM428" s="27" t="str">
        <f t="shared" si="302"/>
        <v/>
      </c>
      <c r="ON428" s="27" t="str">
        <f t="shared" si="303"/>
        <v/>
      </c>
      <c r="OO428" s="27" t="str">
        <f t="shared" si="304"/>
        <v/>
      </c>
      <c r="OP428" s="27" t="str">
        <f t="shared" si="305"/>
        <v/>
      </c>
      <c r="OQ428" s="27" t="str">
        <f t="shared" si="306"/>
        <v/>
      </c>
      <c r="OR428" s="27" t="str">
        <f t="shared" si="307"/>
        <v/>
      </c>
      <c r="OS428" s="27" t="str">
        <f t="shared" si="308"/>
        <v/>
      </c>
      <c r="OT428" s="27" t="str">
        <f t="shared" si="309"/>
        <v/>
      </c>
      <c r="OU428" s="27">
        <f t="shared" si="310"/>
        <v>0</v>
      </c>
      <c r="OV428" s="27" t="str">
        <f t="shared" si="311"/>
        <v>DPA1*03:01</v>
      </c>
      <c r="OW428" s="27" t="str">
        <f t="shared" si="312"/>
        <v/>
      </c>
      <c r="OX428" s="27" t="str">
        <f t="shared" si="313"/>
        <v/>
      </c>
      <c r="OY428" s="27" t="str">
        <f t="shared" si="314"/>
        <v/>
      </c>
      <c r="OZ428" s="27" t="str">
        <f t="shared" si="276"/>
        <v/>
      </c>
      <c r="PA428" s="27" t="str">
        <f t="shared" si="277"/>
        <v/>
      </c>
      <c r="PB428" s="27" t="str">
        <f t="shared" si="278"/>
        <v/>
      </c>
      <c r="PC428" s="27" t="str">
        <f t="shared" si="279"/>
        <v/>
      </c>
      <c r="PD428" s="27" t="str">
        <f t="shared" si="280"/>
        <v/>
      </c>
      <c r="PE428" s="27" t="str">
        <f t="shared" si="281"/>
        <v/>
      </c>
      <c r="PF428" s="27" t="str">
        <f t="shared" si="282"/>
        <v/>
      </c>
      <c r="PG428" s="27" t="str">
        <f t="shared" si="283"/>
        <v/>
      </c>
      <c r="PH428" s="27" t="str">
        <f t="shared" si="284"/>
        <v/>
      </c>
      <c r="PI428" s="27" t="str">
        <f t="shared" si="285"/>
        <v/>
      </c>
      <c r="PJ428" s="27" t="str">
        <f t="shared" si="286"/>
        <v/>
      </c>
      <c r="PK428" s="27" t="str">
        <f t="shared" si="287"/>
        <v/>
      </c>
      <c r="QO428" s="260" t="s">
        <v>120</v>
      </c>
      <c r="QP428" t="s">
        <v>195</v>
      </c>
      <c r="QQ428" t="s">
        <v>196</v>
      </c>
      <c r="QR428" t="s">
        <v>14</v>
      </c>
      <c r="QT428" t="s">
        <v>9</v>
      </c>
      <c r="QU428" t="s">
        <v>185</v>
      </c>
      <c r="QW428" t="s">
        <v>22</v>
      </c>
      <c r="QX428" t="s">
        <v>198</v>
      </c>
      <c r="QY428" t="s">
        <v>8</v>
      </c>
      <c r="QZ428" t="s">
        <v>11</v>
      </c>
      <c r="RA428" t="s">
        <v>2</v>
      </c>
      <c r="RC428" t="s">
        <v>8</v>
      </c>
      <c r="RD428" t="s">
        <v>2</v>
      </c>
      <c r="RE428" t="s">
        <v>1</v>
      </c>
      <c r="RF428" t="s">
        <v>7</v>
      </c>
      <c r="RG428" t="s">
        <v>8</v>
      </c>
      <c r="RH428" t="s">
        <v>206</v>
      </c>
      <c r="RJ428" t="s">
        <v>11</v>
      </c>
      <c r="RK428" t="s">
        <v>2</v>
      </c>
      <c r="RL428" t="s">
        <v>12</v>
      </c>
      <c r="RN428" t="s">
        <v>200</v>
      </c>
      <c r="RO428" t="s">
        <v>201</v>
      </c>
      <c r="RP428" t="s">
        <v>14</v>
      </c>
      <c r="RQ428" t="s">
        <v>10</v>
      </c>
      <c r="RS428" t="s">
        <v>10</v>
      </c>
      <c r="RT428" t="s">
        <v>21</v>
      </c>
      <c r="RV428" t="s">
        <v>7</v>
      </c>
      <c r="RW428" t="s">
        <v>3</v>
      </c>
      <c r="RY428" t="s">
        <v>14</v>
      </c>
      <c r="RZ428" t="s">
        <v>185</v>
      </c>
      <c r="SA428" t="s">
        <v>269</v>
      </c>
      <c r="SB428" t="s">
        <v>1</v>
      </c>
      <c r="SC428" t="s">
        <v>1</v>
      </c>
      <c r="SD428" t="s">
        <v>10</v>
      </c>
      <c r="SE428" t="s">
        <v>14</v>
      </c>
      <c r="SF428" t="s">
        <v>7</v>
      </c>
      <c r="SH428" t="s">
        <v>15</v>
      </c>
      <c r="SI428" t="s">
        <v>5</v>
      </c>
      <c r="SJ428" s="246" t="s">
        <v>261</v>
      </c>
      <c r="SK428" s="260" t="s">
        <v>120</v>
      </c>
      <c r="SL428" s="246" t="s">
        <v>261</v>
      </c>
      <c r="WS428" s="66" t="s">
        <v>124</v>
      </c>
      <c r="WT428" s="27" t="str">
        <f t="shared" si="168"/>
        <v/>
      </c>
      <c r="WU428" s="27" t="str">
        <f t="shared" si="169"/>
        <v/>
      </c>
      <c r="WV428" s="27" t="str">
        <f t="shared" si="170"/>
        <v/>
      </c>
      <c r="WW428" s="27" t="str">
        <f t="shared" si="171"/>
        <v/>
      </c>
      <c r="WX428" s="27" t="str">
        <f t="shared" si="172"/>
        <v/>
      </c>
      <c r="WY428" s="27" t="str">
        <f t="shared" si="173"/>
        <v/>
      </c>
      <c r="WZ428" s="27" t="str">
        <f t="shared" si="174"/>
        <v/>
      </c>
      <c r="XA428" s="27" t="str">
        <f t="shared" si="175"/>
        <v/>
      </c>
      <c r="XB428" s="27" t="str">
        <f t="shared" si="176"/>
        <v/>
      </c>
      <c r="XC428" s="27" t="str">
        <f t="shared" si="177"/>
        <v/>
      </c>
      <c r="XD428" s="27" t="str">
        <f t="shared" si="178"/>
        <v/>
      </c>
      <c r="XE428" s="27" t="str">
        <f t="shared" si="179"/>
        <v/>
      </c>
      <c r="XF428" s="27" t="str">
        <f t="shared" si="180"/>
        <v/>
      </c>
      <c r="XG428" s="27" t="str">
        <f t="shared" si="181"/>
        <v/>
      </c>
      <c r="XH428" s="27" t="str">
        <f t="shared" si="182"/>
        <v/>
      </c>
      <c r="XI428" s="27" t="str">
        <f t="shared" si="183"/>
        <v/>
      </c>
      <c r="XJ428" s="27" t="str">
        <f t="shared" si="184"/>
        <v/>
      </c>
      <c r="XK428" s="27" t="str">
        <f t="shared" si="185"/>
        <v/>
      </c>
      <c r="XL428" s="27" t="str">
        <f t="shared" si="186"/>
        <v/>
      </c>
      <c r="XM428" s="27" t="str">
        <f t="shared" si="187"/>
        <v/>
      </c>
      <c r="XN428" s="27" t="str">
        <f t="shared" si="188"/>
        <v/>
      </c>
      <c r="XO428" s="27" t="str">
        <f t="shared" si="189"/>
        <v/>
      </c>
      <c r="XP428" s="27" t="str">
        <f t="shared" si="190"/>
        <v/>
      </c>
      <c r="XQ428" s="27" t="str">
        <f t="shared" si="191"/>
        <v/>
      </c>
      <c r="XR428" s="27" t="str">
        <f t="shared" si="192"/>
        <v/>
      </c>
      <c r="XS428" s="27" t="str">
        <f t="shared" si="193"/>
        <v/>
      </c>
      <c r="XT428" s="27" t="str">
        <f t="shared" si="194"/>
        <v/>
      </c>
      <c r="XU428" s="27" t="str">
        <f t="shared" si="195"/>
        <v/>
      </c>
      <c r="XV428" s="27" t="str">
        <f t="shared" si="196"/>
        <v/>
      </c>
      <c r="XW428" s="27" t="str">
        <f t="shared" si="197"/>
        <v/>
      </c>
      <c r="XX428" s="27" t="str">
        <f t="shared" si="198"/>
        <v/>
      </c>
      <c r="XY428" s="27" t="str">
        <f t="shared" si="199"/>
        <v/>
      </c>
      <c r="XZ428" s="27" t="str">
        <f t="shared" si="200"/>
        <v/>
      </c>
      <c r="YA428" s="27" t="str">
        <f t="shared" si="201"/>
        <v/>
      </c>
      <c r="YB428" s="27" t="str">
        <f t="shared" si="202"/>
        <v/>
      </c>
      <c r="YC428" s="27" t="str">
        <f t="shared" si="203"/>
        <v/>
      </c>
      <c r="YD428" s="27" t="str">
        <f t="shared" si="204"/>
        <v/>
      </c>
      <c r="YE428" s="27" t="str">
        <f t="shared" si="205"/>
        <v/>
      </c>
      <c r="YF428" s="27" t="str">
        <f t="shared" si="206"/>
        <v/>
      </c>
      <c r="YG428" s="27" t="str">
        <f t="shared" si="207"/>
        <v/>
      </c>
      <c r="YH428" s="27" t="str">
        <f t="shared" si="208"/>
        <v/>
      </c>
      <c r="YI428" s="27" t="str">
        <f t="shared" si="209"/>
        <v/>
      </c>
      <c r="YJ428" s="27" t="str">
        <f t="shared" si="210"/>
        <v/>
      </c>
      <c r="YK428" s="27" t="str">
        <f t="shared" si="211"/>
        <v/>
      </c>
      <c r="YL428" s="27" t="str">
        <f t="shared" si="212"/>
        <v/>
      </c>
      <c r="YM428" s="27" t="str">
        <f t="shared" si="213"/>
        <v/>
      </c>
      <c r="YN428" s="27" t="str">
        <f t="shared" si="214"/>
        <v/>
      </c>
    </row>
    <row r="429" spans="28:664" ht="21.75" thickTop="1" x14ac:dyDescent="0.35">
      <c r="AB429" s="277" t="s">
        <v>35</v>
      </c>
      <c r="AC429" s="277" t="s">
        <v>1</v>
      </c>
      <c r="AD429" s="277" t="s">
        <v>2</v>
      </c>
      <c r="AE429" s="277" t="s">
        <v>3</v>
      </c>
      <c r="AF429" s="277" t="s">
        <v>4</v>
      </c>
      <c r="AG429" s="277" t="s">
        <v>5</v>
      </c>
      <c r="AH429" s="277" t="s">
        <v>6</v>
      </c>
      <c r="AI429" s="277" t="s">
        <v>22</v>
      </c>
      <c r="AJ429" s="277" t="s">
        <v>2</v>
      </c>
      <c r="AK429" s="277" t="s">
        <v>10</v>
      </c>
      <c r="AL429" s="277" t="s">
        <v>2</v>
      </c>
      <c r="AM429" s="277" t="s">
        <v>24</v>
      </c>
      <c r="AN429" s="277" t="s">
        <v>246</v>
      </c>
      <c r="AO429" s="277" t="s">
        <v>3</v>
      </c>
      <c r="AP429" s="277" t="s">
        <v>250</v>
      </c>
      <c r="AQ429" s="277" t="s">
        <v>27</v>
      </c>
      <c r="AR429" s="277"/>
      <c r="AS429" s="277" t="s">
        <v>9</v>
      </c>
      <c r="AT429" s="277" t="s">
        <v>11</v>
      </c>
      <c r="AU429" s="277" t="s">
        <v>20</v>
      </c>
      <c r="AV429" s="277" t="s">
        <v>7</v>
      </c>
      <c r="AW429" s="277" t="s">
        <v>3</v>
      </c>
      <c r="AX429" s="277"/>
      <c r="AY429" s="277"/>
      <c r="AZ429" s="277" t="s">
        <v>15</v>
      </c>
      <c r="BA429" s="277" t="s">
        <v>20</v>
      </c>
      <c r="BB429" s="277" t="s">
        <v>6</v>
      </c>
      <c r="BC429" s="277" t="s">
        <v>21</v>
      </c>
      <c r="BD429" s="277" t="s">
        <v>33</v>
      </c>
      <c r="BE429" s="277" t="s">
        <v>10</v>
      </c>
      <c r="BF429" s="277"/>
      <c r="BG429" s="277" t="s">
        <v>7</v>
      </c>
      <c r="BH429" s="277" t="s">
        <v>3</v>
      </c>
      <c r="BI429" s="277" t="s">
        <v>14</v>
      </c>
      <c r="BJ429" s="277" t="s">
        <v>5</v>
      </c>
      <c r="BK429" s="277" t="s">
        <v>11</v>
      </c>
      <c r="BL429" s="277" t="s">
        <v>245</v>
      </c>
      <c r="BM429" s="277" t="s">
        <v>5</v>
      </c>
      <c r="BN429" s="277" t="s">
        <v>15</v>
      </c>
      <c r="GO429" s="17" t="s">
        <v>56</v>
      </c>
      <c r="GP429" s="1" t="s">
        <v>25</v>
      </c>
      <c r="GQ429" s="27" t="str">
        <f t="shared" si="220"/>
        <v/>
      </c>
      <c r="GR429" s="27" t="str">
        <f t="shared" si="221"/>
        <v/>
      </c>
      <c r="GS429" s="27" t="str">
        <f t="shared" si="222"/>
        <v/>
      </c>
      <c r="GT429" s="27" t="str">
        <f t="shared" si="223"/>
        <v/>
      </c>
      <c r="GU429" s="27" t="str">
        <f t="shared" si="224"/>
        <v/>
      </c>
      <c r="GV429" s="27" t="str">
        <f t="shared" si="225"/>
        <v/>
      </c>
      <c r="GW429" s="27" t="str">
        <f t="shared" si="226"/>
        <v/>
      </c>
      <c r="GX429" s="27" t="str">
        <f t="shared" si="227"/>
        <v/>
      </c>
      <c r="GY429" s="27" t="str">
        <f t="shared" si="228"/>
        <v/>
      </c>
      <c r="GZ429" s="27" t="str">
        <f t="shared" si="229"/>
        <v/>
      </c>
      <c r="HA429" s="27" t="str">
        <f t="shared" si="230"/>
        <v/>
      </c>
      <c r="HB429" s="27" t="str">
        <f t="shared" si="231"/>
        <v/>
      </c>
      <c r="HC429" s="27" t="str">
        <f t="shared" si="232"/>
        <v/>
      </c>
      <c r="HD429" s="27" t="str">
        <f t="shared" si="233"/>
        <v>52PL3</v>
      </c>
      <c r="HE429" s="27" t="str">
        <f t="shared" si="234"/>
        <v>55PP</v>
      </c>
      <c r="HF429" s="27" t="str">
        <f t="shared" si="235"/>
        <v/>
      </c>
      <c r="HG429" s="27" t="str">
        <f t="shared" si="236"/>
        <v/>
      </c>
      <c r="HH429" s="27" t="str">
        <f t="shared" si="237"/>
        <v/>
      </c>
      <c r="HI429" s="27" t="str">
        <f t="shared" si="238"/>
        <v/>
      </c>
      <c r="HJ429" s="27" t="str">
        <f t="shared" si="239"/>
        <v/>
      </c>
      <c r="HK429" s="27" t="str">
        <f t="shared" si="240"/>
        <v/>
      </c>
      <c r="HL429" s="27" t="str">
        <f t="shared" si="241"/>
        <v/>
      </c>
      <c r="HM429" s="27" t="str">
        <f t="shared" si="242"/>
        <v/>
      </c>
      <c r="HN429" s="27" t="str">
        <f t="shared" si="243"/>
        <v/>
      </c>
      <c r="HO429" s="27" t="str">
        <f t="shared" si="244"/>
        <v/>
      </c>
      <c r="HP429" s="27" t="str">
        <f t="shared" si="245"/>
        <v/>
      </c>
      <c r="HQ429" s="27" t="str">
        <f t="shared" si="246"/>
        <v/>
      </c>
      <c r="HR429" s="27" t="str">
        <f t="shared" si="247"/>
        <v>84QL3</v>
      </c>
      <c r="HS429" s="27" t="str">
        <f t="shared" si="248"/>
        <v>*</v>
      </c>
      <c r="HT429" s="27" t="str">
        <f t="shared" si="249"/>
        <v/>
      </c>
      <c r="HU429" s="27" t="str">
        <f t="shared" si="250"/>
        <v/>
      </c>
      <c r="HV429" s="27" t="str">
        <f t="shared" si="251"/>
        <v/>
      </c>
      <c r="HW429" s="27" t="str">
        <f t="shared" si="252"/>
        <v/>
      </c>
      <c r="HX429" s="27" t="str">
        <f t="shared" si="253"/>
        <v/>
      </c>
      <c r="HY429" s="27" t="str">
        <f t="shared" si="254"/>
        <v/>
      </c>
      <c r="HZ429" s="27" t="str">
        <f t="shared" si="255"/>
        <v>*</v>
      </c>
      <c r="IA429" s="27" t="str">
        <f t="shared" si="256"/>
        <v/>
      </c>
      <c r="IB429" s="27" t="str">
        <f t="shared" si="257"/>
        <v>I</v>
      </c>
      <c r="IC429" s="21" t="s">
        <v>58</v>
      </c>
      <c r="ID429" s="27" t="str">
        <f t="shared" si="258"/>
        <v/>
      </c>
      <c r="IE429" s="27" t="str">
        <f t="shared" si="259"/>
        <v/>
      </c>
      <c r="IF429" s="27" t="str">
        <f t="shared" si="260"/>
        <v/>
      </c>
      <c r="IG429" s="27" t="str">
        <f t="shared" si="261"/>
        <v/>
      </c>
      <c r="IH429" s="27" t="str">
        <f t="shared" si="262"/>
        <v/>
      </c>
      <c r="II429" s="27" t="str">
        <f t="shared" si="263"/>
        <v>EpY</v>
      </c>
      <c r="IJ429" s="27" t="str">
        <f t="shared" si="264"/>
        <v>47KHL</v>
      </c>
      <c r="IK429" s="27" t="str">
        <f t="shared" si="265"/>
        <v>50LR</v>
      </c>
      <c r="IL429" s="27" t="str">
        <f t="shared" si="266"/>
        <v/>
      </c>
      <c r="IM429" s="27" t="str">
        <f t="shared" si="267"/>
        <v/>
      </c>
      <c r="IN429" s="27" t="str">
        <f t="shared" si="268"/>
        <v>*</v>
      </c>
      <c r="IO429" s="27" t="str">
        <f t="shared" si="269"/>
        <v>L</v>
      </c>
      <c r="IP429" s="27" t="str">
        <f t="shared" si="270"/>
        <v/>
      </c>
      <c r="IQ429" s="27" t="str">
        <f t="shared" si="271"/>
        <v>L</v>
      </c>
      <c r="IR429" s="27" t="str">
        <f t="shared" si="272"/>
        <v/>
      </c>
      <c r="IS429" s="27" t="str">
        <f t="shared" si="273"/>
        <v/>
      </c>
      <c r="IT429" s="27" t="str">
        <f t="shared" si="274"/>
        <v>E</v>
      </c>
      <c r="IU429" s="27" t="str">
        <f t="shared" si="275"/>
        <v/>
      </c>
      <c r="NU429" s="37" t="s">
        <v>176</v>
      </c>
      <c r="NX429" s="27" t="str">
        <f t="shared" si="217"/>
        <v/>
      </c>
      <c r="NY429" s="27" t="str">
        <f t="shared" si="288"/>
        <v/>
      </c>
      <c r="NZ429" s="27" t="str">
        <f t="shared" si="289"/>
        <v/>
      </c>
      <c r="OA429" s="27" t="str">
        <f t="shared" si="290"/>
        <v/>
      </c>
      <c r="OB429" s="27" t="str">
        <f t="shared" si="291"/>
        <v/>
      </c>
      <c r="OC429" s="27" t="str">
        <f t="shared" si="292"/>
        <v/>
      </c>
      <c r="OD429" s="27" t="str">
        <f t="shared" si="293"/>
        <v/>
      </c>
      <c r="OE429" s="27" t="str">
        <f t="shared" si="294"/>
        <v/>
      </c>
      <c r="OF429" s="27" t="str">
        <f t="shared" si="295"/>
        <v/>
      </c>
      <c r="OG429" s="27" t="str">
        <f t="shared" si="296"/>
        <v/>
      </c>
      <c r="OH429" s="27" t="str">
        <f t="shared" si="297"/>
        <v/>
      </c>
      <c r="OI429" s="27" t="str">
        <f t="shared" si="298"/>
        <v/>
      </c>
      <c r="OJ429" s="27" t="str">
        <f t="shared" si="299"/>
        <v/>
      </c>
      <c r="OK429" s="27" t="str">
        <f t="shared" si="300"/>
        <v/>
      </c>
      <c r="OL429" s="27" t="str">
        <f t="shared" si="301"/>
        <v/>
      </c>
      <c r="OM429" s="27" t="str">
        <f t="shared" si="302"/>
        <v/>
      </c>
      <c r="ON429" s="27" t="str">
        <f t="shared" si="303"/>
        <v/>
      </c>
      <c r="OO429" s="27" t="str">
        <f t="shared" si="304"/>
        <v/>
      </c>
      <c r="OP429" s="27" t="str">
        <f t="shared" si="305"/>
        <v/>
      </c>
      <c r="OQ429" s="27" t="str">
        <f t="shared" si="306"/>
        <v/>
      </c>
      <c r="OR429" s="27" t="str">
        <f t="shared" si="307"/>
        <v/>
      </c>
      <c r="OS429" s="27" t="str">
        <f t="shared" si="308"/>
        <v/>
      </c>
      <c r="OT429" s="27" t="str">
        <f t="shared" si="309"/>
        <v/>
      </c>
      <c r="OU429" s="27">
        <f t="shared" si="310"/>
        <v>0</v>
      </c>
      <c r="OV429" s="27" t="str">
        <f t="shared" si="311"/>
        <v>DPA1*01:03</v>
      </c>
      <c r="OW429" s="27" t="str">
        <f t="shared" si="312"/>
        <v/>
      </c>
      <c r="OX429" s="27" t="str">
        <f t="shared" si="313"/>
        <v/>
      </c>
      <c r="OY429" s="27" t="str">
        <f t="shared" si="314"/>
        <v/>
      </c>
      <c r="OZ429" s="27" t="str">
        <f t="shared" si="276"/>
        <v/>
      </c>
      <c r="PA429" s="27" t="str">
        <f t="shared" si="277"/>
        <v/>
      </c>
      <c r="PB429" s="27" t="str">
        <f t="shared" si="278"/>
        <v/>
      </c>
      <c r="PC429" s="27" t="str">
        <f t="shared" si="279"/>
        <v/>
      </c>
      <c r="PD429" s="27" t="str">
        <f t="shared" si="280"/>
        <v/>
      </c>
      <c r="PE429" s="27" t="str">
        <f t="shared" si="281"/>
        <v/>
      </c>
      <c r="PF429" s="27" t="str">
        <f t="shared" si="282"/>
        <v/>
      </c>
      <c r="PG429" s="27" t="str">
        <f t="shared" si="283"/>
        <v/>
      </c>
      <c r="PH429" s="27" t="str">
        <f t="shared" si="284"/>
        <v/>
      </c>
      <c r="PI429" s="27" t="str">
        <f t="shared" si="285"/>
        <v/>
      </c>
      <c r="PJ429" s="27" t="str">
        <f t="shared" si="286"/>
        <v/>
      </c>
      <c r="PK429" s="27" t="str">
        <f t="shared" si="287"/>
        <v/>
      </c>
      <c r="QO429" s="260" t="s">
        <v>121</v>
      </c>
      <c r="QP429" t="s">
        <v>195</v>
      </c>
      <c r="QQ429" t="s">
        <v>196</v>
      </c>
      <c r="QR429" t="s">
        <v>14</v>
      </c>
      <c r="QT429" t="s">
        <v>9</v>
      </c>
      <c r="QU429" t="s">
        <v>185</v>
      </c>
      <c r="QW429" t="s">
        <v>22</v>
      </c>
      <c r="QX429" t="s">
        <v>198</v>
      </c>
      <c r="QY429" t="s">
        <v>8</v>
      </c>
      <c r="QZ429" t="s">
        <v>11</v>
      </c>
      <c r="RA429" t="s">
        <v>22</v>
      </c>
      <c r="RC429" t="s">
        <v>8</v>
      </c>
      <c r="RD429" t="s">
        <v>2</v>
      </c>
      <c r="RE429" t="s">
        <v>1</v>
      </c>
      <c r="RF429" t="s">
        <v>7</v>
      </c>
      <c r="RG429" t="s">
        <v>8</v>
      </c>
      <c r="RH429" t="s">
        <v>206</v>
      </c>
      <c r="RJ429" t="s">
        <v>11</v>
      </c>
      <c r="RK429" t="s">
        <v>2</v>
      </c>
      <c r="RL429" t="s">
        <v>12</v>
      </c>
      <c r="RN429" t="s">
        <v>200</v>
      </c>
      <c r="RO429" t="s">
        <v>201</v>
      </c>
      <c r="RP429" t="s">
        <v>14</v>
      </c>
      <c r="RQ429" t="s">
        <v>10</v>
      </c>
      <c r="RS429" t="s">
        <v>10</v>
      </c>
      <c r="RT429" t="s">
        <v>21</v>
      </c>
      <c r="RV429" t="s">
        <v>7</v>
      </c>
      <c r="RW429" t="s">
        <v>7</v>
      </c>
      <c r="RY429" t="s">
        <v>14</v>
      </c>
      <c r="RZ429" t="s">
        <v>185</v>
      </c>
      <c r="SA429" t="s">
        <v>269</v>
      </c>
      <c r="SB429" t="s">
        <v>1</v>
      </c>
      <c r="SC429" t="s">
        <v>1</v>
      </c>
      <c r="SD429" t="s">
        <v>10</v>
      </c>
      <c r="SE429" t="s">
        <v>14</v>
      </c>
      <c r="SF429" t="s">
        <v>7</v>
      </c>
      <c r="SH429" t="s">
        <v>15</v>
      </c>
      <c r="SI429" t="s">
        <v>5</v>
      </c>
      <c r="SJ429" s="246" t="s">
        <v>261</v>
      </c>
      <c r="SK429" s="260" t="s">
        <v>121</v>
      </c>
      <c r="SL429" s="246" t="s">
        <v>261</v>
      </c>
      <c r="WS429" s="222" t="s">
        <v>125</v>
      </c>
      <c r="WT429" s="27" t="str">
        <f t="shared" si="168"/>
        <v/>
      </c>
      <c r="WU429" s="27" t="str">
        <f t="shared" si="169"/>
        <v/>
      </c>
      <c r="WV429" s="27" t="str">
        <f t="shared" si="170"/>
        <v/>
      </c>
      <c r="WW429" s="27" t="str">
        <f t="shared" si="171"/>
        <v/>
      </c>
      <c r="WX429" s="27" t="str">
        <f t="shared" si="172"/>
        <v/>
      </c>
      <c r="WY429" s="27" t="str">
        <f t="shared" si="173"/>
        <v/>
      </c>
      <c r="WZ429" s="27" t="str">
        <f t="shared" si="174"/>
        <v/>
      </c>
      <c r="XA429" s="27" t="str">
        <f t="shared" si="175"/>
        <v/>
      </c>
      <c r="XB429" s="27" t="str">
        <f t="shared" si="176"/>
        <v/>
      </c>
      <c r="XC429" s="27" t="str">
        <f t="shared" si="177"/>
        <v/>
      </c>
      <c r="XD429" s="27" t="str">
        <f t="shared" si="178"/>
        <v/>
      </c>
      <c r="XE429" s="27" t="str">
        <f t="shared" si="179"/>
        <v/>
      </c>
      <c r="XF429" s="27" t="str">
        <f t="shared" si="180"/>
        <v/>
      </c>
      <c r="XG429" s="27" t="str">
        <f t="shared" si="181"/>
        <v/>
      </c>
      <c r="XH429" s="27" t="str">
        <f t="shared" si="182"/>
        <v/>
      </c>
      <c r="XI429" s="27" t="str">
        <f t="shared" si="183"/>
        <v/>
      </c>
      <c r="XJ429" s="27" t="str">
        <f t="shared" si="184"/>
        <v/>
      </c>
      <c r="XK429" s="27" t="str">
        <f t="shared" si="185"/>
        <v/>
      </c>
      <c r="XL429" s="27" t="str">
        <f t="shared" si="186"/>
        <v/>
      </c>
      <c r="XM429" s="27" t="str">
        <f t="shared" si="187"/>
        <v/>
      </c>
      <c r="XN429" s="27" t="str">
        <f t="shared" si="188"/>
        <v/>
      </c>
      <c r="XO429" s="27" t="str">
        <f t="shared" si="189"/>
        <v/>
      </c>
      <c r="XP429" s="27" t="str">
        <f t="shared" si="190"/>
        <v/>
      </c>
      <c r="XQ429" s="27" t="str">
        <f t="shared" si="191"/>
        <v/>
      </c>
      <c r="XR429" s="27" t="str">
        <f t="shared" si="192"/>
        <v/>
      </c>
      <c r="XS429" s="27" t="str">
        <f t="shared" si="193"/>
        <v/>
      </c>
      <c r="XT429" s="27" t="str">
        <f t="shared" si="194"/>
        <v/>
      </c>
      <c r="XU429" s="27" t="str">
        <f t="shared" si="195"/>
        <v/>
      </c>
      <c r="XV429" s="27" t="str">
        <f t="shared" si="196"/>
        <v/>
      </c>
      <c r="XW429" s="27" t="str">
        <f t="shared" si="197"/>
        <v/>
      </c>
      <c r="XX429" s="27" t="str">
        <f t="shared" si="198"/>
        <v/>
      </c>
      <c r="XY429" s="27" t="str">
        <f t="shared" si="199"/>
        <v/>
      </c>
      <c r="XZ429" s="27" t="str">
        <f t="shared" si="200"/>
        <v/>
      </c>
      <c r="YA429" s="27" t="str">
        <f t="shared" si="201"/>
        <v/>
      </c>
      <c r="YB429" s="27" t="str">
        <f t="shared" si="202"/>
        <v/>
      </c>
      <c r="YC429" s="27" t="str">
        <f t="shared" si="203"/>
        <v/>
      </c>
      <c r="YD429" s="27" t="str">
        <f t="shared" si="204"/>
        <v/>
      </c>
      <c r="YE429" s="27" t="str">
        <f t="shared" si="205"/>
        <v/>
      </c>
      <c r="YF429" s="27" t="str">
        <f t="shared" si="206"/>
        <v/>
      </c>
      <c r="YG429" s="27" t="str">
        <f t="shared" si="207"/>
        <v/>
      </c>
      <c r="YH429" s="27" t="str">
        <f t="shared" si="208"/>
        <v/>
      </c>
      <c r="YI429" s="27" t="str">
        <f t="shared" si="209"/>
        <v/>
      </c>
      <c r="YJ429" s="27" t="str">
        <f t="shared" si="210"/>
        <v/>
      </c>
      <c r="YK429" s="27" t="str">
        <f t="shared" si="211"/>
        <v/>
      </c>
      <c r="YL429" s="27" t="str">
        <f t="shared" si="212"/>
        <v/>
      </c>
      <c r="YM429" s="27" t="str">
        <f t="shared" si="213"/>
        <v/>
      </c>
      <c r="YN429" s="27" t="str">
        <f t="shared" si="214"/>
        <v/>
      </c>
    </row>
    <row r="430" spans="28:664" ht="21" x14ac:dyDescent="0.35">
      <c r="AB430" s="277" t="s">
        <v>36</v>
      </c>
      <c r="AC430" s="277" t="s">
        <v>1</v>
      </c>
      <c r="AD430" s="277" t="s">
        <v>2</v>
      </c>
      <c r="AE430" s="277" t="s">
        <v>3</v>
      </c>
      <c r="AF430" s="277" t="s">
        <v>4</v>
      </c>
      <c r="AG430" s="277" t="s">
        <v>5</v>
      </c>
      <c r="AH430" s="277" t="s">
        <v>6</v>
      </c>
      <c r="AI430" s="277" t="s">
        <v>22</v>
      </c>
      <c r="AJ430" s="277" t="s">
        <v>2</v>
      </c>
      <c r="AK430" s="277" t="s">
        <v>10</v>
      </c>
      <c r="AL430" s="277" t="s">
        <v>2</v>
      </c>
      <c r="AM430" s="277" t="s">
        <v>24</v>
      </c>
      <c r="AN430" s="277" t="s">
        <v>246</v>
      </c>
      <c r="AO430" s="277" t="s">
        <v>3</v>
      </c>
      <c r="AP430" s="277" t="s">
        <v>250</v>
      </c>
      <c r="AQ430" s="277" t="s">
        <v>27</v>
      </c>
      <c r="AR430" s="277" t="s">
        <v>30</v>
      </c>
      <c r="AS430" s="277" t="s">
        <v>9</v>
      </c>
      <c r="AT430" s="277"/>
      <c r="AU430" s="277" t="s">
        <v>20</v>
      </c>
      <c r="AV430" s="277" t="s">
        <v>7</v>
      </c>
      <c r="AW430" s="277" t="s">
        <v>5</v>
      </c>
      <c r="AX430" s="277"/>
      <c r="AY430" s="277"/>
      <c r="AZ430" s="277" t="s">
        <v>15</v>
      </c>
      <c r="BA430" s="277" t="s">
        <v>20</v>
      </c>
      <c r="BB430" s="277" t="s">
        <v>6</v>
      </c>
      <c r="BC430" s="277" t="s">
        <v>21</v>
      </c>
      <c r="BD430" s="277"/>
      <c r="BE430" s="277" t="s">
        <v>3</v>
      </c>
      <c r="BF430" s="277" t="s">
        <v>2</v>
      </c>
      <c r="BG430" s="277" t="s">
        <v>7</v>
      </c>
      <c r="BH430" s="277" t="s">
        <v>3</v>
      </c>
      <c r="BI430" s="277" t="s">
        <v>14</v>
      </c>
      <c r="BJ430" s="277" t="s">
        <v>14</v>
      </c>
      <c r="BK430" s="277" t="s">
        <v>11</v>
      </c>
      <c r="BL430" s="277" t="s">
        <v>245</v>
      </c>
      <c r="BM430" s="277" t="s">
        <v>5</v>
      </c>
      <c r="BN430" s="277" t="s">
        <v>15</v>
      </c>
      <c r="GO430" s="17" t="s">
        <v>56</v>
      </c>
      <c r="GP430" s="1" t="s">
        <v>25</v>
      </c>
      <c r="GQ430" s="27" t="str">
        <f t="shared" si="220"/>
        <v/>
      </c>
      <c r="GR430" s="27" t="str">
        <f t="shared" si="221"/>
        <v/>
      </c>
      <c r="GS430" s="27" t="str">
        <f t="shared" si="222"/>
        <v/>
      </c>
      <c r="GT430" s="27" t="str">
        <f t="shared" si="223"/>
        <v/>
      </c>
      <c r="GU430" s="27" t="str">
        <f t="shared" si="224"/>
        <v/>
      </c>
      <c r="GV430" s="27" t="str">
        <f t="shared" si="225"/>
        <v/>
      </c>
      <c r="GW430" s="27" t="str">
        <f t="shared" si="226"/>
        <v/>
      </c>
      <c r="GX430" s="27" t="str">
        <f t="shared" si="227"/>
        <v/>
      </c>
      <c r="GY430" s="27" t="str">
        <f t="shared" si="228"/>
        <v/>
      </c>
      <c r="GZ430" s="27" t="str">
        <f t="shared" si="229"/>
        <v/>
      </c>
      <c r="HA430" s="27" t="str">
        <f t="shared" si="230"/>
        <v/>
      </c>
      <c r="HB430" s="27" t="str">
        <f t="shared" si="231"/>
        <v/>
      </c>
      <c r="HC430" s="27" t="str">
        <f t="shared" si="232"/>
        <v/>
      </c>
      <c r="HD430" s="27" t="str">
        <f t="shared" si="233"/>
        <v>52PL3</v>
      </c>
      <c r="HE430" s="27" t="str">
        <f t="shared" si="234"/>
        <v>55PP</v>
      </c>
      <c r="HF430" s="27" t="str">
        <f t="shared" si="235"/>
        <v/>
      </c>
      <c r="HG430" s="27" t="str">
        <f t="shared" si="236"/>
        <v/>
      </c>
      <c r="HH430" s="27" t="str">
        <f t="shared" si="237"/>
        <v/>
      </c>
      <c r="HI430" s="27" t="str">
        <f t="shared" si="238"/>
        <v/>
      </c>
      <c r="HJ430" s="27" t="str">
        <f t="shared" si="239"/>
        <v/>
      </c>
      <c r="HK430" s="27" t="str">
        <f t="shared" si="240"/>
        <v/>
      </c>
      <c r="HL430" s="27" t="str">
        <f t="shared" si="241"/>
        <v/>
      </c>
      <c r="HM430" s="27" t="str">
        <f t="shared" si="242"/>
        <v/>
      </c>
      <c r="HN430" s="27" t="str">
        <f t="shared" si="243"/>
        <v/>
      </c>
      <c r="HO430" s="27" t="str">
        <f t="shared" si="244"/>
        <v/>
      </c>
      <c r="HP430" s="27" t="str">
        <f t="shared" si="245"/>
        <v/>
      </c>
      <c r="HQ430" s="27" t="str">
        <f t="shared" si="246"/>
        <v/>
      </c>
      <c r="HR430" s="27" t="str">
        <f t="shared" si="247"/>
        <v>84QL3</v>
      </c>
      <c r="HS430" s="27" t="str">
        <f t="shared" si="248"/>
        <v>*</v>
      </c>
      <c r="HT430" s="27" t="str">
        <f t="shared" si="249"/>
        <v/>
      </c>
      <c r="HU430" s="27" t="str">
        <f t="shared" si="250"/>
        <v/>
      </c>
      <c r="HV430" s="27" t="str">
        <f t="shared" si="251"/>
        <v/>
      </c>
      <c r="HW430" s="27" t="str">
        <f t="shared" si="252"/>
        <v/>
      </c>
      <c r="HX430" s="27" t="str">
        <f t="shared" si="253"/>
        <v/>
      </c>
      <c r="HY430" s="27" t="str">
        <f t="shared" si="254"/>
        <v/>
      </c>
      <c r="HZ430" s="27" t="str">
        <f t="shared" si="255"/>
        <v>*</v>
      </c>
      <c r="IA430" s="27" t="str">
        <f t="shared" si="256"/>
        <v/>
      </c>
      <c r="IB430" s="27" t="str">
        <f t="shared" si="257"/>
        <v>I</v>
      </c>
      <c r="IC430" s="22" t="s">
        <v>59</v>
      </c>
      <c r="ID430" s="27" t="str">
        <f t="shared" si="258"/>
        <v/>
      </c>
      <c r="IE430" s="27" t="str">
        <f t="shared" si="259"/>
        <v>*</v>
      </c>
      <c r="IF430" s="27" t="str">
        <f t="shared" si="260"/>
        <v/>
      </c>
      <c r="IG430" s="27" t="str">
        <f t="shared" si="261"/>
        <v/>
      </c>
      <c r="IH430" s="27" t="str">
        <f t="shared" si="262"/>
        <v/>
      </c>
      <c r="II430" s="27" t="str">
        <f t="shared" si="263"/>
        <v>EpY</v>
      </c>
      <c r="IJ430" s="27" t="str">
        <f t="shared" si="264"/>
        <v>47QL4</v>
      </c>
      <c r="IK430" s="27" t="str">
        <f t="shared" si="265"/>
        <v>50LR</v>
      </c>
      <c r="IL430" s="27" t="str">
        <f t="shared" si="266"/>
        <v/>
      </c>
      <c r="IM430" s="27" t="str">
        <f t="shared" si="267"/>
        <v>R</v>
      </c>
      <c r="IN430" s="27" t="str">
        <f t="shared" si="268"/>
        <v/>
      </c>
      <c r="IO430" s="27" t="str">
        <f t="shared" si="269"/>
        <v>L</v>
      </c>
      <c r="IP430" s="27" t="str">
        <f t="shared" si="270"/>
        <v/>
      </c>
      <c r="IQ430" s="27" t="str">
        <f t="shared" si="271"/>
        <v/>
      </c>
      <c r="IR430" s="27" t="str">
        <f t="shared" si="272"/>
        <v/>
      </c>
      <c r="IS430" s="27" t="str">
        <f t="shared" si="273"/>
        <v/>
      </c>
      <c r="IT430" s="27" t="str">
        <f t="shared" si="274"/>
        <v>E</v>
      </c>
      <c r="IU430" s="27" t="str">
        <f t="shared" si="275"/>
        <v>*</v>
      </c>
      <c r="NU430" s="35" t="s">
        <v>158</v>
      </c>
      <c r="NX430" s="27" t="str">
        <f t="shared" si="217"/>
        <v/>
      </c>
      <c r="NY430" s="27" t="str">
        <f t="shared" si="288"/>
        <v/>
      </c>
      <c r="NZ430" s="27" t="str">
        <f t="shared" si="289"/>
        <v/>
      </c>
      <c r="OA430" s="27" t="str">
        <f t="shared" si="290"/>
        <v/>
      </c>
      <c r="OB430" s="27" t="str">
        <f t="shared" si="291"/>
        <v/>
      </c>
      <c r="OC430" s="27" t="str">
        <f t="shared" si="292"/>
        <v/>
      </c>
      <c r="OD430" s="27" t="str">
        <f t="shared" si="293"/>
        <v/>
      </c>
      <c r="OE430" s="27" t="str">
        <f t="shared" si="294"/>
        <v/>
      </c>
      <c r="OF430" s="27" t="str">
        <f t="shared" si="295"/>
        <v/>
      </c>
      <c r="OG430" s="27" t="str">
        <f t="shared" si="296"/>
        <v/>
      </c>
      <c r="OH430" s="27" t="str">
        <f t="shared" si="297"/>
        <v/>
      </c>
      <c r="OI430" s="27" t="str">
        <f t="shared" si="298"/>
        <v/>
      </c>
      <c r="OJ430" s="27" t="str">
        <f t="shared" si="299"/>
        <v/>
      </c>
      <c r="OK430" s="27" t="str">
        <f t="shared" si="300"/>
        <v/>
      </c>
      <c r="OL430" s="27" t="str">
        <f t="shared" si="301"/>
        <v/>
      </c>
      <c r="OM430" s="27" t="str">
        <f t="shared" si="302"/>
        <v/>
      </c>
      <c r="ON430" s="27" t="str">
        <f t="shared" si="303"/>
        <v/>
      </c>
      <c r="OO430" s="27" t="str">
        <f t="shared" si="304"/>
        <v/>
      </c>
      <c r="OP430" s="27" t="str">
        <f t="shared" si="305"/>
        <v/>
      </c>
      <c r="OQ430" s="27" t="str">
        <f t="shared" si="306"/>
        <v/>
      </c>
      <c r="OR430" s="27" t="str">
        <f t="shared" si="307"/>
        <v/>
      </c>
      <c r="OS430" s="27" t="str">
        <f t="shared" si="308"/>
        <v/>
      </c>
      <c r="OT430" s="27" t="str">
        <f t="shared" si="309"/>
        <v/>
      </c>
      <c r="OU430" s="27">
        <f t="shared" si="310"/>
        <v>0</v>
      </c>
      <c r="OV430" s="27" t="str">
        <f t="shared" si="311"/>
        <v>DPA1*01:05</v>
      </c>
      <c r="OW430" s="27" t="str">
        <f t="shared" si="312"/>
        <v/>
      </c>
      <c r="OX430" s="27" t="str">
        <f t="shared" si="313"/>
        <v/>
      </c>
      <c r="OY430" s="27" t="str">
        <f t="shared" si="314"/>
        <v/>
      </c>
      <c r="OZ430" s="27" t="str">
        <f t="shared" si="276"/>
        <v/>
      </c>
      <c r="PA430" s="27" t="str">
        <f t="shared" si="277"/>
        <v/>
      </c>
      <c r="PB430" s="27" t="str">
        <f t="shared" si="278"/>
        <v/>
      </c>
      <c r="PC430" s="27" t="str">
        <f t="shared" si="279"/>
        <v/>
      </c>
      <c r="PD430" s="27" t="str">
        <f t="shared" si="280"/>
        <v/>
      </c>
      <c r="PE430" s="27" t="str">
        <f t="shared" si="281"/>
        <v/>
      </c>
      <c r="PF430" s="27" t="str">
        <f t="shared" si="282"/>
        <v/>
      </c>
      <c r="PG430" s="27" t="str">
        <f t="shared" si="283"/>
        <v/>
      </c>
      <c r="PH430" s="27" t="str">
        <f t="shared" si="284"/>
        <v/>
      </c>
      <c r="PI430" s="27" t="str">
        <f t="shared" si="285"/>
        <v/>
      </c>
      <c r="PJ430" s="27" t="str">
        <f t="shared" si="286"/>
        <v/>
      </c>
      <c r="PK430" s="27" t="str">
        <f t="shared" si="287"/>
        <v/>
      </c>
      <c r="QO430" s="260" t="s">
        <v>122</v>
      </c>
      <c r="QP430" t="s">
        <v>195</v>
      </c>
      <c r="QQ430" t="s">
        <v>196</v>
      </c>
      <c r="QR430" t="s">
        <v>14</v>
      </c>
      <c r="QT430" t="s">
        <v>9</v>
      </c>
      <c r="QU430" t="s">
        <v>185</v>
      </c>
      <c r="QW430" t="s">
        <v>22</v>
      </c>
      <c r="QX430" t="s">
        <v>198</v>
      </c>
      <c r="QY430" t="s">
        <v>8</v>
      </c>
      <c r="QZ430" t="s">
        <v>11</v>
      </c>
      <c r="RA430" t="s">
        <v>2</v>
      </c>
      <c r="RC430" t="s">
        <v>8</v>
      </c>
      <c r="RD430" t="s">
        <v>2</v>
      </c>
      <c r="RE430" t="s">
        <v>1</v>
      </c>
      <c r="RF430" t="s">
        <v>7</v>
      </c>
      <c r="RG430" t="s">
        <v>8</v>
      </c>
      <c r="RJ430" t="s">
        <v>11</v>
      </c>
      <c r="RK430" t="s">
        <v>2</v>
      </c>
      <c r="RL430" t="s">
        <v>8</v>
      </c>
      <c r="RM430" t="s">
        <v>203</v>
      </c>
      <c r="RN430" t="s">
        <v>212</v>
      </c>
      <c r="RO430" t="s">
        <v>201</v>
      </c>
      <c r="RQ430" t="s">
        <v>5</v>
      </c>
      <c r="RS430" t="s">
        <v>10</v>
      </c>
      <c r="RT430" t="s">
        <v>21</v>
      </c>
      <c r="RV430" t="s">
        <v>7</v>
      </c>
      <c r="RW430" t="s">
        <v>3</v>
      </c>
      <c r="RY430" t="s">
        <v>14</v>
      </c>
      <c r="RZ430" t="s">
        <v>185</v>
      </c>
      <c r="SA430" t="s">
        <v>269</v>
      </c>
      <c r="SB430" t="s">
        <v>1</v>
      </c>
      <c r="SC430" t="s">
        <v>1</v>
      </c>
      <c r="SD430" t="s">
        <v>10</v>
      </c>
      <c r="SE430" t="s">
        <v>14</v>
      </c>
      <c r="SF430" t="s">
        <v>7</v>
      </c>
      <c r="SH430" t="s">
        <v>15</v>
      </c>
      <c r="SI430" t="s">
        <v>5</v>
      </c>
      <c r="SJ430" s="246" t="s">
        <v>261</v>
      </c>
      <c r="SK430" s="260" t="s">
        <v>122</v>
      </c>
      <c r="SL430" s="246" t="s">
        <v>261</v>
      </c>
      <c r="WS430" s="184" t="s">
        <v>127</v>
      </c>
      <c r="WT430" s="27" t="str">
        <f t="shared" si="168"/>
        <v/>
      </c>
      <c r="WU430" s="27" t="str">
        <f t="shared" si="169"/>
        <v/>
      </c>
      <c r="WV430" s="27" t="str">
        <f t="shared" si="170"/>
        <v/>
      </c>
      <c r="WW430" s="27" t="str">
        <f t="shared" si="171"/>
        <v/>
      </c>
      <c r="WX430" s="27" t="str">
        <f t="shared" si="172"/>
        <v/>
      </c>
      <c r="WY430" s="27" t="str">
        <f t="shared" si="173"/>
        <v/>
      </c>
      <c r="WZ430" s="27" t="str">
        <f t="shared" si="174"/>
        <v/>
      </c>
      <c r="XA430" s="27" t="str">
        <f t="shared" si="175"/>
        <v/>
      </c>
      <c r="XB430" s="27" t="str">
        <f t="shared" si="176"/>
        <v/>
      </c>
      <c r="XC430" s="27" t="str">
        <f t="shared" si="177"/>
        <v/>
      </c>
      <c r="XD430" s="27" t="str">
        <f t="shared" si="178"/>
        <v/>
      </c>
      <c r="XE430" s="27" t="str">
        <f t="shared" si="179"/>
        <v/>
      </c>
      <c r="XF430" s="27" t="str">
        <f t="shared" si="180"/>
        <v/>
      </c>
      <c r="XG430" s="27" t="str">
        <f t="shared" si="181"/>
        <v/>
      </c>
      <c r="XH430" s="27" t="str">
        <f t="shared" si="182"/>
        <v/>
      </c>
      <c r="XI430" s="27" t="str">
        <f t="shared" si="183"/>
        <v/>
      </c>
      <c r="XJ430" s="27" t="str">
        <f t="shared" si="184"/>
        <v/>
      </c>
      <c r="XK430" s="27" t="str">
        <f t="shared" si="185"/>
        <v/>
      </c>
      <c r="XL430" s="27" t="str">
        <f t="shared" si="186"/>
        <v/>
      </c>
      <c r="XM430" s="27" t="str">
        <f t="shared" si="187"/>
        <v/>
      </c>
      <c r="XN430" s="27" t="str">
        <f t="shared" si="188"/>
        <v/>
      </c>
      <c r="XO430" s="27" t="str">
        <f t="shared" si="189"/>
        <v/>
      </c>
      <c r="XP430" s="27" t="str">
        <f t="shared" si="190"/>
        <v/>
      </c>
      <c r="XQ430" s="27" t="str">
        <f t="shared" si="191"/>
        <v/>
      </c>
      <c r="XR430" s="27" t="str">
        <f t="shared" si="192"/>
        <v/>
      </c>
      <c r="XS430" s="27" t="str">
        <f t="shared" si="193"/>
        <v/>
      </c>
      <c r="XT430" s="27" t="str">
        <f t="shared" si="194"/>
        <v/>
      </c>
      <c r="XU430" s="27" t="str">
        <f t="shared" si="195"/>
        <v/>
      </c>
      <c r="XV430" s="27" t="str">
        <f t="shared" si="196"/>
        <v/>
      </c>
      <c r="XW430" s="27" t="str">
        <f t="shared" si="197"/>
        <v/>
      </c>
      <c r="XX430" s="27" t="str">
        <f t="shared" si="198"/>
        <v/>
      </c>
      <c r="XY430" s="27" t="str">
        <f t="shared" si="199"/>
        <v/>
      </c>
      <c r="XZ430" s="27" t="str">
        <f t="shared" si="200"/>
        <v/>
      </c>
      <c r="YA430" s="27" t="str">
        <f t="shared" si="201"/>
        <v/>
      </c>
      <c r="YB430" s="27" t="str">
        <f t="shared" si="202"/>
        <v/>
      </c>
      <c r="YC430" s="27" t="str">
        <f t="shared" si="203"/>
        <v/>
      </c>
      <c r="YD430" s="27" t="str">
        <f t="shared" si="204"/>
        <v/>
      </c>
      <c r="YE430" s="27" t="str">
        <f t="shared" si="205"/>
        <v/>
      </c>
      <c r="YF430" s="27" t="str">
        <f t="shared" si="206"/>
        <v/>
      </c>
      <c r="YG430" s="27" t="str">
        <f t="shared" si="207"/>
        <v/>
      </c>
      <c r="YH430" s="27" t="str">
        <f t="shared" si="208"/>
        <v/>
      </c>
      <c r="YI430" s="27" t="str">
        <f t="shared" si="209"/>
        <v/>
      </c>
      <c r="YJ430" s="27" t="str">
        <f t="shared" si="210"/>
        <v/>
      </c>
      <c r="YK430" s="27" t="str">
        <f t="shared" si="211"/>
        <v/>
      </c>
      <c r="YL430" s="27" t="str">
        <f t="shared" si="212"/>
        <v/>
      </c>
      <c r="YM430" s="27" t="str">
        <f t="shared" si="213"/>
        <v/>
      </c>
      <c r="YN430" s="27" t="str">
        <f t="shared" si="214"/>
        <v/>
      </c>
    </row>
    <row r="431" spans="28:664" ht="21" x14ac:dyDescent="0.35">
      <c r="AB431" s="277" t="s">
        <v>274</v>
      </c>
      <c r="AC431" s="277" t="s">
        <v>1</v>
      </c>
      <c r="AD431" s="277" t="s">
        <v>2</v>
      </c>
      <c r="AE431" s="277" t="s">
        <v>3</v>
      </c>
      <c r="AF431" s="277" t="s">
        <v>6</v>
      </c>
      <c r="AG431" s="277" t="s">
        <v>5</v>
      </c>
      <c r="AH431" s="277" t="s">
        <v>6</v>
      </c>
      <c r="AI431" s="277" t="s">
        <v>2</v>
      </c>
      <c r="AJ431" s="277" t="s">
        <v>2</v>
      </c>
      <c r="AK431" s="277" t="s">
        <v>10</v>
      </c>
      <c r="AL431" s="277" t="s">
        <v>2</v>
      </c>
      <c r="AM431" s="277" t="s">
        <v>24</v>
      </c>
      <c r="AN431" s="277" t="s">
        <v>246</v>
      </c>
      <c r="AO431" s="277" t="s">
        <v>3</v>
      </c>
      <c r="AP431" s="277" t="s">
        <v>250</v>
      </c>
      <c r="AQ431" s="277" t="s">
        <v>27</v>
      </c>
      <c r="AR431" s="277" t="s">
        <v>30</v>
      </c>
      <c r="AS431" s="277" t="s">
        <v>9</v>
      </c>
      <c r="AT431" s="277"/>
      <c r="AU431" s="277" t="s">
        <v>20</v>
      </c>
      <c r="AV431" s="277" t="s">
        <v>7</v>
      </c>
      <c r="AW431" s="277" t="s">
        <v>5</v>
      </c>
      <c r="AX431" s="277"/>
      <c r="AY431" s="277"/>
      <c r="AZ431" s="277" t="s">
        <v>15</v>
      </c>
      <c r="BA431" s="277" t="s">
        <v>20</v>
      </c>
      <c r="BB431" s="277" t="s">
        <v>6</v>
      </c>
      <c r="BC431" s="277" t="s">
        <v>21</v>
      </c>
      <c r="BD431" s="277"/>
      <c r="BE431" s="277" t="s">
        <v>3</v>
      </c>
      <c r="BF431" s="277" t="s">
        <v>2</v>
      </c>
      <c r="BG431" s="277" t="s">
        <v>7</v>
      </c>
      <c r="BH431" s="277" t="s">
        <v>3</v>
      </c>
      <c r="BI431" s="277" t="s">
        <v>14</v>
      </c>
      <c r="BJ431" s="277" t="s">
        <v>14</v>
      </c>
      <c r="BK431" s="277" t="s">
        <v>11</v>
      </c>
      <c r="BL431" s="277" t="s">
        <v>245</v>
      </c>
      <c r="BM431" s="277" t="s">
        <v>5</v>
      </c>
      <c r="BN431" s="277" t="s">
        <v>15</v>
      </c>
      <c r="GO431" s="17" t="s">
        <v>56</v>
      </c>
      <c r="GP431" s="1" t="s">
        <v>25</v>
      </c>
      <c r="GQ431" s="27" t="str">
        <f t="shared" si="220"/>
        <v/>
      </c>
      <c r="GR431" s="27" t="str">
        <f t="shared" si="221"/>
        <v/>
      </c>
      <c r="GS431" s="27" t="str">
        <f t="shared" si="222"/>
        <v/>
      </c>
      <c r="GT431" s="27" t="str">
        <f t="shared" si="223"/>
        <v/>
      </c>
      <c r="GU431" s="27" t="str">
        <f t="shared" si="224"/>
        <v/>
      </c>
      <c r="GV431" s="27" t="str">
        <f t="shared" si="225"/>
        <v/>
      </c>
      <c r="GW431" s="27" t="str">
        <f t="shared" si="226"/>
        <v/>
      </c>
      <c r="GX431" s="27" t="str">
        <f t="shared" si="227"/>
        <v/>
      </c>
      <c r="GY431" s="27" t="str">
        <f t="shared" si="228"/>
        <v/>
      </c>
      <c r="GZ431" s="27" t="str">
        <f t="shared" si="229"/>
        <v/>
      </c>
      <c r="HA431" s="27" t="str">
        <f t="shared" si="230"/>
        <v/>
      </c>
      <c r="HB431" s="27" t="str">
        <f t="shared" si="231"/>
        <v/>
      </c>
      <c r="HC431" s="27" t="str">
        <f t="shared" si="232"/>
        <v/>
      </c>
      <c r="HD431" s="27" t="str">
        <f t="shared" si="233"/>
        <v>52PL3</v>
      </c>
      <c r="HE431" s="27" t="str">
        <f t="shared" si="234"/>
        <v>55PP</v>
      </c>
      <c r="HF431" s="27" t="str">
        <f t="shared" si="235"/>
        <v/>
      </c>
      <c r="HG431" s="27" t="str">
        <f t="shared" si="236"/>
        <v/>
      </c>
      <c r="HH431" s="27" t="str">
        <f t="shared" si="237"/>
        <v/>
      </c>
      <c r="HI431" s="27" t="str">
        <f t="shared" si="238"/>
        <v/>
      </c>
      <c r="HJ431" s="27" t="str">
        <f t="shared" si="239"/>
        <v/>
      </c>
      <c r="HK431" s="27" t="str">
        <f t="shared" si="240"/>
        <v/>
      </c>
      <c r="HL431" s="27" t="str">
        <f t="shared" si="241"/>
        <v/>
      </c>
      <c r="HM431" s="27" t="str">
        <f t="shared" si="242"/>
        <v/>
      </c>
      <c r="HN431" s="27" t="str">
        <f t="shared" si="243"/>
        <v/>
      </c>
      <c r="HO431" s="27" t="str">
        <f t="shared" si="244"/>
        <v/>
      </c>
      <c r="HP431" s="27" t="str">
        <f t="shared" si="245"/>
        <v/>
      </c>
      <c r="HQ431" s="27" t="str">
        <f t="shared" si="246"/>
        <v/>
      </c>
      <c r="HR431" s="27" t="str">
        <f t="shared" si="247"/>
        <v>84QL3</v>
      </c>
      <c r="HS431" s="27" t="str">
        <f t="shared" si="248"/>
        <v>*</v>
      </c>
      <c r="HT431" s="27" t="str">
        <f t="shared" si="249"/>
        <v/>
      </c>
      <c r="HU431" s="27" t="str">
        <f t="shared" si="250"/>
        <v/>
      </c>
      <c r="HV431" s="27" t="str">
        <f t="shared" si="251"/>
        <v/>
      </c>
      <c r="HW431" s="27" t="str">
        <f t="shared" si="252"/>
        <v/>
      </c>
      <c r="HX431" s="27" t="str">
        <f t="shared" si="253"/>
        <v/>
      </c>
      <c r="HY431" s="27" t="str">
        <f t="shared" si="254"/>
        <v/>
      </c>
      <c r="HZ431" s="27" t="str">
        <f t="shared" si="255"/>
        <v>*</v>
      </c>
      <c r="IA431" s="27" t="str">
        <f t="shared" si="256"/>
        <v/>
      </c>
      <c r="IB431" s="27" t="str">
        <f t="shared" si="257"/>
        <v>I</v>
      </c>
      <c r="IC431" s="19" t="s">
        <v>69</v>
      </c>
      <c r="ID431" s="27" t="str">
        <f t="shared" si="258"/>
        <v/>
      </c>
      <c r="IE431" s="27" t="str">
        <f t="shared" si="259"/>
        <v>*</v>
      </c>
      <c r="IF431" s="27" t="str">
        <f t="shared" si="260"/>
        <v/>
      </c>
      <c r="IG431" s="27" t="str">
        <f t="shared" si="261"/>
        <v/>
      </c>
      <c r="IH431" s="27" t="str">
        <f t="shared" si="262"/>
        <v/>
      </c>
      <c r="II431" s="27" t="str">
        <f t="shared" si="263"/>
        <v>EpY</v>
      </c>
      <c r="IJ431" s="27" t="str">
        <f t="shared" si="264"/>
        <v>47QL4</v>
      </c>
      <c r="IK431" s="27" t="str">
        <f t="shared" si="265"/>
        <v>50LR</v>
      </c>
      <c r="IL431" s="27" t="str">
        <f t="shared" si="266"/>
        <v/>
      </c>
      <c r="IM431" s="27" t="str">
        <f t="shared" si="267"/>
        <v>R</v>
      </c>
      <c r="IN431" s="27" t="str">
        <f t="shared" si="268"/>
        <v/>
      </c>
      <c r="IO431" s="27" t="str">
        <f t="shared" si="269"/>
        <v>L</v>
      </c>
      <c r="IP431" s="27" t="str">
        <f t="shared" si="270"/>
        <v/>
      </c>
      <c r="IQ431" s="27" t="str">
        <f t="shared" si="271"/>
        <v/>
      </c>
      <c r="IR431" s="27" t="str">
        <f t="shared" si="272"/>
        <v/>
      </c>
      <c r="IS431" s="27" t="str">
        <f t="shared" si="273"/>
        <v>D</v>
      </c>
      <c r="IT431" s="27" t="str">
        <f t="shared" si="274"/>
        <v>E</v>
      </c>
      <c r="IU431" s="27" t="str">
        <f t="shared" si="275"/>
        <v>*</v>
      </c>
      <c r="NU431" s="35" t="s">
        <v>158</v>
      </c>
      <c r="NX431" s="27" t="str">
        <f t="shared" si="217"/>
        <v/>
      </c>
      <c r="NY431" s="27" t="str">
        <f t="shared" si="288"/>
        <v/>
      </c>
      <c r="NZ431" s="27" t="str">
        <f t="shared" si="289"/>
        <v/>
      </c>
      <c r="OA431" s="27" t="str">
        <f t="shared" si="290"/>
        <v/>
      </c>
      <c r="OB431" s="27" t="str">
        <f t="shared" si="291"/>
        <v/>
      </c>
      <c r="OC431" s="27" t="str">
        <f t="shared" si="292"/>
        <v/>
      </c>
      <c r="OD431" s="27" t="str">
        <f t="shared" si="293"/>
        <v/>
      </c>
      <c r="OE431" s="27" t="str">
        <f t="shared" si="294"/>
        <v/>
      </c>
      <c r="OF431" s="27" t="str">
        <f t="shared" si="295"/>
        <v/>
      </c>
      <c r="OG431" s="27" t="str">
        <f t="shared" si="296"/>
        <v/>
      </c>
      <c r="OH431" s="27" t="str">
        <f t="shared" si="297"/>
        <v/>
      </c>
      <c r="OI431" s="27" t="str">
        <f t="shared" si="298"/>
        <v/>
      </c>
      <c r="OJ431" s="27" t="str">
        <f t="shared" si="299"/>
        <v/>
      </c>
      <c r="OK431" s="27" t="str">
        <f t="shared" si="300"/>
        <v/>
      </c>
      <c r="OL431" s="27" t="str">
        <f t="shared" si="301"/>
        <v/>
      </c>
      <c r="OM431" s="27" t="str">
        <f t="shared" si="302"/>
        <v/>
      </c>
      <c r="ON431" s="27" t="str">
        <f t="shared" si="303"/>
        <v/>
      </c>
      <c r="OO431" s="27" t="str">
        <f t="shared" si="304"/>
        <v/>
      </c>
      <c r="OP431" s="27" t="str">
        <f t="shared" si="305"/>
        <v/>
      </c>
      <c r="OQ431" s="27" t="str">
        <f t="shared" si="306"/>
        <v/>
      </c>
      <c r="OR431" s="27" t="str">
        <f t="shared" si="307"/>
        <v/>
      </c>
      <c r="OS431" s="27" t="str">
        <f t="shared" si="308"/>
        <v/>
      </c>
      <c r="OT431" s="27" t="str">
        <f t="shared" si="309"/>
        <v/>
      </c>
      <c r="OU431" s="27">
        <f t="shared" si="310"/>
        <v>0</v>
      </c>
      <c r="OV431" s="27" t="str">
        <f t="shared" si="311"/>
        <v>DPA1*04:01</v>
      </c>
      <c r="OW431" s="27" t="str">
        <f t="shared" si="312"/>
        <v/>
      </c>
      <c r="OX431" s="27" t="str">
        <f t="shared" si="313"/>
        <v/>
      </c>
      <c r="OY431" s="27" t="str">
        <f t="shared" si="314"/>
        <v/>
      </c>
      <c r="OZ431" s="27" t="str">
        <f t="shared" si="276"/>
        <v/>
      </c>
      <c r="PA431" s="27" t="str">
        <f t="shared" si="277"/>
        <v/>
      </c>
      <c r="PB431" s="27" t="str">
        <f t="shared" si="278"/>
        <v/>
      </c>
      <c r="PC431" s="27" t="str">
        <f t="shared" si="279"/>
        <v/>
      </c>
      <c r="PD431" s="27" t="str">
        <f t="shared" si="280"/>
        <v/>
      </c>
      <c r="PE431" s="27" t="str">
        <f t="shared" si="281"/>
        <v/>
      </c>
      <c r="PF431" s="27" t="str">
        <f t="shared" si="282"/>
        <v/>
      </c>
      <c r="PG431" s="27" t="str">
        <f t="shared" si="283"/>
        <v/>
      </c>
      <c r="PH431" s="27" t="str">
        <f t="shared" si="284"/>
        <v/>
      </c>
      <c r="PI431" s="27" t="str">
        <f t="shared" si="285"/>
        <v/>
      </c>
      <c r="PJ431" s="27" t="str">
        <f t="shared" si="286"/>
        <v/>
      </c>
      <c r="PK431" s="27" t="str">
        <f t="shared" si="287"/>
        <v/>
      </c>
      <c r="QO431" s="260" t="s">
        <v>124</v>
      </c>
      <c r="QP431" t="s">
        <v>195</v>
      </c>
      <c r="QQ431" t="s">
        <v>196</v>
      </c>
      <c r="QR431" t="s">
        <v>14</v>
      </c>
      <c r="QT431" t="s">
        <v>9</v>
      </c>
      <c r="QU431" t="s">
        <v>185</v>
      </c>
      <c r="QW431" t="s">
        <v>22</v>
      </c>
      <c r="QX431" t="s">
        <v>198</v>
      </c>
      <c r="QY431" t="s">
        <v>8</v>
      </c>
      <c r="QZ431" t="s">
        <v>11</v>
      </c>
      <c r="RA431" t="s">
        <v>2</v>
      </c>
      <c r="RC431" t="s">
        <v>8</v>
      </c>
      <c r="RD431" t="s">
        <v>2</v>
      </c>
      <c r="RE431" t="s">
        <v>1</v>
      </c>
      <c r="RF431" t="s">
        <v>7</v>
      </c>
      <c r="RG431" t="s">
        <v>8</v>
      </c>
      <c r="RJ431" t="s">
        <v>11</v>
      </c>
      <c r="RK431" t="s">
        <v>2</v>
      </c>
      <c r="RL431" t="s">
        <v>6</v>
      </c>
      <c r="RM431" t="s">
        <v>203</v>
      </c>
      <c r="RN431" t="s">
        <v>212</v>
      </c>
      <c r="RO431" t="s">
        <v>201</v>
      </c>
      <c r="RQ431" t="s">
        <v>5</v>
      </c>
      <c r="RS431" t="s">
        <v>10</v>
      </c>
      <c r="RT431" t="s">
        <v>21</v>
      </c>
      <c r="RV431" t="s">
        <v>7</v>
      </c>
      <c r="RW431" t="s">
        <v>3</v>
      </c>
      <c r="RY431" t="s">
        <v>14</v>
      </c>
      <c r="RZ431" t="s">
        <v>185</v>
      </c>
      <c r="SA431" t="s">
        <v>269</v>
      </c>
      <c r="SB431" t="s">
        <v>1</v>
      </c>
      <c r="SC431" t="s">
        <v>1</v>
      </c>
      <c r="SD431" t="s">
        <v>10</v>
      </c>
      <c r="SE431" t="s">
        <v>14</v>
      </c>
      <c r="SF431" t="s">
        <v>7</v>
      </c>
      <c r="SH431" t="s">
        <v>15</v>
      </c>
      <c r="SI431" t="s">
        <v>5</v>
      </c>
      <c r="SJ431" s="246" t="s">
        <v>261</v>
      </c>
      <c r="SK431" s="260" t="s">
        <v>124</v>
      </c>
      <c r="SL431" s="246" t="s">
        <v>261</v>
      </c>
      <c r="WS431" s="184" t="s">
        <v>128</v>
      </c>
      <c r="WT431" s="27" t="str">
        <f t="shared" si="168"/>
        <v/>
      </c>
      <c r="WU431" s="27" t="str">
        <f t="shared" si="169"/>
        <v/>
      </c>
      <c r="WV431" s="27" t="str">
        <f t="shared" si="170"/>
        <v/>
      </c>
      <c r="WW431" s="27" t="str">
        <f t="shared" si="171"/>
        <v/>
      </c>
      <c r="WX431" s="27" t="str">
        <f t="shared" si="172"/>
        <v/>
      </c>
      <c r="WY431" s="27" t="str">
        <f t="shared" si="173"/>
        <v/>
      </c>
      <c r="WZ431" s="27" t="str">
        <f t="shared" si="174"/>
        <v/>
      </c>
      <c r="XA431" s="27" t="str">
        <f t="shared" si="175"/>
        <v/>
      </c>
      <c r="XB431" s="27" t="str">
        <f t="shared" si="176"/>
        <v/>
      </c>
      <c r="XC431" s="27" t="str">
        <f t="shared" si="177"/>
        <v/>
      </c>
      <c r="XD431" s="27" t="str">
        <f t="shared" si="178"/>
        <v/>
      </c>
      <c r="XE431" s="27" t="str">
        <f t="shared" si="179"/>
        <v/>
      </c>
      <c r="XF431" s="27" t="str">
        <f t="shared" si="180"/>
        <v/>
      </c>
      <c r="XG431" s="27" t="str">
        <f t="shared" si="181"/>
        <v/>
      </c>
      <c r="XH431" s="27" t="str">
        <f t="shared" si="182"/>
        <v/>
      </c>
      <c r="XI431" s="27" t="str">
        <f t="shared" si="183"/>
        <v/>
      </c>
      <c r="XJ431" s="27" t="str">
        <f t="shared" si="184"/>
        <v/>
      </c>
      <c r="XK431" s="27" t="str">
        <f t="shared" si="185"/>
        <v/>
      </c>
      <c r="XL431" s="27" t="str">
        <f t="shared" si="186"/>
        <v/>
      </c>
      <c r="XM431" s="27" t="str">
        <f t="shared" si="187"/>
        <v/>
      </c>
      <c r="XN431" s="27" t="str">
        <f t="shared" si="188"/>
        <v/>
      </c>
      <c r="XO431" s="27" t="str">
        <f t="shared" si="189"/>
        <v/>
      </c>
      <c r="XP431" s="27" t="str">
        <f t="shared" si="190"/>
        <v/>
      </c>
      <c r="XQ431" s="27" t="str">
        <f t="shared" si="191"/>
        <v/>
      </c>
      <c r="XR431" s="27" t="str">
        <f t="shared" si="192"/>
        <v/>
      </c>
      <c r="XS431" s="27" t="str">
        <f t="shared" si="193"/>
        <v/>
      </c>
      <c r="XT431" s="27" t="str">
        <f t="shared" si="194"/>
        <v/>
      </c>
      <c r="XU431" s="27" t="str">
        <f t="shared" si="195"/>
        <v/>
      </c>
      <c r="XV431" s="27" t="str">
        <f t="shared" si="196"/>
        <v/>
      </c>
      <c r="XW431" s="27" t="str">
        <f t="shared" si="197"/>
        <v/>
      </c>
      <c r="XX431" s="27" t="str">
        <f t="shared" si="198"/>
        <v/>
      </c>
      <c r="XY431" s="27" t="str">
        <f t="shared" si="199"/>
        <v/>
      </c>
      <c r="XZ431" s="27" t="str">
        <f t="shared" si="200"/>
        <v/>
      </c>
      <c r="YA431" s="27" t="str">
        <f t="shared" si="201"/>
        <v/>
      </c>
      <c r="YB431" s="27" t="str">
        <f t="shared" si="202"/>
        <v/>
      </c>
      <c r="YC431" s="27" t="str">
        <f t="shared" si="203"/>
        <v/>
      </c>
      <c r="YD431" s="27" t="str">
        <f t="shared" si="204"/>
        <v/>
      </c>
      <c r="YE431" s="27" t="str">
        <f t="shared" si="205"/>
        <v/>
      </c>
      <c r="YF431" s="27" t="str">
        <f t="shared" si="206"/>
        <v/>
      </c>
      <c r="YG431" s="27" t="str">
        <f t="shared" si="207"/>
        <v/>
      </c>
      <c r="YH431" s="27" t="str">
        <f t="shared" si="208"/>
        <v/>
      </c>
      <c r="YI431" s="27" t="str">
        <f t="shared" si="209"/>
        <v/>
      </c>
      <c r="YJ431" s="27" t="str">
        <f t="shared" si="210"/>
        <v/>
      </c>
      <c r="YK431" s="27" t="str">
        <f t="shared" si="211"/>
        <v/>
      </c>
      <c r="YL431" s="27" t="str">
        <f t="shared" si="212"/>
        <v/>
      </c>
      <c r="YM431" s="27" t="str">
        <f t="shared" si="213"/>
        <v/>
      </c>
      <c r="YN431" s="27" t="str">
        <f t="shared" si="214"/>
        <v/>
      </c>
    </row>
    <row r="432" spans="28:664" ht="21" x14ac:dyDescent="0.35">
      <c r="AB432" s="277" t="s">
        <v>37</v>
      </c>
      <c r="AC432" s="277" t="s">
        <v>1</v>
      </c>
      <c r="AD432" s="277" t="s">
        <v>2</v>
      </c>
      <c r="AE432" s="277" t="s">
        <v>3</v>
      </c>
      <c r="AF432" s="277" t="s">
        <v>4</v>
      </c>
      <c r="AG432" s="277" t="s">
        <v>5</v>
      </c>
      <c r="AH432" s="277" t="s">
        <v>6</v>
      </c>
      <c r="AI432" s="277" t="s">
        <v>2</v>
      </c>
      <c r="AJ432" s="277" t="s">
        <v>2</v>
      </c>
      <c r="AK432" s="277" t="s">
        <v>10</v>
      </c>
      <c r="AL432" s="277" t="s">
        <v>2</v>
      </c>
      <c r="AM432" s="277" t="s">
        <v>24</v>
      </c>
      <c r="AN432" s="277" t="s">
        <v>246</v>
      </c>
      <c r="AO432" s="277" t="s">
        <v>3</v>
      </c>
      <c r="AP432" s="277" t="s">
        <v>250</v>
      </c>
      <c r="AQ432" s="277" t="s">
        <v>27</v>
      </c>
      <c r="AR432" s="277" t="s">
        <v>30</v>
      </c>
      <c r="AS432" s="277" t="s">
        <v>9</v>
      </c>
      <c r="AT432" s="277"/>
      <c r="AU432" s="277" t="s">
        <v>20</v>
      </c>
      <c r="AV432" s="277" t="s">
        <v>7</v>
      </c>
      <c r="AW432" s="277" t="s">
        <v>5</v>
      </c>
      <c r="AX432" s="277"/>
      <c r="AY432" s="277"/>
      <c r="AZ432" s="277" t="s">
        <v>15</v>
      </c>
      <c r="BA432" s="277" t="s">
        <v>20</v>
      </c>
      <c r="BB432" s="277" t="s">
        <v>6</v>
      </c>
      <c r="BC432" s="277" t="s">
        <v>21</v>
      </c>
      <c r="BD432" s="277"/>
      <c r="BE432" s="277" t="s">
        <v>3</v>
      </c>
      <c r="BF432" s="277" t="s">
        <v>2</v>
      </c>
      <c r="BG432" s="277" t="s">
        <v>7</v>
      </c>
      <c r="BH432" s="277" t="s">
        <v>3</v>
      </c>
      <c r="BI432" s="277" t="s">
        <v>14</v>
      </c>
      <c r="BJ432" s="277" t="s">
        <v>14</v>
      </c>
      <c r="BK432" s="277" t="s">
        <v>11</v>
      </c>
      <c r="BL432" s="277" t="s">
        <v>245</v>
      </c>
      <c r="BM432" s="277" t="s">
        <v>5</v>
      </c>
      <c r="BN432" s="277" t="s">
        <v>15</v>
      </c>
      <c r="NU432" s="35" t="s">
        <v>158</v>
      </c>
      <c r="NX432" s="27" t="str">
        <f t="shared" si="217"/>
        <v/>
      </c>
      <c r="NY432" s="27" t="str">
        <f t="shared" si="288"/>
        <v/>
      </c>
      <c r="NZ432" s="27" t="str">
        <f t="shared" si="289"/>
        <v/>
      </c>
      <c r="OA432" s="27" t="str">
        <f t="shared" si="290"/>
        <v/>
      </c>
      <c r="OB432" s="27" t="str">
        <f t="shared" si="291"/>
        <v/>
      </c>
      <c r="OC432" s="27" t="str">
        <f t="shared" si="292"/>
        <v/>
      </c>
      <c r="OD432" s="27" t="str">
        <f t="shared" si="293"/>
        <v/>
      </c>
      <c r="OE432" s="27" t="str">
        <f t="shared" si="294"/>
        <v/>
      </c>
      <c r="OF432" s="27" t="str">
        <f t="shared" si="295"/>
        <v/>
      </c>
      <c r="OG432" s="27" t="str">
        <f t="shared" si="296"/>
        <v/>
      </c>
      <c r="OH432" s="27" t="str">
        <f t="shared" si="297"/>
        <v/>
      </c>
      <c r="OI432" s="27" t="str">
        <f t="shared" si="298"/>
        <v/>
      </c>
      <c r="OJ432" s="27" t="str">
        <f t="shared" si="299"/>
        <v/>
      </c>
      <c r="OK432" s="27" t="str">
        <f t="shared" si="300"/>
        <v/>
      </c>
      <c r="OL432" s="27" t="str">
        <f t="shared" si="301"/>
        <v/>
      </c>
      <c r="OM432" s="27" t="str">
        <f t="shared" si="302"/>
        <v/>
      </c>
      <c r="ON432" s="27" t="str">
        <f t="shared" si="303"/>
        <v/>
      </c>
      <c r="OO432" s="27" t="str">
        <f t="shared" si="304"/>
        <v/>
      </c>
      <c r="OP432" s="27" t="str">
        <f t="shared" si="305"/>
        <v/>
      </c>
      <c r="OQ432" s="27" t="str">
        <f t="shared" si="306"/>
        <v/>
      </c>
      <c r="OR432" s="27" t="str">
        <f t="shared" si="307"/>
        <v/>
      </c>
      <c r="OS432" s="27" t="str">
        <f t="shared" si="308"/>
        <v/>
      </c>
      <c r="OT432" s="27" t="str">
        <f t="shared" si="309"/>
        <v/>
      </c>
      <c r="OU432" s="27">
        <f t="shared" si="310"/>
        <v>0</v>
      </c>
      <c r="OV432" s="27" t="str">
        <f t="shared" si="311"/>
        <v>DPA1*01:03</v>
      </c>
      <c r="OW432" s="27" t="str">
        <f t="shared" si="312"/>
        <v/>
      </c>
      <c r="OX432" s="27" t="str">
        <f t="shared" si="313"/>
        <v/>
      </c>
      <c r="OY432" s="27" t="str">
        <f t="shared" si="314"/>
        <v/>
      </c>
      <c r="OZ432" s="27" t="str">
        <f t="shared" si="276"/>
        <v/>
      </c>
      <c r="PA432" s="27" t="str">
        <f t="shared" si="277"/>
        <v/>
      </c>
      <c r="PB432" s="27" t="str">
        <f t="shared" si="278"/>
        <v/>
      </c>
      <c r="PC432" s="27" t="str">
        <f t="shared" si="279"/>
        <v/>
      </c>
      <c r="PD432" s="27" t="str">
        <f t="shared" si="280"/>
        <v/>
      </c>
      <c r="PE432" s="27" t="str">
        <f t="shared" si="281"/>
        <v/>
      </c>
      <c r="PF432" s="27" t="str">
        <f t="shared" si="282"/>
        <v/>
      </c>
      <c r="PG432" s="27" t="str">
        <f t="shared" si="283"/>
        <v/>
      </c>
      <c r="PH432" s="27" t="str">
        <f t="shared" si="284"/>
        <v/>
      </c>
      <c r="PI432" s="27" t="str">
        <f t="shared" si="285"/>
        <v/>
      </c>
      <c r="PJ432" s="27" t="str">
        <f t="shared" si="286"/>
        <v/>
      </c>
      <c r="PK432" s="27" t="str">
        <f t="shared" si="287"/>
        <v/>
      </c>
      <c r="QO432" s="260" t="s">
        <v>125</v>
      </c>
      <c r="QP432" t="s">
        <v>195</v>
      </c>
      <c r="QQ432" t="s">
        <v>20</v>
      </c>
      <c r="QR432" t="s">
        <v>6</v>
      </c>
      <c r="QT432" t="s">
        <v>5</v>
      </c>
      <c r="QU432" t="s">
        <v>185</v>
      </c>
      <c r="QV432" t="s">
        <v>1</v>
      </c>
      <c r="QW432" t="s">
        <v>22</v>
      </c>
      <c r="QX432" t="s">
        <v>198</v>
      </c>
      <c r="QY432" t="s">
        <v>2</v>
      </c>
      <c r="QZ432" t="s">
        <v>11</v>
      </c>
      <c r="RA432" t="s">
        <v>2</v>
      </c>
      <c r="RC432" t="s">
        <v>8</v>
      </c>
      <c r="RD432" t="s">
        <v>22</v>
      </c>
      <c r="RE432" t="s">
        <v>8</v>
      </c>
      <c r="RF432" t="s">
        <v>6</v>
      </c>
      <c r="RG432" t="s">
        <v>8</v>
      </c>
      <c r="RJ432" t="s">
        <v>7</v>
      </c>
      <c r="RK432" t="s">
        <v>1</v>
      </c>
      <c r="RL432" t="s">
        <v>6</v>
      </c>
      <c r="RO432" t="s">
        <v>207</v>
      </c>
      <c r="RP432" t="s">
        <v>14</v>
      </c>
      <c r="RQ432" t="s">
        <v>185</v>
      </c>
      <c r="RR432" t="s">
        <v>3</v>
      </c>
      <c r="RT432" t="s">
        <v>208</v>
      </c>
      <c r="RV432" t="s">
        <v>7</v>
      </c>
      <c r="RW432" t="s">
        <v>3</v>
      </c>
      <c r="RX432" t="s">
        <v>217</v>
      </c>
      <c r="RY432" t="s">
        <v>22</v>
      </c>
      <c r="SA432" t="s">
        <v>211</v>
      </c>
      <c r="SC432" t="s">
        <v>1</v>
      </c>
      <c r="SD432" t="s">
        <v>10</v>
      </c>
      <c r="SE432" t="s">
        <v>14</v>
      </c>
      <c r="SF432" t="s">
        <v>7</v>
      </c>
      <c r="SH432" t="s">
        <v>15</v>
      </c>
      <c r="SI432" t="s">
        <v>5</v>
      </c>
      <c r="SJ432" s="246" t="s">
        <v>261</v>
      </c>
      <c r="SK432" s="260" t="s">
        <v>125</v>
      </c>
      <c r="SL432" s="246" t="s">
        <v>261</v>
      </c>
      <c r="WS432" s="184" t="s">
        <v>129</v>
      </c>
      <c r="WT432" s="27" t="str">
        <f t="shared" si="168"/>
        <v/>
      </c>
      <c r="WU432" s="27" t="str">
        <f t="shared" si="169"/>
        <v/>
      </c>
      <c r="WV432" s="27" t="str">
        <f t="shared" si="170"/>
        <v/>
      </c>
      <c r="WW432" s="27" t="str">
        <f t="shared" si="171"/>
        <v/>
      </c>
      <c r="WX432" s="27" t="str">
        <f t="shared" si="172"/>
        <v/>
      </c>
      <c r="WY432" s="27" t="str">
        <f t="shared" si="173"/>
        <v/>
      </c>
      <c r="WZ432" s="27" t="str">
        <f t="shared" si="174"/>
        <v/>
      </c>
      <c r="XA432" s="27" t="str">
        <f t="shared" si="175"/>
        <v/>
      </c>
      <c r="XB432" s="27" t="str">
        <f t="shared" si="176"/>
        <v/>
      </c>
      <c r="XC432" s="27" t="str">
        <f t="shared" si="177"/>
        <v/>
      </c>
      <c r="XD432" s="27" t="str">
        <f t="shared" si="178"/>
        <v/>
      </c>
      <c r="XE432" s="27" t="str">
        <f t="shared" si="179"/>
        <v/>
      </c>
      <c r="XF432" s="27" t="str">
        <f t="shared" si="180"/>
        <v/>
      </c>
      <c r="XG432" s="27" t="str">
        <f t="shared" si="181"/>
        <v/>
      </c>
      <c r="XH432" s="27" t="str">
        <f t="shared" si="182"/>
        <v/>
      </c>
      <c r="XI432" s="27" t="str">
        <f t="shared" si="183"/>
        <v/>
      </c>
      <c r="XJ432" s="27" t="str">
        <f t="shared" si="184"/>
        <v/>
      </c>
      <c r="XK432" s="27" t="str">
        <f t="shared" si="185"/>
        <v/>
      </c>
      <c r="XL432" s="27" t="str">
        <f t="shared" si="186"/>
        <v/>
      </c>
      <c r="XM432" s="27" t="str">
        <f t="shared" si="187"/>
        <v/>
      </c>
      <c r="XN432" s="27" t="str">
        <f t="shared" si="188"/>
        <v/>
      </c>
      <c r="XO432" s="27" t="str">
        <f t="shared" si="189"/>
        <v/>
      </c>
      <c r="XP432" s="27" t="str">
        <f t="shared" si="190"/>
        <v/>
      </c>
      <c r="XQ432" s="27" t="str">
        <f t="shared" si="191"/>
        <v/>
      </c>
      <c r="XR432" s="27" t="str">
        <f t="shared" si="192"/>
        <v/>
      </c>
      <c r="XS432" s="27" t="str">
        <f t="shared" si="193"/>
        <v/>
      </c>
      <c r="XT432" s="27" t="str">
        <f t="shared" si="194"/>
        <v/>
      </c>
      <c r="XU432" s="27" t="str">
        <f t="shared" si="195"/>
        <v/>
      </c>
      <c r="XV432" s="27" t="str">
        <f t="shared" si="196"/>
        <v/>
      </c>
      <c r="XW432" s="27" t="str">
        <f t="shared" si="197"/>
        <v/>
      </c>
      <c r="XX432" s="27" t="str">
        <f t="shared" si="198"/>
        <v/>
      </c>
      <c r="XY432" s="27" t="str">
        <f t="shared" si="199"/>
        <v/>
      </c>
      <c r="XZ432" s="27" t="str">
        <f t="shared" si="200"/>
        <v/>
      </c>
      <c r="YA432" s="27" t="str">
        <f t="shared" si="201"/>
        <v/>
      </c>
      <c r="YB432" s="27" t="str">
        <f t="shared" si="202"/>
        <v/>
      </c>
      <c r="YC432" s="27" t="str">
        <f t="shared" si="203"/>
        <v/>
      </c>
      <c r="YD432" s="27" t="str">
        <f t="shared" si="204"/>
        <v/>
      </c>
      <c r="YE432" s="27" t="str">
        <f t="shared" si="205"/>
        <v/>
      </c>
      <c r="YF432" s="27" t="str">
        <f t="shared" si="206"/>
        <v/>
      </c>
      <c r="YG432" s="27" t="str">
        <f t="shared" si="207"/>
        <v/>
      </c>
      <c r="YH432" s="27" t="str">
        <f t="shared" si="208"/>
        <v/>
      </c>
      <c r="YI432" s="27" t="str">
        <f t="shared" si="209"/>
        <v/>
      </c>
      <c r="YJ432" s="27" t="str">
        <f t="shared" si="210"/>
        <v/>
      </c>
      <c r="YK432" s="27" t="str">
        <f t="shared" si="211"/>
        <v/>
      </c>
      <c r="YL432" s="27" t="str">
        <f t="shared" si="212"/>
        <v/>
      </c>
      <c r="YM432" s="27" t="str">
        <f t="shared" si="213"/>
        <v/>
      </c>
      <c r="YN432" s="27" t="str">
        <f t="shared" si="214"/>
        <v/>
      </c>
    </row>
    <row r="433" spans="457:664" ht="19.5" x14ac:dyDescent="0.35">
      <c r="QO433" s="260" t="s">
        <v>127</v>
      </c>
      <c r="QP433" t="s">
        <v>195</v>
      </c>
      <c r="QQ433" t="s">
        <v>20</v>
      </c>
      <c r="QR433" t="s">
        <v>6</v>
      </c>
      <c r="QT433" t="s">
        <v>6</v>
      </c>
      <c r="QU433" t="s">
        <v>185</v>
      </c>
      <c r="QV433" t="s">
        <v>1</v>
      </c>
      <c r="QW433" t="s">
        <v>22</v>
      </c>
      <c r="QX433" t="s">
        <v>198</v>
      </c>
      <c r="QY433" t="s">
        <v>8</v>
      </c>
      <c r="QZ433" t="s">
        <v>20</v>
      </c>
      <c r="RA433" t="s">
        <v>22</v>
      </c>
      <c r="RC433" t="s">
        <v>8</v>
      </c>
      <c r="RD433" t="s">
        <v>22</v>
      </c>
      <c r="RE433" t="s">
        <v>2</v>
      </c>
      <c r="RF433" t="s">
        <v>10</v>
      </c>
      <c r="RG433" t="s">
        <v>2</v>
      </c>
      <c r="RI433" t="s">
        <v>270</v>
      </c>
      <c r="RJ433" t="s">
        <v>11</v>
      </c>
      <c r="RK433" t="s">
        <v>2</v>
      </c>
      <c r="RL433" t="s">
        <v>6</v>
      </c>
      <c r="RP433" t="s">
        <v>14</v>
      </c>
      <c r="RQ433" t="s">
        <v>185</v>
      </c>
      <c r="RR433" t="s">
        <v>3</v>
      </c>
      <c r="RS433" t="s">
        <v>14</v>
      </c>
      <c r="RT433" t="s">
        <v>208</v>
      </c>
      <c r="RV433" t="s">
        <v>7</v>
      </c>
      <c r="RW433" t="s">
        <v>3</v>
      </c>
      <c r="RX433" t="s">
        <v>217</v>
      </c>
      <c r="RY433" t="s">
        <v>22</v>
      </c>
      <c r="SA433" t="s">
        <v>211</v>
      </c>
      <c r="SC433" t="s">
        <v>1</v>
      </c>
      <c r="SD433" t="s">
        <v>10</v>
      </c>
      <c r="SE433" t="s">
        <v>14</v>
      </c>
      <c r="SF433" t="s">
        <v>7</v>
      </c>
      <c r="SH433" t="s">
        <v>15</v>
      </c>
      <c r="SI433" t="s">
        <v>1</v>
      </c>
      <c r="SJ433" s="246" t="s">
        <v>261</v>
      </c>
      <c r="SK433" s="260" t="s">
        <v>127</v>
      </c>
      <c r="SL433" s="246" t="s">
        <v>261</v>
      </c>
      <c r="WS433" s="184" t="s">
        <v>131</v>
      </c>
      <c r="WT433" s="27" t="str">
        <f t="shared" si="168"/>
        <v/>
      </c>
      <c r="WU433" s="27" t="str">
        <f t="shared" si="169"/>
        <v/>
      </c>
      <c r="WV433" s="27" t="str">
        <f t="shared" si="170"/>
        <v/>
      </c>
      <c r="WW433" s="27" t="str">
        <f t="shared" si="171"/>
        <v/>
      </c>
      <c r="WX433" s="27" t="str">
        <f t="shared" si="172"/>
        <v/>
      </c>
      <c r="WY433" s="27" t="str">
        <f t="shared" si="173"/>
        <v/>
      </c>
      <c r="WZ433" s="27" t="str">
        <f t="shared" si="174"/>
        <v/>
      </c>
      <c r="XA433" s="27" t="str">
        <f t="shared" si="175"/>
        <v/>
      </c>
      <c r="XB433" s="27" t="str">
        <f t="shared" si="176"/>
        <v/>
      </c>
      <c r="XC433" s="27" t="str">
        <f t="shared" si="177"/>
        <v/>
      </c>
      <c r="XD433" s="27" t="str">
        <f t="shared" si="178"/>
        <v/>
      </c>
      <c r="XE433" s="27" t="str">
        <f t="shared" si="179"/>
        <v/>
      </c>
      <c r="XF433" s="27" t="str">
        <f t="shared" si="180"/>
        <v/>
      </c>
      <c r="XG433" s="27" t="str">
        <f t="shared" si="181"/>
        <v/>
      </c>
      <c r="XH433" s="27" t="str">
        <f t="shared" si="182"/>
        <v/>
      </c>
      <c r="XI433" s="27" t="str">
        <f t="shared" si="183"/>
        <v/>
      </c>
      <c r="XJ433" s="27" t="str">
        <f t="shared" si="184"/>
        <v/>
      </c>
      <c r="XK433" s="27" t="str">
        <f t="shared" si="185"/>
        <v/>
      </c>
      <c r="XL433" s="27" t="str">
        <f t="shared" si="186"/>
        <v/>
      </c>
      <c r="XM433" s="27" t="str">
        <f t="shared" si="187"/>
        <v/>
      </c>
      <c r="XN433" s="27" t="str">
        <f t="shared" si="188"/>
        <v/>
      </c>
      <c r="XO433" s="27" t="str">
        <f t="shared" si="189"/>
        <v/>
      </c>
      <c r="XP433" s="27" t="str">
        <f t="shared" si="190"/>
        <v/>
      </c>
      <c r="XQ433" s="27" t="str">
        <f t="shared" si="191"/>
        <v/>
      </c>
      <c r="XR433" s="27" t="str">
        <f t="shared" si="192"/>
        <v/>
      </c>
      <c r="XS433" s="27" t="str">
        <f t="shared" si="193"/>
        <v/>
      </c>
      <c r="XT433" s="27" t="str">
        <f t="shared" si="194"/>
        <v/>
      </c>
      <c r="XU433" s="27" t="str">
        <f t="shared" si="195"/>
        <v/>
      </c>
      <c r="XV433" s="27" t="str">
        <f t="shared" si="196"/>
        <v/>
      </c>
      <c r="XW433" s="27" t="str">
        <f t="shared" si="197"/>
        <v/>
      </c>
      <c r="XX433" s="27" t="str">
        <f t="shared" si="198"/>
        <v/>
      </c>
      <c r="XY433" s="27" t="str">
        <f t="shared" si="199"/>
        <v/>
      </c>
      <c r="XZ433" s="27" t="str">
        <f t="shared" si="200"/>
        <v/>
      </c>
      <c r="YA433" s="27" t="str">
        <f t="shared" si="201"/>
        <v/>
      </c>
      <c r="YB433" s="27" t="str">
        <f t="shared" si="202"/>
        <v/>
      </c>
      <c r="YC433" s="27" t="str">
        <f t="shared" si="203"/>
        <v/>
      </c>
      <c r="YD433" s="27" t="str">
        <f t="shared" si="204"/>
        <v/>
      </c>
      <c r="YE433" s="27" t="str">
        <f t="shared" si="205"/>
        <v/>
      </c>
      <c r="YF433" s="27" t="str">
        <f t="shared" si="206"/>
        <v/>
      </c>
      <c r="YG433" s="27" t="str">
        <f t="shared" si="207"/>
        <v/>
      </c>
      <c r="YH433" s="27" t="str">
        <f t="shared" si="208"/>
        <v/>
      </c>
      <c r="YI433" s="27" t="str">
        <f t="shared" si="209"/>
        <v/>
      </c>
      <c r="YJ433" s="27" t="str">
        <f t="shared" si="210"/>
        <v/>
      </c>
      <c r="YK433" s="27" t="str">
        <f t="shared" si="211"/>
        <v/>
      </c>
      <c r="YL433" s="27" t="str">
        <f t="shared" si="212"/>
        <v/>
      </c>
      <c r="YM433" s="27" t="str">
        <f t="shared" si="213"/>
        <v/>
      </c>
      <c r="YN433" s="27" t="str">
        <f t="shared" si="214"/>
        <v/>
      </c>
    </row>
    <row r="434" spans="457:664" ht="18" x14ac:dyDescent="0.25">
      <c r="QO434" s="260" t="s">
        <v>128</v>
      </c>
      <c r="QP434" t="s">
        <v>195</v>
      </c>
      <c r="QQ434" t="s">
        <v>20</v>
      </c>
      <c r="QR434" t="s">
        <v>6</v>
      </c>
      <c r="QT434" t="s">
        <v>6</v>
      </c>
      <c r="QU434" t="s">
        <v>185</v>
      </c>
      <c r="QV434" t="s">
        <v>1</v>
      </c>
      <c r="QW434" t="s">
        <v>22</v>
      </c>
      <c r="QX434" t="s">
        <v>198</v>
      </c>
      <c r="QY434" t="s">
        <v>8</v>
      </c>
      <c r="QZ434" t="s">
        <v>20</v>
      </c>
      <c r="RA434" t="s">
        <v>2</v>
      </c>
      <c r="RC434" t="s">
        <v>8</v>
      </c>
      <c r="RD434" t="s">
        <v>22</v>
      </c>
      <c r="RE434" t="s">
        <v>8</v>
      </c>
      <c r="RF434" t="s">
        <v>7</v>
      </c>
      <c r="RG434" t="s">
        <v>8</v>
      </c>
      <c r="RJ434" t="s">
        <v>7</v>
      </c>
      <c r="RK434" t="s">
        <v>1</v>
      </c>
      <c r="RL434" t="s">
        <v>6</v>
      </c>
      <c r="RP434" t="s">
        <v>14</v>
      </c>
      <c r="RQ434" t="s">
        <v>185</v>
      </c>
      <c r="RR434" t="s">
        <v>3</v>
      </c>
      <c r="RS434" t="s">
        <v>14</v>
      </c>
      <c r="RT434" t="s">
        <v>208</v>
      </c>
      <c r="RV434" t="s">
        <v>7</v>
      </c>
      <c r="RW434" t="s">
        <v>7</v>
      </c>
      <c r="RX434" t="s">
        <v>217</v>
      </c>
      <c r="RY434" t="s">
        <v>22</v>
      </c>
      <c r="SA434" t="s">
        <v>211</v>
      </c>
      <c r="SC434" t="s">
        <v>1</v>
      </c>
      <c r="SD434" t="s">
        <v>15</v>
      </c>
      <c r="SE434" t="s">
        <v>22</v>
      </c>
      <c r="SF434" t="s">
        <v>7</v>
      </c>
      <c r="SH434" t="s">
        <v>15</v>
      </c>
      <c r="SI434" t="s">
        <v>5</v>
      </c>
      <c r="SJ434" s="246" t="s">
        <v>261</v>
      </c>
      <c r="SK434" s="260" t="s">
        <v>128</v>
      </c>
      <c r="SL434" s="246" t="s">
        <v>261</v>
      </c>
      <c r="WS434" s="184" t="s">
        <v>132</v>
      </c>
      <c r="WT434" s="27" t="str">
        <f t="shared" si="168"/>
        <v/>
      </c>
      <c r="WU434" s="27" t="str">
        <f t="shared" si="169"/>
        <v/>
      </c>
      <c r="WV434" s="27" t="str">
        <f t="shared" si="170"/>
        <v/>
      </c>
      <c r="WW434" s="27" t="str">
        <f t="shared" si="171"/>
        <v/>
      </c>
      <c r="WX434" s="27" t="str">
        <f t="shared" si="172"/>
        <v/>
      </c>
      <c r="WY434" s="27" t="str">
        <f t="shared" si="173"/>
        <v/>
      </c>
      <c r="WZ434" s="27" t="str">
        <f t="shared" si="174"/>
        <v/>
      </c>
      <c r="XA434" s="27" t="str">
        <f t="shared" si="175"/>
        <v/>
      </c>
      <c r="XB434" s="27" t="str">
        <f t="shared" si="176"/>
        <v/>
      </c>
      <c r="XC434" s="27" t="str">
        <f t="shared" si="177"/>
        <v/>
      </c>
      <c r="XD434" s="27" t="str">
        <f t="shared" si="178"/>
        <v/>
      </c>
      <c r="XE434" s="27" t="str">
        <f t="shared" si="179"/>
        <v/>
      </c>
      <c r="XF434" s="27" t="str">
        <f t="shared" si="180"/>
        <v/>
      </c>
      <c r="XG434" s="27" t="str">
        <f t="shared" si="181"/>
        <v/>
      </c>
      <c r="XH434" s="27" t="str">
        <f t="shared" si="182"/>
        <v/>
      </c>
      <c r="XI434" s="27" t="str">
        <f t="shared" si="183"/>
        <v/>
      </c>
      <c r="XJ434" s="27" t="str">
        <f t="shared" si="184"/>
        <v/>
      </c>
      <c r="XK434" s="27" t="str">
        <f t="shared" si="185"/>
        <v/>
      </c>
      <c r="XL434" s="27" t="str">
        <f t="shared" si="186"/>
        <v/>
      </c>
      <c r="XM434" s="27" t="str">
        <f t="shared" si="187"/>
        <v/>
      </c>
      <c r="XN434" s="27" t="str">
        <f t="shared" si="188"/>
        <v/>
      </c>
      <c r="XO434" s="27" t="str">
        <f t="shared" si="189"/>
        <v/>
      </c>
      <c r="XP434" s="27" t="str">
        <f t="shared" si="190"/>
        <v/>
      </c>
      <c r="XQ434" s="27" t="str">
        <f t="shared" si="191"/>
        <v/>
      </c>
      <c r="XR434" s="27" t="str">
        <f t="shared" si="192"/>
        <v/>
      </c>
      <c r="XS434" s="27" t="str">
        <f t="shared" si="193"/>
        <v/>
      </c>
      <c r="XT434" s="27" t="str">
        <f t="shared" si="194"/>
        <v/>
      </c>
      <c r="XU434" s="27" t="str">
        <f t="shared" si="195"/>
        <v/>
      </c>
      <c r="XV434" s="27" t="str">
        <f t="shared" si="196"/>
        <v/>
      </c>
      <c r="XW434" s="27" t="str">
        <f t="shared" si="197"/>
        <v/>
      </c>
      <c r="XX434" s="27" t="str">
        <f t="shared" si="198"/>
        <v/>
      </c>
      <c r="XY434" s="27" t="str">
        <f t="shared" si="199"/>
        <v/>
      </c>
      <c r="XZ434" s="27" t="str">
        <f t="shared" si="200"/>
        <v/>
      </c>
      <c r="YA434" s="27" t="str">
        <f t="shared" si="201"/>
        <v/>
      </c>
      <c r="YB434" s="27" t="str">
        <f t="shared" si="202"/>
        <v/>
      </c>
      <c r="YC434" s="27" t="str">
        <f t="shared" si="203"/>
        <v/>
      </c>
      <c r="YD434" s="27" t="str">
        <f t="shared" si="204"/>
        <v/>
      </c>
      <c r="YE434" s="27" t="str">
        <f t="shared" si="205"/>
        <v/>
      </c>
      <c r="YF434" s="27" t="str">
        <f t="shared" si="206"/>
        <v/>
      </c>
      <c r="YG434" s="27" t="str">
        <f t="shared" si="207"/>
        <v/>
      </c>
      <c r="YH434" s="27" t="str">
        <f t="shared" si="208"/>
        <v/>
      </c>
      <c r="YI434" s="27" t="str">
        <f t="shared" si="209"/>
        <v/>
      </c>
      <c r="YJ434" s="27" t="str">
        <f t="shared" si="210"/>
        <v/>
      </c>
      <c r="YK434" s="27" t="str">
        <f t="shared" si="211"/>
        <v/>
      </c>
      <c r="YL434" s="27" t="str">
        <f t="shared" si="212"/>
        <v/>
      </c>
      <c r="YM434" s="27" t="str">
        <f t="shared" si="213"/>
        <v/>
      </c>
      <c r="YN434" s="27" t="str">
        <f t="shared" si="214"/>
        <v/>
      </c>
    </row>
    <row r="435" spans="457:664" ht="20.25" thickBot="1" x14ac:dyDescent="0.4">
      <c r="QO435" s="260" t="s">
        <v>129</v>
      </c>
      <c r="QP435" t="s">
        <v>213</v>
      </c>
      <c r="QQ435" t="s">
        <v>20</v>
      </c>
      <c r="QR435" t="s">
        <v>14</v>
      </c>
      <c r="QT435" t="s">
        <v>10</v>
      </c>
      <c r="QU435" t="s">
        <v>185</v>
      </c>
      <c r="QV435" t="s">
        <v>199</v>
      </c>
      <c r="QW435" t="s">
        <v>22</v>
      </c>
      <c r="RA435" t="s">
        <v>2</v>
      </c>
      <c r="RC435" t="s">
        <v>12</v>
      </c>
      <c r="RD435" t="s">
        <v>2</v>
      </c>
      <c r="RE435" t="s">
        <v>2</v>
      </c>
      <c r="RF435" t="s">
        <v>10</v>
      </c>
      <c r="RG435" t="s">
        <v>2</v>
      </c>
      <c r="RI435" t="s">
        <v>271</v>
      </c>
      <c r="RJ435" t="s">
        <v>11</v>
      </c>
      <c r="RK435" t="s">
        <v>2</v>
      </c>
      <c r="RL435" t="s">
        <v>6</v>
      </c>
      <c r="RO435" t="s">
        <v>201</v>
      </c>
      <c r="RP435" t="s">
        <v>5</v>
      </c>
      <c r="RQ435" t="s">
        <v>5</v>
      </c>
      <c r="RS435" t="s">
        <v>20</v>
      </c>
      <c r="RT435" t="s">
        <v>21</v>
      </c>
      <c r="RV435" t="s">
        <v>7</v>
      </c>
      <c r="RW435" t="s">
        <v>7</v>
      </c>
      <c r="RY435" t="s">
        <v>14</v>
      </c>
      <c r="RZ435" t="s">
        <v>185</v>
      </c>
      <c r="SB435" t="s">
        <v>1</v>
      </c>
      <c r="SC435" t="s">
        <v>205</v>
      </c>
      <c r="SD435" t="s">
        <v>10</v>
      </c>
      <c r="SE435" t="s">
        <v>14</v>
      </c>
      <c r="SG435" t="s">
        <v>214</v>
      </c>
      <c r="SI435" t="s">
        <v>1</v>
      </c>
      <c r="SJ435" s="148" t="s">
        <v>278</v>
      </c>
      <c r="SK435" s="260" t="s">
        <v>129</v>
      </c>
      <c r="SL435" s="148" t="s">
        <v>278</v>
      </c>
      <c r="WS435" s="133" t="s">
        <v>134</v>
      </c>
      <c r="WT435" s="27" t="str">
        <f t="shared" si="168"/>
        <v/>
      </c>
      <c r="WU435" s="27" t="str">
        <f t="shared" si="169"/>
        <v/>
      </c>
      <c r="WV435" s="27" t="str">
        <f t="shared" si="170"/>
        <v/>
      </c>
      <c r="WW435" s="27" t="str">
        <f t="shared" si="171"/>
        <v/>
      </c>
      <c r="WX435" s="27" t="str">
        <f t="shared" si="172"/>
        <v/>
      </c>
      <c r="WY435" s="27" t="str">
        <f t="shared" si="173"/>
        <v/>
      </c>
      <c r="WZ435" s="27" t="str">
        <f t="shared" si="174"/>
        <v/>
      </c>
      <c r="XA435" s="27" t="str">
        <f t="shared" si="175"/>
        <v/>
      </c>
      <c r="XB435" s="27" t="str">
        <f t="shared" si="176"/>
        <v/>
      </c>
      <c r="XC435" s="27" t="str">
        <f t="shared" si="177"/>
        <v/>
      </c>
      <c r="XD435" s="27" t="str">
        <f t="shared" si="178"/>
        <v/>
      </c>
      <c r="XE435" s="27" t="str">
        <f t="shared" si="179"/>
        <v/>
      </c>
      <c r="XF435" s="27" t="str">
        <f t="shared" si="180"/>
        <v/>
      </c>
      <c r="XG435" s="27" t="str">
        <f t="shared" si="181"/>
        <v/>
      </c>
      <c r="XH435" s="27" t="str">
        <f t="shared" si="182"/>
        <v/>
      </c>
      <c r="XI435" s="27" t="str">
        <f t="shared" si="183"/>
        <v/>
      </c>
      <c r="XJ435" s="27" t="str">
        <f t="shared" si="184"/>
        <v/>
      </c>
      <c r="XK435" s="27" t="str">
        <f t="shared" si="185"/>
        <v/>
      </c>
      <c r="XL435" s="27" t="str">
        <f t="shared" si="186"/>
        <v/>
      </c>
      <c r="XM435" s="27" t="str">
        <f t="shared" si="187"/>
        <v/>
      </c>
      <c r="XN435" s="27" t="str">
        <f t="shared" si="188"/>
        <v/>
      </c>
      <c r="XO435" s="27" t="str">
        <f t="shared" si="189"/>
        <v/>
      </c>
      <c r="XP435" s="27" t="str">
        <f t="shared" si="190"/>
        <v/>
      </c>
      <c r="XQ435" s="27" t="str">
        <f t="shared" si="191"/>
        <v/>
      </c>
      <c r="XR435" s="27" t="str">
        <f t="shared" si="192"/>
        <v/>
      </c>
      <c r="XS435" s="27" t="str">
        <f t="shared" si="193"/>
        <v/>
      </c>
      <c r="XT435" s="27" t="str">
        <f t="shared" si="194"/>
        <v/>
      </c>
      <c r="XU435" s="27" t="str">
        <f t="shared" si="195"/>
        <v/>
      </c>
      <c r="XV435" s="27" t="str">
        <f t="shared" si="196"/>
        <v/>
      </c>
      <c r="XW435" s="27" t="str">
        <f t="shared" si="197"/>
        <v/>
      </c>
      <c r="XX435" s="27" t="str">
        <f t="shared" si="198"/>
        <v/>
      </c>
      <c r="XY435" s="27" t="str">
        <f t="shared" si="199"/>
        <v/>
      </c>
      <c r="XZ435" s="27" t="str">
        <f t="shared" si="200"/>
        <v/>
      </c>
      <c r="YA435" s="27" t="str">
        <f t="shared" si="201"/>
        <v/>
      </c>
      <c r="YB435" s="27" t="str">
        <f t="shared" si="202"/>
        <v/>
      </c>
      <c r="YC435" s="27" t="str">
        <f t="shared" si="203"/>
        <v/>
      </c>
      <c r="YD435" s="27" t="str">
        <f t="shared" si="204"/>
        <v/>
      </c>
      <c r="YE435" s="27" t="str">
        <f t="shared" si="205"/>
        <v/>
      </c>
      <c r="YF435" s="27" t="str">
        <f t="shared" si="206"/>
        <v/>
      </c>
      <c r="YG435" s="27" t="str">
        <f t="shared" si="207"/>
        <v/>
      </c>
      <c r="YH435" s="27" t="str">
        <f t="shared" si="208"/>
        <v/>
      </c>
      <c r="YI435" s="27" t="str">
        <f t="shared" si="209"/>
        <v/>
      </c>
      <c r="YJ435" s="27" t="str">
        <f t="shared" si="210"/>
        <v/>
      </c>
      <c r="YK435" s="27" t="str">
        <f t="shared" si="211"/>
        <v/>
      </c>
      <c r="YL435" s="27" t="str">
        <f t="shared" si="212"/>
        <v/>
      </c>
      <c r="YM435" s="27" t="str">
        <f t="shared" si="213"/>
        <v/>
      </c>
      <c r="YN435" s="27" t="str">
        <f t="shared" si="214"/>
        <v/>
      </c>
    </row>
    <row r="436" spans="457:664" ht="20.25" thickTop="1" x14ac:dyDescent="0.35">
      <c r="QO436" s="260" t="s">
        <v>131</v>
      </c>
      <c r="QP436" t="s">
        <v>213</v>
      </c>
      <c r="QQ436" t="s">
        <v>20</v>
      </c>
      <c r="QR436" t="s">
        <v>14</v>
      </c>
      <c r="QT436" t="s">
        <v>10</v>
      </c>
      <c r="QU436" t="s">
        <v>185</v>
      </c>
      <c r="QV436" t="s">
        <v>199</v>
      </c>
      <c r="QW436" t="s">
        <v>22</v>
      </c>
      <c r="RA436" t="s">
        <v>2</v>
      </c>
      <c r="RC436" t="s">
        <v>12</v>
      </c>
      <c r="RD436" t="s">
        <v>2</v>
      </c>
      <c r="RE436" t="s">
        <v>2</v>
      </c>
      <c r="RF436" t="s">
        <v>10</v>
      </c>
      <c r="RG436" t="s">
        <v>2</v>
      </c>
      <c r="RI436" t="s">
        <v>271</v>
      </c>
      <c r="RJ436" t="s">
        <v>11</v>
      </c>
      <c r="RK436" t="s">
        <v>2</v>
      </c>
      <c r="RL436" t="s">
        <v>6</v>
      </c>
      <c r="RO436" t="s">
        <v>201</v>
      </c>
      <c r="RP436" t="s">
        <v>5</v>
      </c>
      <c r="RQ436" t="s">
        <v>5</v>
      </c>
      <c r="RS436" t="s">
        <v>20</v>
      </c>
      <c r="RT436" t="s">
        <v>21</v>
      </c>
      <c r="RV436" t="s">
        <v>7</v>
      </c>
      <c r="RW436" t="s">
        <v>7</v>
      </c>
      <c r="RY436" t="s">
        <v>14</v>
      </c>
      <c r="RZ436" t="s">
        <v>185</v>
      </c>
      <c r="SB436" t="s">
        <v>1</v>
      </c>
      <c r="SC436" t="s">
        <v>205</v>
      </c>
      <c r="SD436" t="s">
        <v>10</v>
      </c>
      <c r="SE436" t="s">
        <v>14</v>
      </c>
      <c r="SG436" t="s">
        <v>214</v>
      </c>
      <c r="SI436" t="s">
        <v>1</v>
      </c>
      <c r="SJ436" s="148" t="s">
        <v>278</v>
      </c>
      <c r="SK436" s="260" t="s">
        <v>131</v>
      </c>
      <c r="SL436" s="148" t="s">
        <v>278</v>
      </c>
    </row>
    <row r="437" spans="457:664" ht="18" x14ac:dyDescent="0.25">
      <c r="QO437" s="260" t="s">
        <v>132</v>
      </c>
      <c r="QP437" t="s">
        <v>195</v>
      </c>
      <c r="QQ437" t="s">
        <v>14</v>
      </c>
      <c r="QR437" t="s">
        <v>14</v>
      </c>
      <c r="QT437" t="s">
        <v>11</v>
      </c>
      <c r="QU437" t="s">
        <v>185</v>
      </c>
      <c r="QV437" t="s">
        <v>2</v>
      </c>
      <c r="QW437" t="s">
        <v>22</v>
      </c>
      <c r="QX437" t="s">
        <v>198</v>
      </c>
      <c r="QY437" t="s">
        <v>8</v>
      </c>
      <c r="QZ437" t="s">
        <v>22</v>
      </c>
      <c r="RA437" t="s">
        <v>11</v>
      </c>
      <c r="RC437" t="s">
        <v>12</v>
      </c>
      <c r="RD437" t="s">
        <v>2</v>
      </c>
      <c r="RE437" t="s">
        <v>11</v>
      </c>
      <c r="RF437" t="s">
        <v>6</v>
      </c>
      <c r="RG437" t="s">
        <v>8</v>
      </c>
      <c r="RJ437" t="s">
        <v>11</v>
      </c>
      <c r="RK437" t="s">
        <v>2</v>
      </c>
      <c r="RL437" t="s">
        <v>8</v>
      </c>
      <c r="RM437" t="s">
        <v>203</v>
      </c>
      <c r="RN437" t="s">
        <v>212</v>
      </c>
      <c r="RO437" t="s">
        <v>201</v>
      </c>
      <c r="RQ437" t="s">
        <v>5</v>
      </c>
      <c r="RS437" t="s">
        <v>10</v>
      </c>
      <c r="RT437" t="s">
        <v>21</v>
      </c>
      <c r="RV437" t="s">
        <v>7</v>
      </c>
      <c r="RW437" t="s">
        <v>3</v>
      </c>
      <c r="RX437" t="s">
        <v>202</v>
      </c>
      <c r="RY437" t="s">
        <v>20</v>
      </c>
      <c r="RZ437" t="s">
        <v>185</v>
      </c>
      <c r="SA437" t="s">
        <v>211</v>
      </c>
      <c r="SC437" t="s">
        <v>205</v>
      </c>
      <c r="SD437" t="s">
        <v>10</v>
      </c>
      <c r="SE437" t="s">
        <v>14</v>
      </c>
      <c r="SF437" t="s">
        <v>7</v>
      </c>
      <c r="SG437" t="s">
        <v>218</v>
      </c>
      <c r="SH437" t="s">
        <v>15</v>
      </c>
      <c r="SI437" t="s">
        <v>5</v>
      </c>
      <c r="SJ437" s="246" t="s">
        <v>261</v>
      </c>
      <c r="SK437" s="260" t="s">
        <v>132</v>
      </c>
      <c r="SL437" s="246" t="s">
        <v>261</v>
      </c>
    </row>
    <row r="438" spans="457:664" ht="18" x14ac:dyDescent="0.25">
      <c r="QO438" s="260" t="s">
        <v>134</v>
      </c>
      <c r="QP438" t="s">
        <v>195</v>
      </c>
      <c r="QQ438" t="s">
        <v>14</v>
      </c>
      <c r="QR438" t="s">
        <v>14</v>
      </c>
      <c r="QT438" t="s">
        <v>11</v>
      </c>
      <c r="QU438" t="s">
        <v>185</v>
      </c>
      <c r="QV438" t="s">
        <v>2</v>
      </c>
      <c r="QW438" t="s">
        <v>22</v>
      </c>
      <c r="QX438" t="s">
        <v>198</v>
      </c>
      <c r="QY438" t="s">
        <v>8</v>
      </c>
      <c r="QZ438" t="s">
        <v>22</v>
      </c>
      <c r="RA438" t="s">
        <v>3</v>
      </c>
      <c r="RC438" t="s">
        <v>12</v>
      </c>
      <c r="RD438" t="s">
        <v>2</v>
      </c>
      <c r="RE438" t="s">
        <v>205</v>
      </c>
      <c r="RF438" t="s">
        <v>7</v>
      </c>
      <c r="RG438" t="s">
        <v>8</v>
      </c>
      <c r="RJ438" t="s">
        <v>11</v>
      </c>
      <c r="RK438" t="s">
        <v>2</v>
      </c>
      <c r="RL438" t="s">
        <v>12</v>
      </c>
      <c r="RN438" t="s">
        <v>200</v>
      </c>
      <c r="RO438" t="s">
        <v>201</v>
      </c>
      <c r="RP438" t="s">
        <v>14</v>
      </c>
      <c r="RQ438" t="s">
        <v>10</v>
      </c>
      <c r="RS438" t="s">
        <v>10</v>
      </c>
      <c r="RT438" t="s">
        <v>21</v>
      </c>
      <c r="RV438" t="s">
        <v>10</v>
      </c>
      <c r="RW438" t="s">
        <v>7</v>
      </c>
      <c r="RX438" t="s">
        <v>202</v>
      </c>
      <c r="RY438" t="s">
        <v>20</v>
      </c>
      <c r="RZ438" t="s">
        <v>185</v>
      </c>
      <c r="SA438" t="s">
        <v>211</v>
      </c>
      <c r="SC438" t="s">
        <v>205</v>
      </c>
      <c r="SD438" t="s">
        <v>10</v>
      </c>
      <c r="SE438" t="s">
        <v>14</v>
      </c>
      <c r="SF438" t="s">
        <v>7</v>
      </c>
      <c r="SG438" t="s">
        <v>218</v>
      </c>
      <c r="SH438" t="s">
        <v>15</v>
      </c>
      <c r="SI438" t="s">
        <v>5</v>
      </c>
      <c r="SJ438" s="246" t="s">
        <v>261</v>
      </c>
      <c r="SK438" s="260" t="s">
        <v>134</v>
      </c>
      <c r="SL438" s="246" t="s">
        <v>261</v>
      </c>
    </row>
  </sheetData>
  <sortState ref="A9:F41">
    <sortCondition ref="A9"/>
  </sortState>
  <mergeCells count="10">
    <mergeCell ref="AQ11:AW11"/>
    <mergeCell ref="BV11:CA11"/>
    <mergeCell ref="JY10:KE10"/>
    <mergeCell ref="KV9:LB9"/>
    <mergeCell ref="QO10:QP10"/>
    <mergeCell ref="JQ8:JR8"/>
    <mergeCell ref="BD10:BE10"/>
    <mergeCell ref="AP7:AR7"/>
    <mergeCell ref="RH7:RJ7"/>
    <mergeCell ref="KA7:KC7"/>
  </mergeCells>
  <conditionalFormatting sqref="AC14:BN41">
    <cfRule type="expression" dxfId="82" priority="790">
      <formula>+IF(OR(AC14="*",DK14&gt;0),"VRAI","FAUX")</formula>
    </cfRule>
  </conditionalFormatting>
  <conditionalFormatting sqref="EW14:EW41 IC34:IC41">
    <cfRule type="expression" dxfId="81" priority="788">
      <formula>+IF(AND(EV14&gt;$KZ$10,GM14&gt;0),"vrai","faux")</formula>
    </cfRule>
  </conditionalFormatting>
  <conditionalFormatting sqref="BR14:CI41">
    <cfRule type="expression" dxfId="80" priority="786">
      <formula>+IF(OR(BR14="*",EX14&gt;0),"VRAI","FAUX")</formula>
    </cfRule>
  </conditionalFormatting>
  <conditionalFormatting sqref="BP14:BP41">
    <cfRule type="expression" dxfId="79" priority="708">
      <formula>+IF(BP14&gt;$AA$13,"VRAI","FAUX")</formula>
    </cfRule>
  </conditionalFormatting>
  <conditionalFormatting sqref="BQ14:BQ41">
    <cfRule type="expression" dxfId="78" priority="793">
      <formula>+IF(FQ14&gt;0,"VRAI","FAUX")</formula>
    </cfRule>
    <cfRule type="expression" dxfId="77" priority="794">
      <formula>+IF(AND(BP14&gt;$KZ$10,DF14&gt;0),"vrai","faux")</formula>
    </cfRule>
  </conditionalFormatting>
  <conditionalFormatting sqref="AB14:AB41">
    <cfRule type="expression" dxfId="76" priority="795">
      <formula>+IF(AND(BP14&gt;$AA$13,FP14=0),"VRAI","FAUX")</formula>
    </cfRule>
    <cfRule type="expression" dxfId="75" priority="796">
      <formula>+IF(FP14&gt;0,"VRAI","FAUX")</formula>
    </cfRule>
  </conditionalFormatting>
  <conditionalFormatting sqref="BO14:BO41">
    <cfRule type="expression" dxfId="74" priority="576">
      <formula>+IF(AND(BP14&gt;$AA$13,FR14=0),"VRAI","FAUX")</formula>
    </cfRule>
    <cfRule type="expression" dxfId="73" priority="577">
      <formula>+IF(AND(BP14&gt;$AA$13,FR14&gt;0),"VRAI","FAUX")</formula>
    </cfRule>
  </conditionalFormatting>
  <conditionalFormatting sqref="SK14:SK49">
    <cfRule type="cellIs" dxfId="72" priority="549" operator="greaterThanOrEqual">
      <formula>$QO$13</formula>
    </cfRule>
  </conditionalFormatting>
  <conditionalFormatting sqref="QP14:SJ49">
    <cfRule type="expression" dxfId="71" priority="548">
      <formula>+IF(OR(QP14="*",TR14&gt;0),"VRAI","FAUX")</formula>
    </cfRule>
  </conditionalFormatting>
  <conditionalFormatting sqref="QO51 QO14:QO49">
    <cfRule type="expression" dxfId="70" priority="238">
      <formula>+IF(AND(SK14&gt;$QO$13,VN14=0),"VRAI","FAUX")</formula>
    </cfRule>
    <cfRule type="expression" dxfId="69" priority="543">
      <formula>+IF(VN14&gt;0,"VRAI","FAUX")</formula>
    </cfRule>
  </conditionalFormatting>
  <conditionalFormatting sqref="IC14:IC33">
    <cfRule type="expression" dxfId="68" priority="797">
      <formula>+IF(AND(IB14&gt;$KZ$10,JR51&gt;0),"vrai","faux")</formula>
    </cfRule>
  </conditionalFormatting>
  <conditionalFormatting sqref="KP14:KP44">
    <cfRule type="cellIs" dxfId="67" priority="540" operator="greaterThanOrEqual">
      <formula>$JR$13</formula>
    </cfRule>
  </conditionalFormatting>
  <conditionalFormatting sqref="JS14:KO44">
    <cfRule type="expression" dxfId="66" priority="536">
      <formula>+IF(OR(JS14="*",LZ14&gt;0),"VRAI","FAUX")</formula>
    </cfRule>
  </conditionalFormatting>
  <conditionalFormatting sqref="JR14:JR44">
    <cfRule type="expression" dxfId="65" priority="239">
      <formula>+IF(AND(NN14=0,KP14&gt;$JR$13),"VRAI","FAUX")</formula>
    </cfRule>
    <cfRule type="expression" dxfId="64" priority="533">
      <formula>+IF(NN14&gt;0,"VRAI","FAUX")</formula>
    </cfRule>
  </conditionalFormatting>
  <conditionalFormatting sqref="KS14:LG44">
    <cfRule type="expression" dxfId="63" priority="532">
      <formula>+IF(OR(KS14="*",MY14&gt;0),"VRAI","FAUX")</formula>
    </cfRule>
  </conditionalFormatting>
  <conditionalFormatting sqref="KR14:KR44">
    <cfRule type="expression" dxfId="62" priority="517">
      <formula>+IF(NO14&gt;0,"VRAI","FAUX")</formula>
    </cfRule>
  </conditionalFormatting>
  <conditionalFormatting sqref="C2:C6">
    <cfRule type="expression" dxfId="61" priority="474">
      <formula>+IF(D2&lt;&gt;0,"VRAI","FAUX")</formula>
    </cfRule>
  </conditionalFormatting>
  <conditionalFormatting sqref="QP52:SJ52">
    <cfRule type="expression" dxfId="60" priority="231">
      <formula>+IF(OR(QP53&gt;0,QP52=0),"VRAI","FAUX")</formula>
    </cfRule>
    <cfRule type="expression" dxfId="59" priority="233">
      <formula>+IF(QP53=0,"VRAI","FAUX")</formula>
    </cfRule>
  </conditionalFormatting>
  <conditionalFormatting sqref="QP54:SJ54">
    <cfRule type="expression" dxfId="58" priority="154">
      <formula>+IF(QP54=0,"vrai","faux")</formula>
    </cfRule>
    <cfRule type="cellIs" dxfId="57" priority="227" operator="greaterThan">
      <formula>10</formula>
    </cfRule>
    <cfRule type="colorScale" priority="228">
      <colorScale>
        <cfvo type="num" val="0"/>
        <cfvo type="num" val="30"/>
        <color theme="0"/>
        <color theme="9" tint="-0.249977111117893"/>
      </colorScale>
    </cfRule>
  </conditionalFormatting>
  <conditionalFormatting sqref="JS47:KO47">
    <cfRule type="expression" dxfId="56" priority="208">
      <formula>+IF(OR(JS48&gt;0,JS49=0,JS47="*"),"VRAI","FAUX")</formula>
    </cfRule>
    <cfRule type="expression" dxfId="55" priority="209">
      <formula>+IF(JS48=0,"vrai","faux")</formula>
    </cfRule>
  </conditionalFormatting>
  <conditionalFormatting sqref="JS49:KO49">
    <cfRule type="expression" dxfId="54" priority="151">
      <formula>+IF(JS49=0,"vrai","faux")</formula>
    </cfRule>
    <cfRule type="cellIs" dxfId="53" priority="204" operator="greaterThan">
      <formula>10</formula>
    </cfRule>
    <cfRule type="colorScale" priority="205">
      <colorScale>
        <cfvo type="num" val="0"/>
        <cfvo type="num" val="30"/>
        <color theme="0"/>
        <color theme="9" tint="-0.249977111117893"/>
      </colorScale>
    </cfRule>
  </conditionalFormatting>
  <conditionalFormatting sqref="KS47:LG47">
    <cfRule type="expression" dxfId="52" priority="200">
      <formula>+IF(OR(KS48&gt;0,KS49=0,KS47="*"),"vrai","faux")</formula>
    </cfRule>
    <cfRule type="expression" dxfId="51" priority="201">
      <formula>+IF(KS48=0,"vrai","faux")</formula>
    </cfRule>
  </conditionalFormatting>
  <conditionalFormatting sqref="KS49:LG49">
    <cfRule type="cellIs" dxfId="50" priority="54" operator="equal">
      <formula>0</formula>
    </cfRule>
    <cfRule type="cellIs" dxfId="49" priority="197" operator="greaterThan">
      <formula>10</formula>
    </cfRule>
    <cfRule type="colorScale" priority="198">
      <colorScale>
        <cfvo type="num" val="0"/>
        <cfvo type="num" val="30"/>
        <color theme="0"/>
        <color theme="9" tint="-0.249977111117893"/>
      </colorScale>
    </cfRule>
  </conditionalFormatting>
  <conditionalFormatting sqref="IC424:IC431">
    <cfRule type="expression" dxfId="48" priority="179">
      <formula>+IF(AND(IB424&gt;$KZ$10,JS424&gt;0),"vrai","faux")</formula>
    </cfRule>
  </conditionalFormatting>
  <conditionalFormatting sqref="IC404:IC423">
    <cfRule type="expression" dxfId="47" priority="180">
      <formula>+IF(AND(IB404&gt;$KZ$10,JR441&gt;0),"vrai","faux")</formula>
    </cfRule>
  </conditionalFormatting>
  <conditionalFormatting sqref="AC46:BN46">
    <cfRule type="expression" dxfId="46" priority="159">
      <formula>+IF(AC46=0,"VRAI","FAUX")</formula>
    </cfRule>
    <cfRule type="cellIs" dxfId="45" priority="169" operator="greaterThan">
      <formula>10</formula>
    </cfRule>
    <cfRule type="colorScale" priority="170">
      <colorScale>
        <cfvo type="num" val="0"/>
        <cfvo type="num" val="30"/>
        <color theme="0"/>
        <color theme="9" tint="-0.249977111117893"/>
      </colorScale>
    </cfRule>
  </conditionalFormatting>
  <conditionalFormatting sqref="BR46:CI46">
    <cfRule type="cellIs" dxfId="44" priority="164" operator="equal">
      <formula>0</formula>
    </cfRule>
    <cfRule type="colorScale" priority="168">
      <colorScale>
        <cfvo type="num" val="0"/>
        <cfvo type="num" val="20"/>
        <color theme="0"/>
        <color theme="9" tint="-0.249977111117893"/>
      </colorScale>
    </cfRule>
  </conditionalFormatting>
  <conditionalFormatting sqref="BR44:CI44">
    <cfRule type="expression" dxfId="43" priority="165">
      <formula>+IF(AND(BR44&lt;&gt;"*",BR45=0),"vrai","faux")</formula>
    </cfRule>
    <cfRule type="expression" dxfId="42" priority="166">
      <formula>+IF(OR(BR44="*",BR45&gt;0),"VRAI","FAUX")</formula>
    </cfRule>
  </conditionalFormatting>
  <conditionalFormatting sqref="AC44:BN44">
    <cfRule type="expression" dxfId="41" priority="160">
      <formula>+IF(OR(AC45&gt;0,AC44=0),"VRAI","FAUX")</formula>
    </cfRule>
    <cfRule type="expression" dxfId="40" priority="163">
      <formula>+IF(AND(AC45=0,AC44&lt;&gt;0),"VRAI","FAUX")</formula>
    </cfRule>
  </conditionalFormatting>
  <conditionalFormatting sqref="AP8:AQ8">
    <cfRule type="expression" dxfId="39" priority="122">
      <formula>+IF($CJ$12=0,"VRAI","FAUX")</formula>
    </cfRule>
  </conditionalFormatting>
  <conditionalFormatting sqref="RH8:RI8">
    <cfRule type="expression" dxfId="38" priority="121">
      <formula>+IF($SM$13=0,"VRAI","FAUX")</formula>
    </cfRule>
  </conditionalFormatting>
  <conditionalFormatting sqref="KA8:KB8">
    <cfRule type="expression" dxfId="37" priority="98">
      <formula>+IF($LH$12=0,"VRAI","FAUX")</formula>
    </cfRule>
  </conditionalFormatting>
  <conditionalFormatting sqref="KA8">
    <cfRule type="cellIs" dxfId="36" priority="97" operator="equal">
      <formula>"Ep"</formula>
    </cfRule>
  </conditionalFormatting>
  <conditionalFormatting sqref="AP8">
    <cfRule type="cellIs" dxfId="35" priority="96" operator="equal">
      <formula>"Ep"</formula>
    </cfRule>
  </conditionalFormatting>
  <conditionalFormatting sqref="RH8">
    <cfRule type="cellIs" dxfId="34" priority="85" operator="equal">
      <formula>"Ep?"</formula>
    </cfRule>
  </conditionalFormatting>
  <conditionalFormatting sqref="F12:F106">
    <cfRule type="cellIs" dxfId="1" priority="1" operator="between">
      <formula>1000</formula>
      <formula>2999.99</formula>
    </cfRule>
    <cfRule type="cellIs" dxfId="0" priority="2" operator="greaterThanOrEqual">
      <formula>3000</formula>
    </cfRule>
  </conditionalFormatting>
  <dataValidations count="5">
    <dataValidation type="list" allowBlank="1" showInputMessage="1" showErrorMessage="1" sqref="QO52">
      <formula1>$QO$399:$QO$438</formula1>
    </dataValidation>
    <dataValidation type="list" allowBlank="1" showInputMessage="1" showErrorMessage="1" sqref="JQ47">
      <formula1>$JP$400:$JP$419</formula1>
    </dataValidation>
    <dataValidation type="list" allowBlank="1" showInputMessage="1" showErrorMessage="1" sqref="KR47">
      <formula1>$JQ$400:$JQ$407</formula1>
    </dataValidation>
    <dataValidation type="list" allowBlank="1" showInputMessage="1" showErrorMessage="1" sqref="AB44">
      <formula1>$AB$400:$AB$415</formula1>
    </dataValidation>
    <dataValidation type="list" allowBlank="1" showInputMessage="1" showErrorMessage="1" sqref="BQ44">
      <formula1>$BQ$400:$BQ$411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OFFSET(BASE!$D$31,0,0,COUNTA(BASE!$D:$D))</xm:f>
          </x14:formula1>
          <xm:sqref>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M211"/>
  <sheetViews>
    <sheetView topLeftCell="A49" workbookViewId="0">
      <selection activeCell="M86" sqref="M86"/>
    </sheetView>
  </sheetViews>
  <sheetFormatPr baseColWidth="10" defaultColWidth="11.42578125" defaultRowHeight="15" x14ac:dyDescent="0.25"/>
  <cols>
    <col min="1" max="1" width="4.28515625" style="27" customWidth="1"/>
    <col min="2" max="2" width="19.42578125" style="27" customWidth="1"/>
    <col min="3" max="3" width="19.85546875" style="27" customWidth="1"/>
    <col min="4" max="4" width="15.42578125" style="27" customWidth="1"/>
    <col min="5" max="5" width="10.85546875" style="27" customWidth="1"/>
    <col min="6" max="6" width="11.42578125" style="27"/>
    <col min="7" max="7" width="21" style="27" customWidth="1"/>
    <col min="8" max="11" width="11.42578125" style="27"/>
    <col min="12" max="12" width="5.140625" style="27" customWidth="1"/>
    <col min="13" max="15" width="11.42578125" style="27"/>
    <col min="16" max="16" width="22.140625" style="27" customWidth="1"/>
    <col min="17" max="38" width="11.42578125" style="27"/>
    <col min="39" max="39" width="27.42578125" style="27" customWidth="1"/>
    <col min="40" max="16384" width="11.42578125" style="27"/>
  </cols>
  <sheetData>
    <row r="1" spans="1:39" ht="14.65" thickBot="1" x14ac:dyDescent="0.5"/>
    <row r="2" spans="1:39" thickTop="1" thickBot="1" x14ac:dyDescent="0.5">
      <c r="G2" s="104"/>
    </row>
    <row r="3" spans="1:39" thickTop="1" thickBot="1" x14ac:dyDescent="0.5">
      <c r="B3" s="491" t="s">
        <v>334</v>
      </c>
      <c r="C3" s="492"/>
      <c r="D3" s="493"/>
      <c r="G3" s="105"/>
      <c r="N3" s="491" t="s">
        <v>333</v>
      </c>
      <c r="O3" s="492"/>
      <c r="P3" s="492"/>
      <c r="Q3" s="493"/>
    </row>
    <row r="4" spans="1:39" thickTop="1" thickBot="1" x14ac:dyDescent="0.5">
      <c r="G4" s="106" t="s">
        <v>233</v>
      </c>
    </row>
    <row r="5" spans="1:39" thickTop="1" thickBot="1" x14ac:dyDescent="0.5"/>
    <row r="6" spans="1:39" ht="16.5" thickTop="1" thickBot="1" x14ac:dyDescent="0.3">
      <c r="B6" s="443" t="s">
        <v>330</v>
      </c>
      <c r="C6" s="443" t="s">
        <v>331</v>
      </c>
      <c r="O6" s="494" t="s">
        <v>332</v>
      </c>
      <c r="P6" s="495"/>
    </row>
    <row r="7" spans="1:39" ht="16.5" thickTop="1" thickBot="1" x14ac:dyDescent="0.3">
      <c r="A7" s="102"/>
      <c r="B7" s="444" t="s">
        <v>219</v>
      </c>
      <c r="C7" s="444" t="s">
        <v>220</v>
      </c>
      <c r="D7" s="103" t="s">
        <v>179</v>
      </c>
      <c r="L7" s="75"/>
      <c r="M7" s="85"/>
      <c r="N7" s="85"/>
      <c r="O7" s="85"/>
      <c r="P7" s="85"/>
      <c r="Q7" s="280" t="s">
        <v>179</v>
      </c>
      <c r="R7" s="91"/>
    </row>
    <row r="8" spans="1:39" ht="14.65" thickTop="1" x14ac:dyDescent="0.45">
      <c r="B8"/>
      <c r="C8"/>
      <c r="D8"/>
      <c r="L8" s="79">
        <v>3</v>
      </c>
      <c r="M8" s="73"/>
      <c r="N8" s="69"/>
      <c r="O8" s="71" t="s">
        <v>82</v>
      </c>
      <c r="P8" s="76" t="s">
        <v>336</v>
      </c>
      <c r="Q8" s="472" t="str">
        <f>+IF(ISERROR(INDEX($D$8:$D$150,MATCH(P8,$AM$8:$AM$150,0))),"0",INDEX($D$8:$D$150,MATCH(P8,$AM$8:$AM$150,0)))</f>
        <v>0</v>
      </c>
      <c r="R8" s="94"/>
      <c r="AM8" s="95" t="str">
        <f>+B8&amp;C8</f>
        <v/>
      </c>
    </row>
    <row r="9" spans="1:39" ht="14.25" x14ac:dyDescent="0.45">
      <c r="B9"/>
      <c r="C9"/>
      <c r="D9"/>
      <c r="L9" s="79">
        <v>4</v>
      </c>
      <c r="M9" s="73"/>
      <c r="N9" s="69"/>
      <c r="O9" s="71" t="s">
        <v>82</v>
      </c>
      <c r="P9" s="76" t="s">
        <v>337</v>
      </c>
      <c r="Q9" s="472" t="str">
        <f t="shared" ref="Q9:Q72" si="0">+IF(ISERROR(INDEX($D$8:$D$150,MATCH(P9,$AM$8:$AM$150,0))),"0",INDEX($D$8:$D$150,MATCH(P9,$AM$8:$AM$150,0)))</f>
        <v>0</v>
      </c>
      <c r="R9" s="94"/>
      <c r="AM9" s="95" t="str">
        <f t="shared" ref="AM9:AM72" si="1">+B9&amp;C9</f>
        <v/>
      </c>
    </row>
    <row r="10" spans="1:39" ht="14.25" x14ac:dyDescent="0.45">
      <c r="B10"/>
      <c r="C10"/>
      <c r="D10"/>
      <c r="L10" s="79">
        <v>5</v>
      </c>
      <c r="M10" s="73"/>
      <c r="N10" s="69"/>
      <c r="O10" s="97" t="s">
        <v>85</v>
      </c>
      <c r="P10" s="76" t="s">
        <v>338</v>
      </c>
      <c r="Q10" s="472" t="str">
        <f t="shared" si="0"/>
        <v>0</v>
      </c>
      <c r="R10" s="94"/>
      <c r="AM10" s="95" t="str">
        <f t="shared" si="1"/>
        <v/>
      </c>
    </row>
    <row r="11" spans="1:39" ht="14.25" x14ac:dyDescent="0.45">
      <c r="B11"/>
      <c r="C11"/>
      <c r="D11"/>
      <c r="L11" s="79">
        <v>6</v>
      </c>
      <c r="M11" s="73"/>
      <c r="N11" s="69"/>
      <c r="O11" s="97" t="s">
        <v>87</v>
      </c>
      <c r="P11" s="76" t="s">
        <v>339</v>
      </c>
      <c r="Q11" s="472" t="str">
        <f t="shared" si="0"/>
        <v>0</v>
      </c>
      <c r="R11" s="94"/>
      <c r="AM11" s="95" t="str">
        <f t="shared" si="1"/>
        <v/>
      </c>
    </row>
    <row r="12" spans="1:39" ht="14.25" x14ac:dyDescent="0.45">
      <c r="B12"/>
      <c r="C12"/>
      <c r="D12"/>
      <c r="L12" s="79">
        <v>7</v>
      </c>
      <c r="M12" s="73"/>
      <c r="N12" s="69"/>
      <c r="O12" s="97" t="s">
        <v>89</v>
      </c>
      <c r="P12" s="76" t="s">
        <v>340</v>
      </c>
      <c r="Q12" s="472" t="str">
        <f t="shared" si="0"/>
        <v>0</v>
      </c>
      <c r="R12" s="94"/>
      <c r="AM12" s="95" t="str">
        <f t="shared" si="1"/>
        <v/>
      </c>
    </row>
    <row r="13" spans="1:39" ht="14.25" x14ac:dyDescent="0.45">
      <c r="B13"/>
      <c r="C13"/>
      <c r="D13"/>
      <c r="L13" s="79">
        <v>8</v>
      </c>
      <c r="M13" s="73"/>
      <c r="N13" s="69"/>
      <c r="O13" s="97" t="s">
        <v>91</v>
      </c>
      <c r="P13" s="76" t="s">
        <v>341</v>
      </c>
      <c r="Q13" s="472" t="str">
        <f t="shared" si="0"/>
        <v>0</v>
      </c>
      <c r="R13" s="94"/>
      <c r="AM13" s="95" t="str">
        <f t="shared" si="1"/>
        <v/>
      </c>
    </row>
    <row r="14" spans="1:39" ht="14.25" x14ac:dyDescent="0.45">
      <c r="B14"/>
      <c r="C14"/>
      <c r="D14"/>
      <c r="L14" s="79">
        <v>9</v>
      </c>
      <c r="M14" s="73"/>
      <c r="N14" s="69"/>
      <c r="O14" s="97" t="s">
        <v>91</v>
      </c>
      <c r="P14" s="76" t="s">
        <v>342</v>
      </c>
      <c r="Q14" s="472" t="str">
        <f t="shared" si="0"/>
        <v>0</v>
      </c>
      <c r="R14" s="94"/>
      <c r="AM14" s="95" t="str">
        <f t="shared" si="1"/>
        <v/>
      </c>
    </row>
    <row r="15" spans="1:39" ht="14.25" x14ac:dyDescent="0.45">
      <c r="B15"/>
      <c r="C15"/>
      <c r="D15"/>
      <c r="L15" s="79">
        <v>10</v>
      </c>
      <c r="M15" s="73"/>
      <c r="N15" s="69"/>
      <c r="O15" s="97" t="s">
        <v>91</v>
      </c>
      <c r="P15" s="76" t="s">
        <v>343</v>
      </c>
      <c r="Q15" s="472" t="str">
        <f t="shared" si="0"/>
        <v>0</v>
      </c>
      <c r="R15" s="94"/>
      <c r="AM15" s="95" t="str">
        <f t="shared" si="1"/>
        <v/>
      </c>
    </row>
    <row r="16" spans="1:39" ht="14.25" x14ac:dyDescent="0.45">
      <c r="B16"/>
      <c r="C16"/>
      <c r="D16"/>
      <c r="L16" s="79">
        <v>11</v>
      </c>
      <c r="M16" s="73"/>
      <c r="N16" s="69"/>
      <c r="O16" s="97" t="s">
        <v>91</v>
      </c>
      <c r="P16" s="76" t="s">
        <v>344</v>
      </c>
      <c r="Q16" s="472" t="str">
        <f t="shared" si="0"/>
        <v>0</v>
      </c>
      <c r="R16" s="94"/>
      <c r="AM16" s="95" t="str">
        <f t="shared" si="1"/>
        <v/>
      </c>
    </row>
    <row r="17" spans="2:39" ht="14.25" x14ac:dyDescent="0.45">
      <c r="B17"/>
      <c r="C17"/>
      <c r="D17"/>
      <c r="L17" s="79">
        <v>12</v>
      </c>
      <c r="M17" s="73"/>
      <c r="N17" s="69"/>
      <c r="O17" s="97" t="s">
        <v>96</v>
      </c>
      <c r="P17" s="76" t="s">
        <v>345</v>
      </c>
      <c r="Q17" s="472" t="str">
        <f t="shared" si="0"/>
        <v>0</v>
      </c>
      <c r="R17" s="94"/>
      <c r="AM17" s="95" t="str">
        <f t="shared" si="1"/>
        <v/>
      </c>
    </row>
    <row r="18" spans="2:39" ht="14.25" x14ac:dyDescent="0.45">
      <c r="B18"/>
      <c r="C18"/>
      <c r="D18"/>
      <c r="L18" s="79">
        <v>13</v>
      </c>
      <c r="M18" s="73"/>
      <c r="N18" s="69"/>
      <c r="O18" s="97" t="s">
        <v>91</v>
      </c>
      <c r="P18" s="76" t="s">
        <v>346</v>
      </c>
      <c r="Q18" s="472" t="str">
        <f t="shared" si="0"/>
        <v>0</v>
      </c>
      <c r="R18" s="94"/>
      <c r="AM18" s="95" t="str">
        <f t="shared" si="1"/>
        <v/>
      </c>
    </row>
    <row r="19" spans="2:39" ht="14.25" x14ac:dyDescent="0.45">
      <c r="B19"/>
      <c r="C19"/>
      <c r="D19"/>
      <c r="L19" s="79">
        <v>14</v>
      </c>
      <c r="M19" s="73"/>
      <c r="N19" s="69"/>
      <c r="O19" s="97" t="s">
        <v>99</v>
      </c>
      <c r="P19" s="76" t="s">
        <v>347</v>
      </c>
      <c r="Q19" s="472" t="str">
        <f t="shared" si="0"/>
        <v>0</v>
      </c>
      <c r="R19" s="94"/>
      <c r="AM19" s="95" t="str">
        <f t="shared" si="1"/>
        <v/>
      </c>
    </row>
    <row r="20" spans="2:39" ht="14.25" x14ac:dyDescent="0.45">
      <c r="B20"/>
      <c r="C20"/>
      <c r="D20"/>
      <c r="L20" s="79">
        <v>15</v>
      </c>
      <c r="M20" s="73"/>
      <c r="N20" s="69"/>
      <c r="O20" s="97" t="s">
        <v>101</v>
      </c>
      <c r="P20" s="76" t="s">
        <v>348</v>
      </c>
      <c r="Q20" s="472" t="str">
        <f t="shared" si="0"/>
        <v>0</v>
      </c>
      <c r="R20" s="94"/>
      <c r="AM20" s="95" t="str">
        <f t="shared" si="1"/>
        <v/>
      </c>
    </row>
    <row r="21" spans="2:39" ht="14.25" x14ac:dyDescent="0.45">
      <c r="B21"/>
      <c r="C21"/>
      <c r="D21"/>
      <c r="L21" s="79">
        <v>16</v>
      </c>
      <c r="M21" s="73"/>
      <c r="N21" s="69"/>
      <c r="O21" s="97" t="s">
        <v>101</v>
      </c>
      <c r="P21" s="76" t="s">
        <v>349</v>
      </c>
      <c r="Q21" s="472" t="str">
        <f t="shared" si="0"/>
        <v>0</v>
      </c>
      <c r="R21" s="94"/>
      <c r="AM21" s="95" t="str">
        <f t="shared" si="1"/>
        <v/>
      </c>
    </row>
    <row r="22" spans="2:39" ht="14.25" x14ac:dyDescent="0.45">
      <c r="B22"/>
      <c r="C22"/>
      <c r="D22"/>
      <c r="L22" s="79">
        <v>17</v>
      </c>
      <c r="M22" s="73"/>
      <c r="N22" s="69"/>
      <c r="O22" s="97" t="s">
        <v>104</v>
      </c>
      <c r="P22" s="76" t="s">
        <v>350</v>
      </c>
      <c r="Q22" s="472" t="str">
        <f t="shared" si="0"/>
        <v>0</v>
      </c>
      <c r="R22" s="94"/>
      <c r="AM22" s="95" t="str">
        <f t="shared" si="1"/>
        <v/>
      </c>
    </row>
    <row r="23" spans="2:39" ht="14.25" x14ac:dyDescent="0.45">
      <c r="B23"/>
      <c r="C23"/>
      <c r="D23"/>
      <c r="L23" s="79">
        <v>18</v>
      </c>
      <c r="M23" s="73"/>
      <c r="N23" s="69"/>
      <c r="O23" s="97" t="s">
        <v>106</v>
      </c>
      <c r="P23" s="76" t="s">
        <v>351</v>
      </c>
      <c r="Q23" s="472" t="str">
        <f t="shared" si="0"/>
        <v>0</v>
      </c>
      <c r="R23" s="94"/>
      <c r="AM23" s="95" t="str">
        <f t="shared" si="1"/>
        <v/>
      </c>
    </row>
    <row r="24" spans="2:39" ht="14.25" x14ac:dyDescent="0.45">
      <c r="B24"/>
      <c r="C24"/>
      <c r="D24"/>
      <c r="L24" s="79">
        <v>19</v>
      </c>
      <c r="M24" s="73"/>
      <c r="N24" s="69"/>
      <c r="O24" s="97" t="s">
        <v>106</v>
      </c>
      <c r="P24" s="76" t="s">
        <v>352</v>
      </c>
      <c r="Q24" s="472" t="str">
        <f t="shared" si="0"/>
        <v>0</v>
      </c>
      <c r="R24" s="94"/>
      <c r="AM24" s="95" t="str">
        <f t="shared" si="1"/>
        <v/>
      </c>
    </row>
    <row r="25" spans="2:39" ht="14.25" x14ac:dyDescent="0.45">
      <c r="B25"/>
      <c r="C25"/>
      <c r="D25"/>
      <c r="L25" s="79">
        <v>20</v>
      </c>
      <c r="M25" s="73"/>
      <c r="N25" s="69"/>
      <c r="O25" s="97" t="s">
        <v>109</v>
      </c>
      <c r="P25" s="76" t="s">
        <v>353</v>
      </c>
      <c r="Q25" s="472" t="str">
        <f t="shared" si="0"/>
        <v>0</v>
      </c>
      <c r="R25" s="94"/>
      <c r="AM25" s="95" t="str">
        <f t="shared" si="1"/>
        <v/>
      </c>
    </row>
    <row r="26" spans="2:39" ht="14.25" x14ac:dyDescent="0.45">
      <c r="B26"/>
      <c r="C26"/>
      <c r="D26"/>
      <c r="L26" s="79">
        <v>21</v>
      </c>
      <c r="M26" s="73"/>
      <c r="N26" s="69"/>
      <c r="O26" s="97" t="s">
        <v>109</v>
      </c>
      <c r="P26" s="76" t="s">
        <v>354</v>
      </c>
      <c r="Q26" s="472" t="str">
        <f t="shared" si="0"/>
        <v>0</v>
      </c>
      <c r="R26" s="94"/>
      <c r="AM26" s="95" t="str">
        <f t="shared" si="1"/>
        <v/>
      </c>
    </row>
    <row r="27" spans="2:39" ht="14.25" x14ac:dyDescent="0.45">
      <c r="B27"/>
      <c r="C27"/>
      <c r="D27"/>
      <c r="L27" s="79">
        <v>22</v>
      </c>
      <c r="M27" s="73"/>
      <c r="N27" s="69"/>
      <c r="O27" s="97" t="s">
        <v>112</v>
      </c>
      <c r="P27" s="76" t="s">
        <v>355</v>
      </c>
      <c r="Q27" s="472" t="str">
        <f t="shared" si="0"/>
        <v>0</v>
      </c>
      <c r="R27" s="94"/>
      <c r="AM27" s="95" t="str">
        <f t="shared" si="1"/>
        <v/>
      </c>
    </row>
    <row r="28" spans="2:39" ht="14.25" x14ac:dyDescent="0.45">
      <c r="B28"/>
      <c r="C28"/>
      <c r="D28"/>
      <c r="L28" s="79">
        <v>23</v>
      </c>
      <c r="M28" s="73"/>
      <c r="N28" s="69"/>
      <c r="O28" s="97" t="s">
        <v>112</v>
      </c>
      <c r="P28" s="76" t="s">
        <v>356</v>
      </c>
      <c r="Q28" s="472" t="str">
        <f t="shared" si="0"/>
        <v>0</v>
      </c>
      <c r="R28" s="94"/>
      <c r="AM28" s="95" t="str">
        <f t="shared" si="1"/>
        <v/>
      </c>
    </row>
    <row r="29" spans="2:39" ht="14.25" x14ac:dyDescent="0.45">
      <c r="B29"/>
      <c r="C29"/>
      <c r="D29"/>
      <c r="L29" s="79">
        <v>24</v>
      </c>
      <c r="M29" s="73"/>
      <c r="N29" s="69"/>
      <c r="O29" s="97" t="s">
        <v>115</v>
      </c>
      <c r="P29" s="76" t="s">
        <v>357</v>
      </c>
      <c r="Q29" s="472" t="str">
        <f t="shared" si="0"/>
        <v>0</v>
      </c>
      <c r="R29" s="94"/>
      <c r="AM29" s="95" t="str">
        <f t="shared" si="1"/>
        <v/>
      </c>
    </row>
    <row r="30" spans="2:39" ht="14.25" x14ac:dyDescent="0.45">
      <c r="B30"/>
      <c r="C30"/>
      <c r="D30"/>
      <c r="L30" s="79">
        <v>25</v>
      </c>
      <c r="M30" s="73"/>
      <c r="N30" s="69"/>
      <c r="O30" s="97" t="s">
        <v>115</v>
      </c>
      <c r="P30" s="76" t="s">
        <v>358</v>
      </c>
      <c r="Q30" s="472" t="str">
        <f t="shared" si="0"/>
        <v>0</v>
      </c>
      <c r="R30" s="94"/>
      <c r="AM30" s="95" t="str">
        <f t="shared" si="1"/>
        <v/>
      </c>
    </row>
    <row r="31" spans="2:39" ht="14.25" x14ac:dyDescent="0.45">
      <c r="B31"/>
      <c r="C31"/>
      <c r="D31"/>
      <c r="L31" s="79">
        <v>26</v>
      </c>
      <c r="M31" s="73"/>
      <c r="N31" s="69"/>
      <c r="O31" s="97" t="s">
        <v>115</v>
      </c>
      <c r="P31" s="76" t="s">
        <v>359</v>
      </c>
      <c r="Q31" s="472" t="str">
        <f t="shared" si="0"/>
        <v>0</v>
      </c>
      <c r="R31" s="94"/>
      <c r="AM31" s="95" t="str">
        <f t="shared" si="1"/>
        <v/>
      </c>
    </row>
    <row r="32" spans="2:39" ht="14.25" x14ac:dyDescent="0.45">
      <c r="B32"/>
      <c r="C32"/>
      <c r="D32"/>
      <c r="L32" s="79">
        <v>27</v>
      </c>
      <c r="M32" s="73"/>
      <c r="N32" s="69"/>
      <c r="O32" s="97" t="s">
        <v>119</v>
      </c>
      <c r="P32" s="76" t="s">
        <v>360</v>
      </c>
      <c r="Q32" s="472" t="str">
        <f t="shared" si="0"/>
        <v>0</v>
      </c>
      <c r="R32" s="94"/>
      <c r="AM32" s="95" t="str">
        <f t="shared" si="1"/>
        <v/>
      </c>
    </row>
    <row r="33" spans="2:39" ht="14.25" x14ac:dyDescent="0.45">
      <c r="B33"/>
      <c r="C33"/>
      <c r="D33"/>
      <c r="L33" s="79">
        <v>28</v>
      </c>
      <c r="M33" s="73"/>
      <c r="N33" s="69"/>
      <c r="O33" s="97" t="s">
        <v>119</v>
      </c>
      <c r="P33" s="76" t="s">
        <v>361</v>
      </c>
      <c r="Q33" s="472" t="str">
        <f t="shared" si="0"/>
        <v>0</v>
      </c>
      <c r="R33" s="94"/>
      <c r="AM33" s="95" t="str">
        <f t="shared" si="1"/>
        <v/>
      </c>
    </row>
    <row r="34" spans="2:39" ht="14.25" x14ac:dyDescent="0.45">
      <c r="B34"/>
      <c r="C34"/>
      <c r="D34"/>
      <c r="L34" s="79">
        <v>29</v>
      </c>
      <c r="M34" s="73"/>
      <c r="N34" s="69"/>
      <c r="O34" s="97" t="s">
        <v>119</v>
      </c>
      <c r="P34" s="76" t="s">
        <v>362</v>
      </c>
      <c r="Q34" s="472" t="str">
        <f t="shared" si="0"/>
        <v>0</v>
      </c>
      <c r="R34" s="94"/>
      <c r="AM34" s="95" t="str">
        <f t="shared" si="1"/>
        <v/>
      </c>
    </row>
    <row r="35" spans="2:39" ht="14.25" x14ac:dyDescent="0.45">
      <c r="B35"/>
      <c r="C35"/>
      <c r="D35"/>
      <c r="L35" s="79">
        <v>30</v>
      </c>
      <c r="M35" s="73"/>
      <c r="N35" s="69"/>
      <c r="O35" s="97" t="s">
        <v>123</v>
      </c>
      <c r="P35" s="76" t="s">
        <v>363</v>
      </c>
      <c r="Q35" s="472" t="str">
        <f t="shared" si="0"/>
        <v>0</v>
      </c>
      <c r="R35" s="94"/>
      <c r="AM35" s="95" t="str">
        <f t="shared" si="1"/>
        <v/>
      </c>
    </row>
    <row r="36" spans="2:39" ht="14.25" x14ac:dyDescent="0.45">
      <c r="B36"/>
      <c r="C36"/>
      <c r="D36"/>
      <c r="L36" s="79">
        <v>31</v>
      </c>
      <c r="M36" s="73"/>
      <c r="N36" s="69"/>
      <c r="O36" s="97" t="s">
        <v>123</v>
      </c>
      <c r="P36" s="76" t="s">
        <v>364</v>
      </c>
      <c r="Q36" s="472" t="str">
        <f t="shared" si="0"/>
        <v>0</v>
      </c>
      <c r="R36" s="94"/>
      <c r="AM36" s="95" t="str">
        <f t="shared" si="1"/>
        <v/>
      </c>
    </row>
    <row r="37" spans="2:39" ht="14.25" x14ac:dyDescent="0.45">
      <c r="B37"/>
      <c r="C37"/>
      <c r="D37"/>
      <c r="L37" s="79">
        <v>32</v>
      </c>
      <c r="M37" s="73"/>
      <c r="N37" s="69"/>
      <c r="O37" s="97" t="s">
        <v>126</v>
      </c>
      <c r="P37" s="86" t="s">
        <v>365</v>
      </c>
      <c r="Q37" s="472" t="str">
        <f t="shared" si="0"/>
        <v>0</v>
      </c>
      <c r="R37" s="94"/>
      <c r="AM37" s="95" t="str">
        <f t="shared" si="1"/>
        <v/>
      </c>
    </row>
    <row r="38" spans="2:39" ht="14.25" x14ac:dyDescent="0.45">
      <c r="B38"/>
      <c r="C38"/>
      <c r="D38"/>
      <c r="L38" s="79">
        <v>33</v>
      </c>
      <c r="M38" s="73"/>
      <c r="N38" s="69"/>
      <c r="O38" s="97" t="s">
        <v>126</v>
      </c>
      <c r="P38" s="86" t="s">
        <v>366</v>
      </c>
      <c r="Q38" s="472" t="str">
        <f t="shared" si="0"/>
        <v>0</v>
      </c>
      <c r="R38" s="94"/>
      <c r="AM38" s="95" t="str">
        <f t="shared" si="1"/>
        <v/>
      </c>
    </row>
    <row r="39" spans="2:39" ht="14.25" x14ac:dyDescent="0.45">
      <c r="B39"/>
      <c r="C39"/>
      <c r="D39"/>
      <c r="L39" s="79">
        <v>34</v>
      </c>
      <c r="M39" s="73"/>
      <c r="N39" s="69"/>
      <c r="O39" s="97" t="s">
        <v>126</v>
      </c>
      <c r="P39" s="76" t="s">
        <v>367</v>
      </c>
      <c r="Q39" s="472" t="str">
        <f t="shared" si="0"/>
        <v>0</v>
      </c>
      <c r="R39" s="94"/>
      <c r="AM39" s="95" t="str">
        <f t="shared" si="1"/>
        <v/>
      </c>
    </row>
    <row r="40" spans="2:39" ht="14.25" x14ac:dyDescent="0.45">
      <c r="B40"/>
      <c r="C40"/>
      <c r="D40"/>
      <c r="L40" s="79">
        <v>35</v>
      </c>
      <c r="M40" s="73"/>
      <c r="N40" s="69"/>
      <c r="O40" s="97" t="s">
        <v>130</v>
      </c>
      <c r="P40" s="76" t="s">
        <v>368</v>
      </c>
      <c r="Q40" s="472" t="str">
        <f t="shared" si="0"/>
        <v>0</v>
      </c>
      <c r="R40" s="94"/>
      <c r="AM40" s="95" t="str">
        <f t="shared" si="1"/>
        <v/>
      </c>
    </row>
    <row r="41" spans="2:39" ht="14.25" x14ac:dyDescent="0.45">
      <c r="B41"/>
      <c r="C41"/>
      <c r="D41"/>
      <c r="L41" s="79">
        <v>36</v>
      </c>
      <c r="M41" s="73"/>
      <c r="N41" s="69"/>
      <c r="O41" s="97" t="s">
        <v>130</v>
      </c>
      <c r="P41" s="76" t="s">
        <v>369</v>
      </c>
      <c r="Q41" s="472" t="str">
        <f t="shared" si="0"/>
        <v>0</v>
      </c>
      <c r="R41" s="94"/>
      <c r="AM41" s="95" t="str">
        <f t="shared" si="1"/>
        <v/>
      </c>
    </row>
    <row r="42" spans="2:39" ht="14.25" x14ac:dyDescent="0.45">
      <c r="B42"/>
      <c r="C42"/>
      <c r="D42"/>
      <c r="L42" s="79">
        <v>37</v>
      </c>
      <c r="M42" s="73"/>
      <c r="N42" s="69"/>
      <c r="O42" s="97" t="s">
        <v>133</v>
      </c>
      <c r="P42" s="76" t="s">
        <v>370</v>
      </c>
      <c r="Q42" s="472" t="str">
        <f t="shared" si="0"/>
        <v>0</v>
      </c>
      <c r="R42" s="94"/>
      <c r="AM42" s="95" t="str">
        <f t="shared" si="1"/>
        <v/>
      </c>
    </row>
    <row r="43" spans="2:39" ht="14.25" x14ac:dyDescent="0.45">
      <c r="B43"/>
      <c r="C43"/>
      <c r="D43"/>
      <c r="L43" s="79">
        <v>38</v>
      </c>
      <c r="M43" s="73"/>
      <c r="N43" s="69"/>
      <c r="O43" s="97" t="s">
        <v>133</v>
      </c>
      <c r="P43" s="76" t="s">
        <v>371</v>
      </c>
      <c r="Q43" s="472" t="str">
        <f t="shared" si="0"/>
        <v>0</v>
      </c>
      <c r="R43" s="94"/>
      <c r="AM43" s="95" t="str">
        <f t="shared" si="1"/>
        <v/>
      </c>
    </row>
    <row r="44" spans="2:39" ht="14.25" x14ac:dyDescent="0.45">
      <c r="B44"/>
      <c r="C44"/>
      <c r="D44"/>
      <c r="L44" s="79">
        <v>39</v>
      </c>
      <c r="M44" s="71" t="s">
        <v>372</v>
      </c>
      <c r="N44" s="73" t="s">
        <v>373</v>
      </c>
      <c r="O44" s="82" t="s">
        <v>50</v>
      </c>
      <c r="P44" s="81" t="str">
        <f>+M44&amp;N44</f>
        <v>DQA1*0201DQB1*0201</v>
      </c>
      <c r="Q44" s="472" t="str">
        <f t="shared" si="0"/>
        <v>0</v>
      </c>
      <c r="R44" s="94"/>
      <c r="S44" s="98"/>
      <c r="AM44" s="95" t="str">
        <f t="shared" si="1"/>
        <v/>
      </c>
    </row>
    <row r="45" spans="2:39" ht="14.25" x14ac:dyDescent="0.45">
      <c r="B45"/>
      <c r="C45"/>
      <c r="D45"/>
      <c r="L45" s="79">
        <v>40</v>
      </c>
      <c r="M45" s="71" t="s">
        <v>374</v>
      </c>
      <c r="N45" s="73" t="s">
        <v>373</v>
      </c>
      <c r="O45" s="82" t="s">
        <v>50</v>
      </c>
      <c r="P45" s="81" t="str">
        <f t="shared" ref="P45:P102" si="2">+M45&amp;N45</f>
        <v>DQA1*0301DQB1*0201</v>
      </c>
      <c r="Q45" s="472" t="str">
        <f t="shared" si="0"/>
        <v>0</v>
      </c>
      <c r="R45" s="94"/>
      <c r="S45" s="98"/>
      <c r="AM45" s="95" t="str">
        <f t="shared" si="1"/>
        <v/>
      </c>
    </row>
    <row r="46" spans="2:39" ht="14.25" x14ac:dyDescent="0.45">
      <c r="B46"/>
      <c r="C46"/>
      <c r="D46"/>
      <c r="L46" s="79">
        <v>41</v>
      </c>
      <c r="M46" s="71" t="s">
        <v>375</v>
      </c>
      <c r="N46" s="73" t="s">
        <v>373</v>
      </c>
      <c r="O46" s="82" t="s">
        <v>50</v>
      </c>
      <c r="P46" s="81" t="str">
        <f t="shared" si="2"/>
        <v>DQA1*0401DQB1*0201</v>
      </c>
      <c r="Q46" s="472" t="str">
        <f t="shared" si="0"/>
        <v>0</v>
      </c>
      <c r="R46" s="94"/>
      <c r="S46" s="98"/>
      <c r="AM46" s="95" t="str">
        <f t="shared" si="1"/>
        <v/>
      </c>
    </row>
    <row r="47" spans="2:39" ht="14.25" x14ac:dyDescent="0.45">
      <c r="B47"/>
      <c r="C47"/>
      <c r="D47"/>
      <c r="L47" s="79">
        <v>42</v>
      </c>
      <c r="M47" s="71" t="s">
        <v>376</v>
      </c>
      <c r="N47" s="73" t="s">
        <v>373</v>
      </c>
      <c r="O47" s="82" t="s">
        <v>50</v>
      </c>
      <c r="P47" s="81" t="str">
        <f t="shared" si="2"/>
        <v>DQA1*0501DQB1*0201</v>
      </c>
      <c r="Q47" s="472" t="str">
        <f t="shared" si="0"/>
        <v>0</v>
      </c>
      <c r="R47" s="94"/>
      <c r="S47" s="98"/>
      <c r="AM47" s="95" t="str">
        <f t="shared" si="1"/>
        <v/>
      </c>
    </row>
    <row r="48" spans="2:39" ht="14.25" x14ac:dyDescent="0.45">
      <c r="B48"/>
      <c r="C48"/>
      <c r="D48"/>
      <c r="L48" s="79">
        <v>43</v>
      </c>
      <c r="M48" s="71" t="s">
        <v>372</v>
      </c>
      <c r="N48" s="73" t="s">
        <v>377</v>
      </c>
      <c r="O48" s="82" t="s">
        <v>50</v>
      </c>
      <c r="P48" s="81" t="str">
        <f t="shared" si="2"/>
        <v>DQA1*0201DQB1*0202</v>
      </c>
      <c r="Q48" s="472" t="str">
        <f t="shared" si="0"/>
        <v>0</v>
      </c>
      <c r="R48" s="94"/>
      <c r="S48" s="98"/>
      <c r="AM48" s="95" t="str">
        <f t="shared" si="1"/>
        <v/>
      </c>
    </row>
    <row r="49" spans="2:39" ht="14.25" x14ac:dyDescent="0.45">
      <c r="B49"/>
      <c r="C49"/>
      <c r="D49"/>
      <c r="L49" s="79">
        <v>44</v>
      </c>
      <c r="M49" s="71" t="s">
        <v>372</v>
      </c>
      <c r="N49" s="73" t="s">
        <v>378</v>
      </c>
      <c r="O49" s="87" t="s">
        <v>51</v>
      </c>
      <c r="P49" s="81" t="str">
        <f t="shared" si="2"/>
        <v>DQA1*0201DQB1*0401</v>
      </c>
      <c r="Q49" s="472" t="str">
        <f t="shared" si="0"/>
        <v>0</v>
      </c>
      <c r="R49" s="94"/>
      <c r="S49" s="98"/>
      <c r="AM49" s="95" t="str">
        <f t="shared" si="1"/>
        <v/>
      </c>
    </row>
    <row r="50" spans="2:39" ht="14.25" x14ac:dyDescent="0.45">
      <c r="B50"/>
      <c r="C50"/>
      <c r="D50"/>
      <c r="L50" s="79">
        <v>45</v>
      </c>
      <c r="M50" s="71" t="s">
        <v>379</v>
      </c>
      <c r="N50" s="73" t="s">
        <v>378</v>
      </c>
      <c r="O50" s="87" t="s">
        <v>51</v>
      </c>
      <c r="P50" s="81" t="str">
        <f t="shared" si="2"/>
        <v>DQA1*0303DQB1*0401</v>
      </c>
      <c r="Q50" s="472" t="str">
        <f t="shared" si="0"/>
        <v>0</v>
      </c>
      <c r="R50" s="94"/>
      <c r="S50" s="98"/>
      <c r="AM50" s="95" t="str">
        <f t="shared" si="1"/>
        <v/>
      </c>
    </row>
    <row r="51" spans="2:39" ht="14.25" x14ac:dyDescent="0.45">
      <c r="B51"/>
      <c r="C51"/>
      <c r="D51"/>
      <c r="L51" s="79">
        <v>46</v>
      </c>
      <c r="M51" s="71" t="s">
        <v>372</v>
      </c>
      <c r="N51" s="73" t="s">
        <v>380</v>
      </c>
      <c r="O51" s="87" t="s">
        <v>51</v>
      </c>
      <c r="P51" s="81" t="str">
        <f t="shared" si="2"/>
        <v>DQA1*0201DQB1*0402</v>
      </c>
      <c r="Q51" s="472" t="str">
        <f t="shared" si="0"/>
        <v>0</v>
      </c>
      <c r="R51" s="94"/>
      <c r="S51" s="98"/>
      <c r="AM51" s="95" t="str">
        <f t="shared" si="1"/>
        <v/>
      </c>
    </row>
    <row r="52" spans="2:39" ht="14.25" x14ac:dyDescent="0.45">
      <c r="B52"/>
      <c r="C52"/>
      <c r="D52"/>
      <c r="L52" s="79">
        <v>47</v>
      </c>
      <c r="M52" s="71" t="s">
        <v>375</v>
      </c>
      <c r="N52" s="73" t="s">
        <v>380</v>
      </c>
      <c r="O52" s="87" t="s">
        <v>51</v>
      </c>
      <c r="P52" s="81" t="str">
        <f t="shared" si="2"/>
        <v>DQA1*0401DQB1*0402</v>
      </c>
      <c r="Q52" s="472" t="str">
        <f t="shared" si="0"/>
        <v>0</v>
      </c>
      <c r="R52" s="94"/>
      <c r="S52" s="98"/>
      <c r="AM52" s="95" t="str">
        <f t="shared" si="1"/>
        <v/>
      </c>
    </row>
    <row r="53" spans="2:39" ht="14.25" x14ac:dyDescent="0.45">
      <c r="B53"/>
      <c r="C53"/>
      <c r="D53"/>
      <c r="L53" s="79">
        <v>48</v>
      </c>
      <c r="M53" s="71" t="s">
        <v>381</v>
      </c>
      <c r="N53" s="73" t="s">
        <v>382</v>
      </c>
      <c r="O53" s="92" t="s">
        <v>52</v>
      </c>
      <c r="P53" s="81" t="str">
        <f t="shared" si="2"/>
        <v>DQA1*0101DQB1*0501</v>
      </c>
      <c r="Q53" s="472" t="str">
        <f t="shared" si="0"/>
        <v>0</v>
      </c>
      <c r="R53" s="94"/>
      <c r="S53" s="98"/>
      <c r="AM53" s="95" t="str">
        <f t="shared" si="1"/>
        <v/>
      </c>
    </row>
    <row r="54" spans="2:39" ht="14.25" x14ac:dyDescent="0.45">
      <c r="B54"/>
      <c r="C54"/>
      <c r="D54"/>
      <c r="L54" s="79">
        <v>49</v>
      </c>
      <c r="M54" s="71" t="s">
        <v>383</v>
      </c>
      <c r="N54" s="73" t="s">
        <v>384</v>
      </c>
      <c r="O54" s="92" t="s">
        <v>52</v>
      </c>
      <c r="P54" s="81" t="str">
        <f t="shared" si="2"/>
        <v>DQA1*0102DQB1*0502</v>
      </c>
      <c r="Q54" s="472" t="str">
        <f t="shared" si="0"/>
        <v>0</v>
      </c>
      <c r="R54" s="94"/>
      <c r="S54" s="98"/>
      <c r="AM54" s="95" t="str">
        <f t="shared" si="1"/>
        <v/>
      </c>
    </row>
    <row r="55" spans="2:39" ht="14.25" x14ac:dyDescent="0.45">
      <c r="B55"/>
      <c r="C55"/>
      <c r="D55"/>
      <c r="L55" s="79">
        <v>50</v>
      </c>
      <c r="M55" s="71" t="s">
        <v>385</v>
      </c>
      <c r="N55" s="73" t="s">
        <v>386</v>
      </c>
      <c r="O55" s="80" t="s">
        <v>53</v>
      </c>
      <c r="P55" s="81" t="str">
        <f t="shared" si="2"/>
        <v>DQA1*0103DQB1*0601</v>
      </c>
      <c r="Q55" s="472" t="str">
        <f t="shared" si="0"/>
        <v>0</v>
      </c>
      <c r="R55" s="94"/>
      <c r="S55" s="98"/>
      <c r="AM55" s="95" t="str">
        <f t="shared" si="1"/>
        <v/>
      </c>
    </row>
    <row r="56" spans="2:39" ht="14.25" x14ac:dyDescent="0.45">
      <c r="B56"/>
      <c r="C56"/>
      <c r="D56"/>
      <c r="L56" s="79">
        <v>51</v>
      </c>
      <c r="M56" s="71" t="s">
        <v>383</v>
      </c>
      <c r="N56" s="73" t="s">
        <v>387</v>
      </c>
      <c r="O56" s="80" t="s">
        <v>53</v>
      </c>
      <c r="P56" s="81" t="str">
        <f t="shared" si="2"/>
        <v>DQA1*0102DQB1*0602</v>
      </c>
      <c r="Q56" s="472" t="str">
        <f t="shared" si="0"/>
        <v>0</v>
      </c>
      <c r="R56" s="94"/>
      <c r="S56" s="98"/>
      <c r="AM56" s="95" t="str">
        <f t="shared" si="1"/>
        <v/>
      </c>
    </row>
    <row r="57" spans="2:39" ht="14.25" x14ac:dyDescent="0.45">
      <c r="B57"/>
      <c r="C57"/>
      <c r="D57"/>
      <c r="L57" s="79">
        <v>52</v>
      </c>
      <c r="M57" s="71" t="s">
        <v>381</v>
      </c>
      <c r="N57" s="73" t="s">
        <v>387</v>
      </c>
      <c r="O57" s="80" t="s">
        <v>53</v>
      </c>
      <c r="P57" s="81" t="str">
        <f t="shared" si="2"/>
        <v>DQA1*0101DQB1*0602</v>
      </c>
      <c r="Q57" s="472" t="str">
        <f t="shared" si="0"/>
        <v>0</v>
      </c>
      <c r="R57" s="94"/>
      <c r="S57" s="98"/>
      <c r="AM57" s="95" t="str">
        <f t="shared" si="1"/>
        <v/>
      </c>
    </row>
    <row r="58" spans="2:39" ht="14.25" x14ac:dyDescent="0.45">
      <c r="B58"/>
      <c r="C58"/>
      <c r="D58"/>
      <c r="L58" s="79">
        <v>53</v>
      </c>
      <c r="M58" s="71" t="s">
        <v>385</v>
      </c>
      <c r="N58" s="73" t="s">
        <v>388</v>
      </c>
      <c r="O58" s="80" t="s">
        <v>53</v>
      </c>
      <c r="P58" s="81" t="str">
        <f t="shared" si="2"/>
        <v>DQA1*0103DQB1*0603</v>
      </c>
      <c r="Q58" s="472" t="str">
        <f t="shared" si="0"/>
        <v>0</v>
      </c>
      <c r="R58" s="94"/>
      <c r="S58" s="98"/>
      <c r="AM58" s="95" t="str">
        <f t="shared" si="1"/>
        <v/>
      </c>
    </row>
    <row r="59" spans="2:39" ht="14.25" x14ac:dyDescent="0.45">
      <c r="B59"/>
      <c r="C59"/>
      <c r="D59"/>
      <c r="L59" s="79">
        <v>54</v>
      </c>
      <c r="M59" s="71" t="s">
        <v>383</v>
      </c>
      <c r="N59" s="73" t="s">
        <v>389</v>
      </c>
      <c r="O59" s="80" t="s">
        <v>53</v>
      </c>
      <c r="P59" s="81" t="str">
        <f t="shared" si="2"/>
        <v>DQA1*0102DQB1*0604</v>
      </c>
      <c r="Q59" s="472" t="str">
        <f t="shared" si="0"/>
        <v>0</v>
      </c>
      <c r="R59" s="94"/>
      <c r="S59" s="98"/>
      <c r="AM59" s="95" t="str">
        <f t="shared" si="1"/>
        <v/>
      </c>
    </row>
    <row r="60" spans="2:39" ht="14.25" x14ac:dyDescent="0.45">
      <c r="B60"/>
      <c r="C60"/>
      <c r="D60"/>
      <c r="L60" s="79">
        <v>55</v>
      </c>
      <c r="M60" s="71" t="s">
        <v>383</v>
      </c>
      <c r="N60" s="73" t="s">
        <v>390</v>
      </c>
      <c r="O60" s="80" t="s">
        <v>53</v>
      </c>
      <c r="P60" s="81" t="str">
        <f t="shared" si="2"/>
        <v>DQA1*0102DQB1*0609</v>
      </c>
      <c r="Q60" s="472" t="str">
        <f t="shared" si="0"/>
        <v>0</v>
      </c>
      <c r="R60" s="94"/>
      <c r="S60" s="98"/>
      <c r="AM60" s="95" t="str">
        <f t="shared" si="1"/>
        <v/>
      </c>
    </row>
    <row r="61" spans="2:39" ht="14.25" x14ac:dyDescent="0.45">
      <c r="B61"/>
      <c r="C61"/>
      <c r="D61"/>
      <c r="L61" s="79">
        <v>56</v>
      </c>
      <c r="M61" s="71" t="s">
        <v>374</v>
      </c>
      <c r="N61" s="73" t="s">
        <v>391</v>
      </c>
      <c r="O61" s="74" t="s">
        <v>54</v>
      </c>
      <c r="P61" s="81" t="str">
        <f t="shared" si="2"/>
        <v>DQA1*0301DQB1*0301</v>
      </c>
      <c r="Q61" s="472" t="str">
        <f t="shared" si="0"/>
        <v>0</v>
      </c>
      <c r="R61" s="94"/>
      <c r="S61" s="98"/>
      <c r="AM61" s="95" t="str">
        <f t="shared" si="1"/>
        <v/>
      </c>
    </row>
    <row r="62" spans="2:39" ht="14.25" x14ac:dyDescent="0.45">
      <c r="B62"/>
      <c r="C62"/>
      <c r="D62"/>
      <c r="L62" s="79">
        <v>57</v>
      </c>
      <c r="M62" s="71" t="s">
        <v>372</v>
      </c>
      <c r="N62" s="73" t="s">
        <v>391</v>
      </c>
      <c r="O62" s="74" t="s">
        <v>54</v>
      </c>
      <c r="P62" s="81" t="str">
        <f t="shared" si="2"/>
        <v>DQA1*0201DQB1*0301</v>
      </c>
      <c r="Q62" s="472" t="str">
        <f t="shared" si="0"/>
        <v>0</v>
      </c>
      <c r="R62" s="94"/>
      <c r="S62" s="98"/>
      <c r="AM62" s="95" t="str">
        <f t="shared" si="1"/>
        <v/>
      </c>
    </row>
    <row r="63" spans="2:39" ht="14.25" x14ac:dyDescent="0.45">
      <c r="B63"/>
      <c r="C63"/>
      <c r="D63"/>
      <c r="L63" s="79">
        <v>58</v>
      </c>
      <c r="M63" s="71" t="s">
        <v>392</v>
      </c>
      <c r="N63" s="73" t="s">
        <v>391</v>
      </c>
      <c r="O63" s="74" t="s">
        <v>54</v>
      </c>
      <c r="P63" s="81" t="str">
        <f t="shared" si="2"/>
        <v>DQA1*0503DQB1*0301</v>
      </c>
      <c r="Q63" s="472" t="str">
        <f t="shared" si="0"/>
        <v>0</v>
      </c>
      <c r="R63" s="94"/>
      <c r="S63" s="98"/>
      <c r="AM63" s="95" t="str">
        <f t="shared" si="1"/>
        <v/>
      </c>
    </row>
    <row r="64" spans="2:39" ht="14.25" x14ac:dyDescent="0.45">
      <c r="B64"/>
      <c r="C64"/>
      <c r="D64"/>
      <c r="L64" s="79">
        <v>59</v>
      </c>
      <c r="M64" s="71" t="s">
        <v>393</v>
      </c>
      <c r="N64" s="73" t="s">
        <v>391</v>
      </c>
      <c r="O64" s="74" t="s">
        <v>54</v>
      </c>
      <c r="P64" s="81" t="str">
        <f t="shared" si="2"/>
        <v>DQA1*0505DQB1*0301</v>
      </c>
      <c r="Q64" s="472" t="str">
        <f t="shared" si="0"/>
        <v>0</v>
      </c>
      <c r="R64" s="94"/>
      <c r="S64" s="98"/>
      <c r="AM64" s="95" t="str">
        <f t="shared" si="1"/>
        <v/>
      </c>
    </row>
    <row r="65" spans="2:39" ht="14.25" x14ac:dyDescent="0.45">
      <c r="B65"/>
      <c r="C65"/>
      <c r="D65"/>
      <c r="L65" s="79">
        <v>60</v>
      </c>
      <c r="M65" s="71" t="s">
        <v>394</v>
      </c>
      <c r="N65" s="73" t="s">
        <v>391</v>
      </c>
      <c r="O65" s="74" t="s">
        <v>54</v>
      </c>
      <c r="P65" s="81" t="str">
        <f t="shared" si="2"/>
        <v>DQA1*0601DQB1*0301</v>
      </c>
      <c r="Q65" s="472" t="str">
        <f t="shared" si="0"/>
        <v>0</v>
      </c>
      <c r="R65" s="94"/>
      <c r="S65" s="98"/>
      <c r="AM65" s="95" t="str">
        <f t="shared" si="1"/>
        <v/>
      </c>
    </row>
    <row r="66" spans="2:39" ht="14.25" x14ac:dyDescent="0.45">
      <c r="B66"/>
      <c r="C66"/>
      <c r="D66"/>
      <c r="L66" s="79">
        <v>61</v>
      </c>
      <c r="M66" s="71" t="s">
        <v>372</v>
      </c>
      <c r="N66" s="73" t="s">
        <v>395</v>
      </c>
      <c r="O66" s="84" t="s">
        <v>55</v>
      </c>
      <c r="P66" s="81" t="str">
        <f t="shared" si="2"/>
        <v>DQA1*0201DQB1*0302</v>
      </c>
      <c r="Q66" s="472" t="str">
        <f t="shared" si="0"/>
        <v>0</v>
      </c>
      <c r="R66" s="94"/>
      <c r="S66" s="98"/>
      <c r="AM66" s="95" t="str">
        <f t="shared" si="1"/>
        <v/>
      </c>
    </row>
    <row r="67" spans="2:39" ht="14.25" x14ac:dyDescent="0.45">
      <c r="B67"/>
      <c r="C67"/>
      <c r="D67"/>
      <c r="L67" s="79">
        <v>62</v>
      </c>
      <c r="M67" s="71" t="s">
        <v>374</v>
      </c>
      <c r="N67" s="73" t="s">
        <v>395</v>
      </c>
      <c r="O67" s="84" t="s">
        <v>55</v>
      </c>
      <c r="P67" s="81" t="str">
        <f t="shared" si="2"/>
        <v>DQA1*0301DQB1*0302</v>
      </c>
      <c r="Q67" s="472" t="str">
        <f t="shared" si="0"/>
        <v>0</v>
      </c>
      <c r="R67" s="94"/>
      <c r="S67" s="98"/>
      <c r="AM67" s="95" t="str">
        <f t="shared" si="1"/>
        <v/>
      </c>
    </row>
    <row r="68" spans="2:39" ht="14.25" x14ac:dyDescent="0.45">
      <c r="B68"/>
      <c r="C68"/>
      <c r="D68"/>
      <c r="L68" s="79">
        <v>63</v>
      </c>
      <c r="M68" s="71" t="s">
        <v>396</v>
      </c>
      <c r="N68" s="73" t="s">
        <v>395</v>
      </c>
      <c r="O68" s="84" t="s">
        <v>55</v>
      </c>
      <c r="P68" s="81" t="str">
        <f t="shared" si="2"/>
        <v>DQA1*0302DQB1*0302</v>
      </c>
      <c r="Q68" s="472" t="str">
        <f t="shared" si="0"/>
        <v>0</v>
      </c>
      <c r="R68" s="94"/>
      <c r="S68" s="98"/>
      <c r="AM68" s="95" t="str">
        <f t="shared" si="1"/>
        <v/>
      </c>
    </row>
    <row r="69" spans="2:39" ht="14.25" x14ac:dyDescent="0.45">
      <c r="B69"/>
      <c r="C69"/>
      <c r="D69"/>
      <c r="L69" s="79">
        <v>64</v>
      </c>
      <c r="M69" s="71" t="s">
        <v>372</v>
      </c>
      <c r="N69" s="73" t="s">
        <v>397</v>
      </c>
      <c r="O69" s="90" t="s">
        <v>56</v>
      </c>
      <c r="P69" s="81" t="str">
        <f t="shared" si="2"/>
        <v>DQA1*0201DQB1*0303</v>
      </c>
      <c r="Q69" s="472" t="str">
        <f t="shared" si="0"/>
        <v>0</v>
      </c>
      <c r="R69" s="94"/>
      <c r="S69" s="98"/>
      <c r="AM69" s="95" t="str">
        <f t="shared" si="1"/>
        <v/>
      </c>
    </row>
    <row r="70" spans="2:39" ht="14.25" x14ac:dyDescent="0.45">
      <c r="B70"/>
      <c r="C70"/>
      <c r="D70"/>
      <c r="L70" s="79">
        <v>65</v>
      </c>
      <c r="M70" s="71" t="s">
        <v>374</v>
      </c>
      <c r="N70" s="73" t="s">
        <v>397</v>
      </c>
      <c r="O70" s="90" t="s">
        <v>56</v>
      </c>
      <c r="P70" s="81" t="str">
        <f t="shared" si="2"/>
        <v>DQA1*0301DQB1*0303</v>
      </c>
      <c r="Q70" s="472" t="str">
        <f t="shared" si="0"/>
        <v>0</v>
      </c>
      <c r="R70" s="94"/>
      <c r="S70" s="98"/>
      <c r="AM70" s="95" t="str">
        <f t="shared" si="1"/>
        <v/>
      </c>
    </row>
    <row r="71" spans="2:39" ht="14.25" x14ac:dyDescent="0.45">
      <c r="B71"/>
      <c r="C71"/>
      <c r="D71"/>
      <c r="L71" s="79">
        <v>66</v>
      </c>
      <c r="M71" s="71" t="s">
        <v>396</v>
      </c>
      <c r="N71" s="73" t="s">
        <v>397</v>
      </c>
      <c r="O71" s="90" t="s">
        <v>56</v>
      </c>
      <c r="P71" s="81" t="str">
        <f t="shared" si="2"/>
        <v>DQA1*0302DQB1*0303</v>
      </c>
      <c r="Q71" s="472" t="str">
        <f t="shared" si="0"/>
        <v>0</v>
      </c>
      <c r="R71" s="94"/>
      <c r="S71" s="98"/>
      <c r="AM71" s="95" t="str">
        <f t="shared" si="1"/>
        <v/>
      </c>
    </row>
    <row r="72" spans="2:39" ht="14.25" x14ac:dyDescent="0.45">
      <c r="B72"/>
      <c r="C72"/>
      <c r="D72"/>
      <c r="L72" s="79">
        <v>67</v>
      </c>
      <c r="M72" s="71" t="s">
        <v>398</v>
      </c>
      <c r="N72" s="78" t="s">
        <v>399</v>
      </c>
      <c r="O72" s="97" t="s">
        <v>137</v>
      </c>
      <c r="P72" s="81" t="str">
        <f t="shared" si="2"/>
        <v>DPA1*0103DPB1*0101</v>
      </c>
      <c r="Q72" s="472" t="str">
        <f t="shared" si="0"/>
        <v>0</v>
      </c>
      <c r="R72" s="94"/>
      <c r="AM72" s="95" t="str">
        <f t="shared" si="1"/>
        <v/>
      </c>
    </row>
    <row r="73" spans="2:39" ht="14.25" x14ac:dyDescent="0.45">
      <c r="B73"/>
      <c r="C73"/>
      <c r="D73"/>
      <c r="L73" s="79">
        <v>68</v>
      </c>
      <c r="M73" s="71" t="s">
        <v>400</v>
      </c>
      <c r="N73" s="78" t="s">
        <v>399</v>
      </c>
      <c r="O73" s="97" t="s">
        <v>137</v>
      </c>
      <c r="P73" s="81" t="str">
        <f t="shared" si="2"/>
        <v>DPA1*0201DPB1*0101</v>
      </c>
      <c r="Q73" s="472" t="str">
        <f t="shared" ref="Q73:Q102" si="3">+IF(ISERROR(INDEX($D$8:$D$150,MATCH(P73,$AM$8:$AM$150,0))),"0",INDEX($D$8:$D$150,MATCH(P73,$AM$8:$AM$150,0)))</f>
        <v>0</v>
      </c>
      <c r="R73" s="94"/>
      <c r="AM73" s="95" t="str">
        <f t="shared" ref="AM73:AM136" si="4">+B73&amp;C73</f>
        <v/>
      </c>
    </row>
    <row r="74" spans="2:39" ht="14.25" x14ac:dyDescent="0.45">
      <c r="B74"/>
      <c r="C74"/>
      <c r="D74"/>
      <c r="L74" s="79">
        <v>69</v>
      </c>
      <c r="M74" s="71" t="s">
        <v>398</v>
      </c>
      <c r="N74" s="72" t="s">
        <v>401</v>
      </c>
      <c r="O74" s="97" t="s">
        <v>140</v>
      </c>
      <c r="P74" s="81" t="str">
        <f t="shared" si="2"/>
        <v>DPA1*0103DPB1*0201</v>
      </c>
      <c r="Q74" s="472" t="str">
        <f t="shared" si="3"/>
        <v>0</v>
      </c>
      <c r="R74" s="94"/>
      <c r="AM74" s="95" t="str">
        <f t="shared" si="4"/>
        <v/>
      </c>
    </row>
    <row r="75" spans="2:39" ht="14.25" x14ac:dyDescent="0.45">
      <c r="B75"/>
      <c r="C75"/>
      <c r="D75"/>
      <c r="L75" s="79">
        <v>70</v>
      </c>
      <c r="M75" s="71" t="s">
        <v>402</v>
      </c>
      <c r="N75" s="78" t="s">
        <v>403</v>
      </c>
      <c r="O75" s="97" t="s">
        <v>143</v>
      </c>
      <c r="P75" s="81" t="str">
        <f t="shared" si="2"/>
        <v>DPA1*0202DPB1*0501</v>
      </c>
      <c r="Q75" s="472" t="str">
        <f t="shared" si="3"/>
        <v>0</v>
      </c>
      <c r="R75" s="94"/>
      <c r="AM75" s="95" t="str">
        <f t="shared" si="4"/>
        <v/>
      </c>
    </row>
    <row r="76" spans="2:39" ht="14.25" x14ac:dyDescent="0.45">
      <c r="B76"/>
      <c r="C76"/>
      <c r="D76"/>
      <c r="L76" s="79">
        <v>71</v>
      </c>
      <c r="M76" s="71" t="s">
        <v>398</v>
      </c>
      <c r="N76" s="96" t="s">
        <v>404</v>
      </c>
      <c r="O76" s="97" t="s">
        <v>145</v>
      </c>
      <c r="P76" s="81" t="str">
        <f t="shared" si="2"/>
        <v>DPA1*0103DPB1*0301</v>
      </c>
      <c r="Q76" s="472" t="str">
        <f t="shared" si="3"/>
        <v>0</v>
      </c>
      <c r="R76" s="94"/>
      <c r="AM76" s="95" t="str">
        <f t="shared" si="4"/>
        <v/>
      </c>
    </row>
    <row r="77" spans="2:39" ht="14.25" x14ac:dyDescent="0.45">
      <c r="B77"/>
      <c r="C77"/>
      <c r="D77"/>
      <c r="L77" s="79">
        <v>72</v>
      </c>
      <c r="M77" s="71" t="s">
        <v>405</v>
      </c>
      <c r="N77" s="96" t="s">
        <v>404</v>
      </c>
      <c r="O77" s="97" t="s">
        <v>145</v>
      </c>
      <c r="P77" s="81" t="str">
        <f t="shared" si="2"/>
        <v>DPA1*0105DPB1*0301</v>
      </c>
      <c r="Q77" s="472" t="str">
        <f t="shared" si="3"/>
        <v>0</v>
      </c>
      <c r="R77" s="94"/>
      <c r="AM77" s="95" t="str">
        <f t="shared" si="4"/>
        <v/>
      </c>
    </row>
    <row r="78" spans="2:39" ht="14.25" x14ac:dyDescent="0.45">
      <c r="B78"/>
      <c r="C78"/>
      <c r="D78"/>
      <c r="L78" s="79">
        <v>73</v>
      </c>
      <c r="M78" s="71" t="s">
        <v>400</v>
      </c>
      <c r="N78" s="96" t="s">
        <v>404</v>
      </c>
      <c r="O78" s="97" t="s">
        <v>145</v>
      </c>
      <c r="P78" s="81" t="str">
        <f t="shared" si="2"/>
        <v>DPA1*0201DPB1*0301</v>
      </c>
      <c r="Q78" s="472" t="str">
        <f t="shared" si="3"/>
        <v>0</v>
      </c>
      <c r="R78" s="94"/>
      <c r="AM78" s="95" t="str">
        <f t="shared" si="4"/>
        <v/>
      </c>
    </row>
    <row r="79" spans="2:39" ht="14.25" x14ac:dyDescent="0.45">
      <c r="B79"/>
      <c r="C79"/>
      <c r="D79"/>
      <c r="L79" s="79">
        <v>74</v>
      </c>
      <c r="M79" s="71" t="s">
        <v>398</v>
      </c>
      <c r="N79" s="83" t="s">
        <v>406</v>
      </c>
      <c r="O79" s="97" t="s">
        <v>148</v>
      </c>
      <c r="P79" s="81" t="str">
        <f t="shared" si="2"/>
        <v>DPA1*0103DPB1*0401</v>
      </c>
      <c r="Q79" s="472" t="str">
        <f t="shared" si="3"/>
        <v>0</v>
      </c>
      <c r="R79" s="94"/>
      <c r="AM79" s="95" t="str">
        <f t="shared" si="4"/>
        <v/>
      </c>
    </row>
    <row r="80" spans="2:39" ht="14.25" x14ac:dyDescent="0.45">
      <c r="B80"/>
      <c r="C80"/>
      <c r="D80"/>
      <c r="L80" s="79">
        <v>75</v>
      </c>
      <c r="M80" s="71" t="s">
        <v>398</v>
      </c>
      <c r="N80" s="72" t="s">
        <v>407</v>
      </c>
      <c r="O80" s="97" t="s">
        <v>148</v>
      </c>
      <c r="P80" s="81" t="str">
        <f t="shared" si="2"/>
        <v>DPA1*0103DPB1*0402</v>
      </c>
      <c r="Q80" s="472" t="str">
        <f t="shared" si="3"/>
        <v>0</v>
      </c>
      <c r="R80" s="94"/>
      <c r="AM80" s="95" t="str">
        <f t="shared" si="4"/>
        <v/>
      </c>
    </row>
    <row r="81" spans="2:39" ht="14.25" x14ac:dyDescent="0.45">
      <c r="B81"/>
      <c r="C81"/>
      <c r="D81"/>
      <c r="L81" s="79">
        <v>76</v>
      </c>
      <c r="M81" s="71" t="s">
        <v>400</v>
      </c>
      <c r="N81" s="78" t="s">
        <v>403</v>
      </c>
      <c r="O81" s="97" t="s">
        <v>143</v>
      </c>
      <c r="P81" s="81" t="str">
        <f t="shared" si="2"/>
        <v>DPA1*0201DPB1*0501</v>
      </c>
      <c r="Q81" s="472" t="str">
        <f t="shared" si="3"/>
        <v>0</v>
      </c>
      <c r="R81" s="94"/>
      <c r="AM81" s="95" t="str">
        <f t="shared" si="4"/>
        <v/>
      </c>
    </row>
    <row r="82" spans="2:39" ht="14.25" x14ac:dyDescent="0.45">
      <c r="B82"/>
      <c r="C82"/>
      <c r="D82"/>
      <c r="L82" s="79">
        <v>77</v>
      </c>
      <c r="M82" s="71" t="s">
        <v>400</v>
      </c>
      <c r="N82" s="96" t="s">
        <v>408</v>
      </c>
      <c r="O82" s="97" t="s">
        <v>151</v>
      </c>
      <c r="P82" s="81" t="str">
        <f t="shared" si="2"/>
        <v>DPA1*0201DPB1*0601</v>
      </c>
      <c r="Q82" s="472" t="str">
        <f t="shared" si="3"/>
        <v>0</v>
      </c>
      <c r="R82" s="94"/>
      <c r="AM82" s="95" t="str">
        <f t="shared" si="4"/>
        <v/>
      </c>
    </row>
    <row r="83" spans="2:39" ht="14.25" x14ac:dyDescent="0.45">
      <c r="B83"/>
      <c r="C83"/>
      <c r="D83"/>
      <c r="L83" s="79">
        <v>78</v>
      </c>
      <c r="M83" s="71" t="s">
        <v>398</v>
      </c>
      <c r="N83" s="96" t="s">
        <v>408</v>
      </c>
      <c r="O83" s="97" t="s">
        <v>151</v>
      </c>
      <c r="P83" s="81" t="str">
        <f t="shared" si="2"/>
        <v>DPA1*0103DPB1*0601</v>
      </c>
      <c r="Q83" s="472" t="str">
        <f t="shared" si="3"/>
        <v>0</v>
      </c>
      <c r="R83" s="94"/>
      <c r="AM83" s="95" t="str">
        <f t="shared" si="4"/>
        <v/>
      </c>
    </row>
    <row r="84" spans="2:39" ht="14.25" x14ac:dyDescent="0.45">
      <c r="B84"/>
      <c r="C84"/>
      <c r="D84"/>
      <c r="L84" s="79">
        <v>79</v>
      </c>
      <c r="M84" s="71" t="s">
        <v>400</v>
      </c>
      <c r="N84" s="96" t="s">
        <v>409</v>
      </c>
      <c r="O84" s="97" t="s">
        <v>153</v>
      </c>
      <c r="P84" s="81" t="str">
        <f t="shared" si="2"/>
        <v>DPA1*0201DPB1*0901</v>
      </c>
      <c r="Q84" s="472" t="str">
        <f t="shared" si="3"/>
        <v>0</v>
      </c>
      <c r="R84" s="94"/>
      <c r="AM84" s="95" t="str">
        <f t="shared" si="4"/>
        <v/>
      </c>
    </row>
    <row r="85" spans="2:39" ht="14.25" x14ac:dyDescent="0.45">
      <c r="B85"/>
      <c r="C85"/>
      <c r="D85"/>
      <c r="L85" s="79">
        <v>80</v>
      </c>
      <c r="M85" s="89" t="s">
        <v>402</v>
      </c>
      <c r="N85" s="78" t="s">
        <v>410</v>
      </c>
      <c r="O85" s="97" t="s">
        <v>155</v>
      </c>
      <c r="P85" s="81" t="str">
        <f t="shared" si="2"/>
        <v>DPA1*0202DPB1*1001</v>
      </c>
      <c r="Q85" s="472" t="str">
        <f t="shared" si="3"/>
        <v>0</v>
      </c>
      <c r="R85" s="94"/>
      <c r="AM85" s="95" t="str">
        <f t="shared" si="4"/>
        <v/>
      </c>
    </row>
    <row r="86" spans="2:39" ht="14.25" x14ac:dyDescent="0.45">
      <c r="B86"/>
      <c r="C86"/>
      <c r="D86"/>
      <c r="L86" s="79">
        <v>82</v>
      </c>
      <c r="M86" s="71" t="s">
        <v>398</v>
      </c>
      <c r="N86" s="78" t="s">
        <v>411</v>
      </c>
      <c r="O86" s="97" t="s">
        <v>157</v>
      </c>
      <c r="P86" s="81" t="str">
        <f t="shared" si="2"/>
        <v>DPA1*0103DPB1*1101</v>
      </c>
      <c r="Q86" s="472" t="str">
        <f t="shared" si="3"/>
        <v>0</v>
      </c>
      <c r="R86" s="94"/>
      <c r="AM86" s="95" t="str">
        <f t="shared" si="4"/>
        <v/>
      </c>
    </row>
    <row r="87" spans="2:39" ht="14.25" x14ac:dyDescent="0.45">
      <c r="B87"/>
      <c r="C87"/>
      <c r="D87"/>
      <c r="L87" s="79">
        <v>83</v>
      </c>
      <c r="M87" s="71" t="s">
        <v>398</v>
      </c>
      <c r="N87" s="72" t="s">
        <v>412</v>
      </c>
      <c r="O87" s="97" t="s">
        <v>159</v>
      </c>
      <c r="P87" s="81" t="str">
        <f t="shared" si="2"/>
        <v>DPA1*0103DPB1*2801</v>
      </c>
      <c r="Q87" s="472" t="str">
        <f t="shared" si="3"/>
        <v>0</v>
      </c>
      <c r="R87" s="94"/>
      <c r="AM87" s="95" t="str">
        <f t="shared" si="4"/>
        <v/>
      </c>
    </row>
    <row r="88" spans="2:39" ht="14.25" x14ac:dyDescent="0.45">
      <c r="B88"/>
      <c r="C88"/>
      <c r="D88"/>
      <c r="L88" s="79">
        <v>84</v>
      </c>
      <c r="M88" s="71" t="s">
        <v>400</v>
      </c>
      <c r="N88" s="78" t="s">
        <v>413</v>
      </c>
      <c r="O88" s="97" t="s">
        <v>161</v>
      </c>
      <c r="P88" s="81" t="str">
        <f t="shared" si="2"/>
        <v>DPA1*0201DPB1*1301</v>
      </c>
      <c r="Q88" s="472" t="str">
        <f t="shared" si="3"/>
        <v>0</v>
      </c>
      <c r="R88" s="94"/>
      <c r="AM88" s="95" t="str">
        <f t="shared" si="4"/>
        <v/>
      </c>
    </row>
    <row r="89" spans="2:39" x14ac:dyDescent="0.25">
      <c r="B89"/>
      <c r="C89"/>
      <c r="D89"/>
      <c r="L89" s="79">
        <v>85</v>
      </c>
      <c r="M89" s="71" t="s">
        <v>402</v>
      </c>
      <c r="N89" s="78" t="s">
        <v>413</v>
      </c>
      <c r="O89" s="97" t="s">
        <v>161</v>
      </c>
      <c r="P89" s="81" t="str">
        <f t="shared" si="2"/>
        <v>DPA1*0202DPB1*1301</v>
      </c>
      <c r="Q89" s="472" t="str">
        <f t="shared" si="3"/>
        <v>0</v>
      </c>
      <c r="R89" s="94"/>
      <c r="AM89" s="95" t="str">
        <f t="shared" si="4"/>
        <v/>
      </c>
    </row>
    <row r="90" spans="2:39" x14ac:dyDescent="0.25">
      <c r="B90"/>
      <c r="C90"/>
      <c r="D90"/>
      <c r="L90" s="79">
        <v>86</v>
      </c>
      <c r="M90" s="71" t="s">
        <v>414</v>
      </c>
      <c r="N90" s="78" t="s">
        <v>413</v>
      </c>
      <c r="O90" s="97" t="s">
        <v>161</v>
      </c>
      <c r="P90" s="81" t="str">
        <f t="shared" si="2"/>
        <v>DPA1*0301DPB1*1301</v>
      </c>
      <c r="Q90" s="472" t="str">
        <f t="shared" si="3"/>
        <v>0</v>
      </c>
      <c r="R90" s="94"/>
      <c r="AM90" s="95" t="str">
        <f t="shared" si="4"/>
        <v/>
      </c>
    </row>
    <row r="91" spans="2:39" x14ac:dyDescent="0.25">
      <c r="B91"/>
      <c r="C91"/>
      <c r="D91"/>
      <c r="L91" s="79">
        <v>87</v>
      </c>
      <c r="M91" s="71" t="s">
        <v>400</v>
      </c>
      <c r="N91" s="96" t="s">
        <v>415</v>
      </c>
      <c r="O91" s="97" t="s">
        <v>164</v>
      </c>
      <c r="P91" s="81" t="str">
        <f t="shared" si="2"/>
        <v>DPA1*0201DPB1*1401</v>
      </c>
      <c r="Q91" s="472" t="str">
        <f t="shared" si="3"/>
        <v>0</v>
      </c>
      <c r="R91" s="94"/>
      <c r="AM91" s="95" t="str">
        <f t="shared" si="4"/>
        <v/>
      </c>
    </row>
    <row r="92" spans="2:39" x14ac:dyDescent="0.25">
      <c r="B92"/>
      <c r="C92"/>
      <c r="D92"/>
      <c r="L92" s="79">
        <v>88</v>
      </c>
      <c r="M92" s="71" t="s">
        <v>400</v>
      </c>
      <c r="N92" s="83" t="s">
        <v>416</v>
      </c>
      <c r="O92" s="97" t="s">
        <v>166</v>
      </c>
      <c r="P92" s="81" t="str">
        <f t="shared" si="2"/>
        <v>DPA1*0201DPB1*1501</v>
      </c>
      <c r="Q92" s="472" t="str">
        <f t="shared" si="3"/>
        <v>0</v>
      </c>
      <c r="R92" s="94"/>
      <c r="AM92" s="95" t="str">
        <f t="shared" si="4"/>
        <v/>
      </c>
    </row>
    <row r="93" spans="2:39" x14ac:dyDescent="0.25">
      <c r="B93"/>
      <c r="C93"/>
      <c r="D93"/>
      <c r="L93" s="79">
        <v>89</v>
      </c>
      <c r="M93" s="71" t="s">
        <v>400</v>
      </c>
      <c r="N93" s="96" t="s">
        <v>417</v>
      </c>
      <c r="O93" s="97" t="s">
        <v>168</v>
      </c>
      <c r="P93" s="81" t="str">
        <f t="shared" si="2"/>
        <v>DPA1*0201DPB1*1701</v>
      </c>
      <c r="Q93" s="472" t="str">
        <f t="shared" si="3"/>
        <v>0</v>
      </c>
      <c r="R93" s="94"/>
      <c r="AM93" s="95" t="str">
        <f t="shared" si="4"/>
        <v/>
      </c>
    </row>
    <row r="94" spans="2:39" x14ac:dyDescent="0.25">
      <c r="B94"/>
      <c r="C94"/>
      <c r="D94"/>
      <c r="L94" s="79">
        <v>90</v>
      </c>
      <c r="M94" s="71" t="s">
        <v>400</v>
      </c>
      <c r="N94" s="72" t="s">
        <v>418</v>
      </c>
      <c r="O94" s="97" t="s">
        <v>170</v>
      </c>
      <c r="P94" s="81" t="str">
        <f t="shared" si="2"/>
        <v>DPA1*0201DPB1*1801</v>
      </c>
      <c r="Q94" s="472" t="str">
        <f t="shared" si="3"/>
        <v>0</v>
      </c>
      <c r="R94" s="94"/>
      <c r="AM94" s="95" t="str">
        <f t="shared" si="4"/>
        <v/>
      </c>
    </row>
    <row r="95" spans="2:39" x14ac:dyDescent="0.25">
      <c r="B95"/>
      <c r="C95"/>
      <c r="D95"/>
      <c r="L95" s="79">
        <v>91</v>
      </c>
      <c r="M95" s="71" t="s">
        <v>405</v>
      </c>
      <c r="N95" s="72" t="s">
        <v>418</v>
      </c>
      <c r="O95" s="97" t="s">
        <v>170</v>
      </c>
      <c r="P95" s="81" t="str">
        <f t="shared" si="2"/>
        <v>DPA1*0105DPB1*1801</v>
      </c>
      <c r="Q95" s="472" t="str">
        <f t="shared" si="3"/>
        <v>0</v>
      </c>
      <c r="R95" s="94"/>
      <c r="AM95" s="95" t="str">
        <f t="shared" si="4"/>
        <v/>
      </c>
    </row>
    <row r="96" spans="2:39" x14ac:dyDescent="0.25">
      <c r="B96"/>
      <c r="C96"/>
      <c r="D96"/>
      <c r="L96" s="79">
        <v>92</v>
      </c>
      <c r="M96" s="71" t="s">
        <v>419</v>
      </c>
      <c r="N96" s="72" t="s">
        <v>418</v>
      </c>
      <c r="O96" s="97" t="s">
        <v>170</v>
      </c>
      <c r="P96" s="81" t="str">
        <f t="shared" si="2"/>
        <v>DPA1*0104DPB1*1801</v>
      </c>
      <c r="Q96" s="472" t="str">
        <f t="shared" si="3"/>
        <v>0</v>
      </c>
      <c r="R96" s="94"/>
      <c r="AM96" s="95" t="str">
        <f t="shared" si="4"/>
        <v/>
      </c>
    </row>
    <row r="97" spans="2:39" x14ac:dyDescent="0.25">
      <c r="B97"/>
      <c r="C97"/>
      <c r="D97"/>
      <c r="L97" s="79">
        <v>93</v>
      </c>
      <c r="M97" s="71" t="s">
        <v>398</v>
      </c>
      <c r="N97" s="78" t="s">
        <v>420</v>
      </c>
      <c r="O97" s="97" t="s">
        <v>173</v>
      </c>
      <c r="P97" s="81" t="str">
        <f t="shared" si="2"/>
        <v>DPA1*0103DPB1*1901</v>
      </c>
      <c r="Q97" s="472" t="str">
        <f t="shared" si="3"/>
        <v>0</v>
      </c>
      <c r="R97" s="94"/>
      <c r="AM97" s="95" t="str">
        <f t="shared" si="4"/>
        <v/>
      </c>
    </row>
    <row r="98" spans="2:39" x14ac:dyDescent="0.25">
      <c r="B98"/>
      <c r="C98"/>
      <c r="D98"/>
      <c r="L98" s="79">
        <v>94</v>
      </c>
      <c r="M98" s="71" t="s">
        <v>414</v>
      </c>
      <c r="N98" s="96" t="s">
        <v>421</v>
      </c>
      <c r="O98" s="97" t="s">
        <v>175</v>
      </c>
      <c r="P98" s="81" t="str">
        <f t="shared" si="2"/>
        <v>DPA1*0301DPB1*2001</v>
      </c>
      <c r="Q98" s="472" t="str">
        <f t="shared" si="3"/>
        <v>0</v>
      </c>
      <c r="R98" s="94"/>
      <c r="AM98" s="95" t="str">
        <f t="shared" si="4"/>
        <v/>
      </c>
    </row>
    <row r="99" spans="2:39" x14ac:dyDescent="0.25">
      <c r="B99"/>
      <c r="C99"/>
      <c r="D99"/>
      <c r="L99" s="79">
        <v>95</v>
      </c>
      <c r="M99" s="71" t="s">
        <v>398</v>
      </c>
      <c r="N99" s="83" t="s">
        <v>422</v>
      </c>
      <c r="O99" s="97" t="s">
        <v>177</v>
      </c>
      <c r="P99" s="81" t="str">
        <f t="shared" si="2"/>
        <v>DPA1*0103DPB1*2301</v>
      </c>
      <c r="Q99" s="472" t="str">
        <f t="shared" si="3"/>
        <v>0</v>
      </c>
      <c r="R99" s="94"/>
      <c r="AM99" s="95" t="str">
        <f t="shared" si="4"/>
        <v/>
      </c>
    </row>
    <row r="100" spans="2:39" x14ac:dyDescent="0.25">
      <c r="B100"/>
      <c r="C100"/>
      <c r="D100"/>
      <c r="L100" s="79">
        <v>96</v>
      </c>
      <c r="M100" s="71" t="s">
        <v>405</v>
      </c>
      <c r="N100" s="72" t="s">
        <v>412</v>
      </c>
      <c r="O100" s="97" t="s">
        <v>159</v>
      </c>
      <c r="P100" s="81" t="str">
        <f t="shared" si="2"/>
        <v>DPA1*0105DPB1*2801</v>
      </c>
      <c r="Q100" s="472" t="str">
        <f t="shared" si="3"/>
        <v>0</v>
      </c>
      <c r="R100" s="94"/>
      <c r="AM100" s="95" t="str">
        <f t="shared" si="4"/>
        <v/>
      </c>
    </row>
    <row r="101" spans="2:39" x14ac:dyDescent="0.25">
      <c r="B101"/>
      <c r="C101"/>
      <c r="D101"/>
      <c r="L101" s="79">
        <v>97</v>
      </c>
      <c r="M101" s="71" t="s">
        <v>423</v>
      </c>
      <c r="N101" s="72" t="s">
        <v>412</v>
      </c>
      <c r="O101" s="97" t="s">
        <v>159</v>
      </c>
      <c r="P101" s="81" t="str">
        <f t="shared" si="2"/>
        <v>DPA1*0401DPB1*2801</v>
      </c>
      <c r="Q101" s="472" t="str">
        <f t="shared" si="3"/>
        <v>0</v>
      </c>
      <c r="R101" s="94"/>
      <c r="AM101" s="95" t="str">
        <f t="shared" si="4"/>
        <v/>
      </c>
    </row>
    <row r="102" spans="2:39" x14ac:dyDescent="0.25">
      <c r="B102"/>
      <c r="C102"/>
      <c r="D102"/>
      <c r="L102" s="79">
        <v>98</v>
      </c>
      <c r="M102" s="71" t="s">
        <v>402</v>
      </c>
      <c r="N102" s="78" t="s">
        <v>411</v>
      </c>
      <c r="O102" s="97" t="s">
        <v>157</v>
      </c>
      <c r="P102" s="81" t="str">
        <f t="shared" si="2"/>
        <v>DPA1*0202DPB1*1101</v>
      </c>
      <c r="Q102" s="472" t="str">
        <f t="shared" si="3"/>
        <v>0</v>
      </c>
      <c r="R102" s="94"/>
      <c r="AM102" s="95" t="str">
        <f t="shared" si="4"/>
        <v/>
      </c>
    </row>
    <row r="103" spans="2:39" ht="15.75" thickBot="1" x14ac:dyDescent="0.3">
      <c r="B103"/>
      <c r="C103"/>
      <c r="D103"/>
      <c r="L103" s="77"/>
      <c r="M103" s="88"/>
      <c r="N103" s="88"/>
      <c r="O103" s="88"/>
      <c r="P103" s="88"/>
      <c r="Q103" s="88"/>
      <c r="R103" s="93"/>
      <c r="AM103" s="95" t="str">
        <f t="shared" si="4"/>
        <v/>
      </c>
    </row>
    <row r="104" spans="2:39" ht="15.75" thickTop="1" x14ac:dyDescent="0.25">
      <c r="B104"/>
      <c r="C104"/>
      <c r="D104"/>
      <c r="AM104" s="95" t="str">
        <f t="shared" si="4"/>
        <v/>
      </c>
    </row>
    <row r="105" spans="2:39" x14ac:dyDescent="0.25">
      <c r="B105"/>
      <c r="C105"/>
      <c r="D105"/>
      <c r="AM105" s="95" t="str">
        <f t="shared" si="4"/>
        <v/>
      </c>
    </row>
    <row r="106" spans="2:39" x14ac:dyDescent="0.25">
      <c r="B106"/>
      <c r="C106"/>
      <c r="D106"/>
      <c r="AM106" s="95" t="str">
        <f t="shared" si="4"/>
        <v/>
      </c>
    </row>
    <row r="107" spans="2:39" x14ac:dyDescent="0.25">
      <c r="B107"/>
      <c r="C107"/>
      <c r="D107"/>
      <c r="AM107" s="95" t="str">
        <f t="shared" si="4"/>
        <v/>
      </c>
    </row>
    <row r="108" spans="2:39" x14ac:dyDescent="0.25">
      <c r="B108"/>
      <c r="C108"/>
      <c r="D108"/>
      <c r="AM108" s="95" t="str">
        <f t="shared" si="4"/>
        <v/>
      </c>
    </row>
    <row r="109" spans="2:39" x14ac:dyDescent="0.25">
      <c r="B109"/>
      <c r="C109"/>
      <c r="D109"/>
      <c r="AM109" s="95" t="str">
        <f t="shared" si="4"/>
        <v/>
      </c>
    </row>
    <row r="110" spans="2:39" x14ac:dyDescent="0.25">
      <c r="B110"/>
      <c r="C110"/>
      <c r="D110"/>
      <c r="AM110" s="95" t="str">
        <f t="shared" si="4"/>
        <v/>
      </c>
    </row>
    <row r="111" spans="2:39" x14ac:dyDescent="0.25">
      <c r="B111"/>
      <c r="C111"/>
      <c r="D111"/>
      <c r="AM111" s="95" t="str">
        <f t="shared" si="4"/>
        <v/>
      </c>
    </row>
    <row r="112" spans="2:39" x14ac:dyDescent="0.25">
      <c r="B112"/>
      <c r="C112"/>
      <c r="D112"/>
      <c r="AM112" s="95" t="str">
        <f t="shared" si="4"/>
        <v/>
      </c>
    </row>
    <row r="113" spans="2:39" x14ac:dyDescent="0.25">
      <c r="B113"/>
      <c r="C113"/>
      <c r="D113"/>
      <c r="AM113" s="95" t="str">
        <f t="shared" si="4"/>
        <v/>
      </c>
    </row>
    <row r="114" spans="2:39" x14ac:dyDescent="0.25">
      <c r="B114"/>
      <c r="C114"/>
      <c r="D114"/>
      <c r="AM114" s="95" t="str">
        <f t="shared" si="4"/>
        <v/>
      </c>
    </row>
    <row r="115" spans="2:39" x14ac:dyDescent="0.25">
      <c r="B115"/>
      <c r="C115"/>
      <c r="D115"/>
      <c r="AM115" s="95" t="str">
        <f t="shared" si="4"/>
        <v/>
      </c>
    </row>
    <row r="116" spans="2:39" x14ac:dyDescent="0.25">
      <c r="B116"/>
      <c r="C116"/>
      <c r="D116"/>
      <c r="AM116" s="95" t="str">
        <f t="shared" si="4"/>
        <v/>
      </c>
    </row>
    <row r="117" spans="2:39" x14ac:dyDescent="0.25">
      <c r="B117"/>
      <c r="C117"/>
      <c r="D117"/>
      <c r="K117"/>
      <c r="AM117" s="95" t="str">
        <f t="shared" si="4"/>
        <v/>
      </c>
    </row>
    <row r="118" spans="2:39" x14ac:dyDescent="0.25">
      <c r="B118"/>
      <c r="C118"/>
      <c r="D118"/>
      <c r="K118"/>
      <c r="AM118" s="95" t="str">
        <f t="shared" si="4"/>
        <v/>
      </c>
    </row>
    <row r="119" spans="2:39" x14ac:dyDescent="0.25">
      <c r="B119"/>
      <c r="C119"/>
      <c r="D119"/>
      <c r="K119"/>
      <c r="AM119" s="95" t="str">
        <f t="shared" si="4"/>
        <v/>
      </c>
    </row>
    <row r="120" spans="2:39" x14ac:dyDescent="0.25">
      <c r="B120"/>
      <c r="C120"/>
      <c r="D120"/>
      <c r="K120"/>
      <c r="AM120" s="95" t="str">
        <f t="shared" si="4"/>
        <v/>
      </c>
    </row>
    <row r="121" spans="2:39" x14ac:dyDescent="0.25">
      <c r="B121"/>
      <c r="C121"/>
      <c r="D121"/>
      <c r="K121"/>
      <c r="AM121" s="95" t="str">
        <f t="shared" si="4"/>
        <v/>
      </c>
    </row>
    <row r="122" spans="2:39" x14ac:dyDescent="0.25">
      <c r="B122"/>
      <c r="C122"/>
      <c r="D122"/>
      <c r="K122"/>
      <c r="AM122" s="95" t="str">
        <f t="shared" si="4"/>
        <v/>
      </c>
    </row>
    <row r="123" spans="2:39" x14ac:dyDescent="0.25">
      <c r="B123"/>
      <c r="C123"/>
      <c r="D123"/>
      <c r="K123"/>
      <c r="AM123" s="95" t="str">
        <f t="shared" si="4"/>
        <v/>
      </c>
    </row>
    <row r="124" spans="2:39" x14ac:dyDescent="0.25">
      <c r="B124"/>
      <c r="C124"/>
      <c r="D124"/>
      <c r="K124"/>
      <c r="AM124" s="95" t="str">
        <f t="shared" si="4"/>
        <v/>
      </c>
    </row>
    <row r="125" spans="2:39" x14ac:dyDescent="0.25">
      <c r="B125"/>
      <c r="C125"/>
      <c r="D125"/>
      <c r="K125"/>
      <c r="AM125" s="95" t="str">
        <f t="shared" si="4"/>
        <v/>
      </c>
    </row>
    <row r="126" spans="2:39" x14ac:dyDescent="0.25">
      <c r="B126"/>
      <c r="C126"/>
      <c r="D126"/>
      <c r="K126"/>
      <c r="AM126" s="95" t="str">
        <f t="shared" si="4"/>
        <v/>
      </c>
    </row>
    <row r="127" spans="2:39" x14ac:dyDescent="0.25">
      <c r="B127"/>
      <c r="C127"/>
      <c r="D127"/>
      <c r="K127"/>
      <c r="AM127" s="95" t="str">
        <f t="shared" si="4"/>
        <v/>
      </c>
    </row>
    <row r="128" spans="2:39" x14ac:dyDescent="0.25">
      <c r="B128"/>
      <c r="C128"/>
      <c r="D128"/>
      <c r="K128"/>
      <c r="AM128" s="95" t="str">
        <f t="shared" si="4"/>
        <v/>
      </c>
    </row>
    <row r="129" spans="2:39" x14ac:dyDescent="0.25">
      <c r="B129"/>
      <c r="C129"/>
      <c r="D129"/>
      <c r="K129"/>
      <c r="AM129" s="95" t="str">
        <f t="shared" si="4"/>
        <v/>
      </c>
    </row>
    <row r="130" spans="2:39" x14ac:dyDescent="0.25">
      <c r="B130"/>
      <c r="C130"/>
      <c r="D130"/>
      <c r="K130"/>
      <c r="AM130" s="95" t="str">
        <f t="shared" si="4"/>
        <v/>
      </c>
    </row>
    <row r="131" spans="2:39" x14ac:dyDescent="0.25">
      <c r="K131"/>
      <c r="AM131" s="95" t="str">
        <f t="shared" si="4"/>
        <v/>
      </c>
    </row>
    <row r="132" spans="2:39" x14ac:dyDescent="0.25">
      <c r="K132"/>
      <c r="AM132" s="95" t="str">
        <f t="shared" si="4"/>
        <v/>
      </c>
    </row>
    <row r="133" spans="2:39" x14ac:dyDescent="0.25">
      <c r="K133"/>
      <c r="AM133" s="95" t="str">
        <f t="shared" si="4"/>
        <v/>
      </c>
    </row>
    <row r="134" spans="2:39" x14ac:dyDescent="0.25">
      <c r="K134"/>
      <c r="AM134" s="95" t="str">
        <f t="shared" si="4"/>
        <v/>
      </c>
    </row>
    <row r="135" spans="2:39" x14ac:dyDescent="0.25">
      <c r="K135"/>
      <c r="AM135" s="95" t="str">
        <f t="shared" si="4"/>
        <v/>
      </c>
    </row>
    <row r="136" spans="2:39" x14ac:dyDescent="0.25">
      <c r="K136"/>
      <c r="AM136" s="95" t="str">
        <f t="shared" si="4"/>
        <v/>
      </c>
    </row>
    <row r="137" spans="2:39" x14ac:dyDescent="0.25">
      <c r="K137"/>
      <c r="AM137" s="95" t="str">
        <f t="shared" ref="AM137:AM150" si="5">+B137&amp;C137</f>
        <v/>
      </c>
    </row>
    <row r="138" spans="2:39" x14ac:dyDescent="0.25">
      <c r="K138"/>
      <c r="AM138" s="95" t="str">
        <f t="shared" si="5"/>
        <v/>
      </c>
    </row>
    <row r="139" spans="2:39" x14ac:dyDescent="0.25">
      <c r="K139"/>
      <c r="AM139" s="95" t="str">
        <f t="shared" si="5"/>
        <v/>
      </c>
    </row>
    <row r="140" spans="2:39" x14ac:dyDescent="0.25">
      <c r="K140"/>
      <c r="AM140" s="95" t="str">
        <f t="shared" si="5"/>
        <v/>
      </c>
    </row>
    <row r="141" spans="2:39" x14ac:dyDescent="0.25">
      <c r="K141"/>
      <c r="AM141" s="95" t="str">
        <f t="shared" si="5"/>
        <v/>
      </c>
    </row>
    <row r="142" spans="2:39" x14ac:dyDescent="0.25">
      <c r="K142"/>
      <c r="AM142" s="95" t="str">
        <f t="shared" si="5"/>
        <v/>
      </c>
    </row>
    <row r="143" spans="2:39" x14ac:dyDescent="0.25">
      <c r="K143"/>
      <c r="AM143" s="95" t="str">
        <f t="shared" si="5"/>
        <v/>
      </c>
    </row>
    <row r="144" spans="2:39" x14ac:dyDescent="0.25">
      <c r="K144"/>
      <c r="AM144" s="95" t="str">
        <f t="shared" si="5"/>
        <v/>
      </c>
    </row>
    <row r="145" spans="11:39" x14ac:dyDescent="0.25">
      <c r="K145"/>
      <c r="AM145" s="95" t="str">
        <f t="shared" si="5"/>
        <v/>
      </c>
    </row>
    <row r="146" spans="11:39" x14ac:dyDescent="0.25">
      <c r="K146"/>
      <c r="AM146" s="95" t="str">
        <f t="shared" si="5"/>
        <v/>
      </c>
    </row>
    <row r="147" spans="11:39" x14ac:dyDescent="0.25">
      <c r="K147"/>
      <c r="AM147" s="95" t="str">
        <f t="shared" si="5"/>
        <v/>
      </c>
    </row>
    <row r="148" spans="11:39" x14ac:dyDescent="0.25">
      <c r="K148"/>
      <c r="AM148" s="95" t="str">
        <f t="shared" si="5"/>
        <v/>
      </c>
    </row>
    <row r="149" spans="11:39" x14ac:dyDescent="0.25">
      <c r="K149"/>
      <c r="AM149" s="95" t="str">
        <f t="shared" si="5"/>
        <v/>
      </c>
    </row>
    <row r="150" spans="11:39" x14ac:dyDescent="0.25">
      <c r="K150"/>
      <c r="AM150" s="95" t="str">
        <f t="shared" si="5"/>
        <v/>
      </c>
    </row>
    <row r="151" spans="11:39" x14ac:dyDescent="0.25">
      <c r="K151"/>
    </row>
    <row r="152" spans="11:39" x14ac:dyDescent="0.25">
      <c r="K152"/>
    </row>
    <row r="153" spans="11:39" x14ac:dyDescent="0.25">
      <c r="K153"/>
    </row>
    <row r="154" spans="11:39" x14ac:dyDescent="0.25">
      <c r="K154"/>
    </row>
    <row r="155" spans="11:39" x14ac:dyDescent="0.25">
      <c r="K155"/>
    </row>
    <row r="156" spans="11:39" x14ac:dyDescent="0.25">
      <c r="K156"/>
    </row>
    <row r="157" spans="11:39" x14ac:dyDescent="0.25">
      <c r="K157"/>
    </row>
    <row r="158" spans="11:39" x14ac:dyDescent="0.25">
      <c r="K158"/>
    </row>
    <row r="159" spans="11:39" x14ac:dyDescent="0.25">
      <c r="K159"/>
    </row>
    <row r="160" spans="11:39" x14ac:dyDescent="0.25">
      <c r="K160"/>
    </row>
    <row r="161" spans="11:11" x14ac:dyDescent="0.25">
      <c r="K161"/>
    </row>
    <row r="162" spans="11:11" x14ac:dyDescent="0.25">
      <c r="K162"/>
    </row>
    <row r="163" spans="11:11" x14ac:dyDescent="0.25">
      <c r="K163"/>
    </row>
    <row r="164" spans="11:11" x14ac:dyDescent="0.25">
      <c r="K164"/>
    </row>
    <row r="165" spans="11:11" x14ac:dyDescent="0.25">
      <c r="K165"/>
    </row>
    <row r="166" spans="11:11" x14ac:dyDescent="0.25">
      <c r="K166"/>
    </row>
    <row r="167" spans="11:11" x14ac:dyDescent="0.25">
      <c r="K167"/>
    </row>
    <row r="168" spans="11:11" x14ac:dyDescent="0.25">
      <c r="K168"/>
    </row>
    <row r="169" spans="11:11" x14ac:dyDescent="0.25">
      <c r="K169"/>
    </row>
    <row r="170" spans="11:11" x14ac:dyDescent="0.25">
      <c r="K170"/>
    </row>
    <row r="171" spans="11:11" x14ac:dyDescent="0.25">
      <c r="K171"/>
    </row>
    <row r="172" spans="11:11" x14ac:dyDescent="0.25">
      <c r="K172"/>
    </row>
    <row r="173" spans="11:11" x14ac:dyDescent="0.25">
      <c r="K173"/>
    </row>
    <row r="174" spans="11:11" x14ac:dyDescent="0.25">
      <c r="K174"/>
    </row>
    <row r="175" spans="11:11" x14ac:dyDescent="0.25">
      <c r="K175"/>
    </row>
    <row r="176" spans="11:11" x14ac:dyDescent="0.25">
      <c r="K176"/>
    </row>
    <row r="177" spans="11:11" x14ac:dyDescent="0.25">
      <c r="K177"/>
    </row>
    <row r="178" spans="11:11" x14ac:dyDescent="0.25">
      <c r="K178"/>
    </row>
    <row r="179" spans="11:11" x14ac:dyDescent="0.25">
      <c r="K179"/>
    </row>
    <row r="180" spans="11:11" x14ac:dyDescent="0.25">
      <c r="K180"/>
    </row>
    <row r="181" spans="11:11" x14ac:dyDescent="0.25">
      <c r="K181"/>
    </row>
    <row r="182" spans="11:11" x14ac:dyDescent="0.25">
      <c r="K182"/>
    </row>
    <row r="183" spans="11:11" x14ac:dyDescent="0.25">
      <c r="K183"/>
    </row>
    <row r="184" spans="11:11" x14ac:dyDescent="0.25">
      <c r="K184"/>
    </row>
    <row r="185" spans="11:11" x14ac:dyDescent="0.25">
      <c r="K185"/>
    </row>
    <row r="186" spans="11:11" x14ac:dyDescent="0.25">
      <c r="K186"/>
    </row>
    <row r="187" spans="11:11" x14ac:dyDescent="0.25">
      <c r="K187"/>
    </row>
    <row r="188" spans="11:11" x14ac:dyDescent="0.25">
      <c r="K188"/>
    </row>
    <row r="189" spans="11:11" x14ac:dyDescent="0.25">
      <c r="K189"/>
    </row>
    <row r="190" spans="11:11" x14ac:dyDescent="0.25">
      <c r="K190"/>
    </row>
    <row r="191" spans="11:11" x14ac:dyDescent="0.25">
      <c r="K191"/>
    </row>
    <row r="192" spans="11:11" x14ac:dyDescent="0.25">
      <c r="K192"/>
    </row>
    <row r="193" spans="11:11" x14ac:dyDescent="0.25">
      <c r="K193"/>
    </row>
    <row r="194" spans="11:11" x14ac:dyDescent="0.25">
      <c r="K194"/>
    </row>
    <row r="195" spans="11:11" x14ac:dyDescent="0.25">
      <c r="K195"/>
    </row>
    <row r="196" spans="11:11" x14ac:dyDescent="0.25">
      <c r="K196"/>
    </row>
    <row r="197" spans="11:11" x14ac:dyDescent="0.25">
      <c r="K197"/>
    </row>
    <row r="198" spans="11:11" x14ac:dyDescent="0.25">
      <c r="K198"/>
    </row>
    <row r="199" spans="11:11" x14ac:dyDescent="0.25">
      <c r="K199"/>
    </row>
    <row r="200" spans="11:11" x14ac:dyDescent="0.25">
      <c r="K200"/>
    </row>
    <row r="201" spans="11:11" x14ac:dyDescent="0.25">
      <c r="K201"/>
    </row>
    <row r="202" spans="11:11" x14ac:dyDescent="0.25">
      <c r="K202"/>
    </row>
    <row r="203" spans="11:11" x14ac:dyDescent="0.25">
      <c r="K203"/>
    </row>
    <row r="204" spans="11:11" x14ac:dyDescent="0.25">
      <c r="K204"/>
    </row>
    <row r="205" spans="11:11" x14ac:dyDescent="0.25">
      <c r="K205"/>
    </row>
    <row r="206" spans="11:11" x14ac:dyDescent="0.25">
      <c r="K206"/>
    </row>
    <row r="207" spans="11:11" x14ac:dyDescent="0.25">
      <c r="K207"/>
    </row>
    <row r="208" spans="11:11" x14ac:dyDescent="0.25">
      <c r="K208"/>
    </row>
    <row r="209" spans="11:11" x14ac:dyDescent="0.25">
      <c r="K209"/>
    </row>
    <row r="210" spans="11:11" x14ac:dyDescent="0.25">
      <c r="K210"/>
    </row>
    <row r="211" spans="11:11" x14ac:dyDescent="0.25">
      <c r="K211"/>
    </row>
  </sheetData>
  <mergeCells count="3">
    <mergeCell ref="B3:D3"/>
    <mergeCell ref="N3:Q3"/>
    <mergeCell ref="O6:P6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M150"/>
  <sheetViews>
    <sheetView workbookViewId="0">
      <selection activeCell="D24" sqref="D24"/>
    </sheetView>
  </sheetViews>
  <sheetFormatPr baseColWidth="10" defaultRowHeight="15" x14ac:dyDescent="0.25"/>
  <cols>
    <col min="1" max="1" width="4.28515625" customWidth="1"/>
    <col min="2" max="2" width="19.42578125" customWidth="1"/>
    <col min="3" max="3" width="19.85546875" customWidth="1"/>
    <col min="4" max="4" width="15.42578125" customWidth="1"/>
    <col min="5" max="5" width="10.85546875" customWidth="1"/>
    <col min="7" max="7" width="21" customWidth="1"/>
    <col min="12" max="12" width="5.140625" customWidth="1"/>
    <col min="16" max="16" width="22.140625" customWidth="1"/>
    <col min="39" max="39" width="27.42578125" customWidth="1"/>
  </cols>
  <sheetData>
    <row r="1" spans="1:39" ht="14.65" thickBot="1" x14ac:dyDescent="0.5"/>
    <row r="2" spans="1:39" thickTop="1" thickBot="1" x14ac:dyDescent="0.5">
      <c r="G2" s="104"/>
    </row>
    <row r="3" spans="1:39" thickTop="1" thickBot="1" x14ac:dyDescent="0.5">
      <c r="B3" s="491" t="s">
        <v>334</v>
      </c>
      <c r="C3" s="492"/>
      <c r="D3" s="493"/>
      <c r="G3" s="105"/>
      <c r="N3" s="491" t="s">
        <v>333</v>
      </c>
      <c r="O3" s="492"/>
      <c r="P3" s="492"/>
      <c r="Q3" s="493"/>
    </row>
    <row r="4" spans="1:39" thickTop="1" thickBot="1" x14ac:dyDescent="0.5">
      <c r="G4" s="106" t="s">
        <v>233</v>
      </c>
    </row>
    <row r="5" spans="1:39" thickTop="1" thickBot="1" x14ac:dyDescent="0.5"/>
    <row r="6" spans="1:39" ht="16.5" thickTop="1" thickBot="1" x14ac:dyDescent="0.3">
      <c r="B6" s="443" t="s">
        <v>330</v>
      </c>
      <c r="C6" s="443" t="s">
        <v>331</v>
      </c>
      <c r="O6" s="494" t="s">
        <v>332</v>
      </c>
      <c r="P6" s="495"/>
    </row>
    <row r="7" spans="1:39" ht="16.5" thickTop="1" thickBot="1" x14ac:dyDescent="0.3">
      <c r="A7" s="102"/>
      <c r="B7" s="444" t="s">
        <v>219</v>
      </c>
      <c r="C7" s="444" t="s">
        <v>220</v>
      </c>
      <c r="D7" s="103" t="s">
        <v>179</v>
      </c>
      <c r="L7" s="75"/>
      <c r="M7" s="85"/>
      <c r="N7" s="85"/>
      <c r="O7" s="85"/>
      <c r="P7" s="85"/>
      <c r="Q7" s="280" t="s">
        <v>179</v>
      </c>
      <c r="R7" s="91"/>
    </row>
    <row r="8" spans="1:39" ht="14.65" thickTop="1" x14ac:dyDescent="0.45">
      <c r="L8" s="79">
        <v>3</v>
      </c>
      <c r="M8" s="73"/>
      <c r="N8" s="69"/>
      <c r="O8" s="71" t="s">
        <v>82</v>
      </c>
      <c r="P8" s="76" t="s">
        <v>81</v>
      </c>
      <c r="Q8" s="279" t="str">
        <f>+IF(ISERROR(INDEX($D$8:$D$150,MATCH(P8,$AM$8:$AM$150,0))),"0",INDEX($D$8:$D$150,MATCH(P8,$AM$8:$AM$150,0)))</f>
        <v>0</v>
      </c>
      <c r="R8" s="94"/>
      <c r="AM8" s="95" t="str">
        <f>+B8&amp;C8</f>
        <v/>
      </c>
    </row>
    <row r="9" spans="1:39" ht="14.25" x14ac:dyDescent="0.45">
      <c r="L9" s="79">
        <v>4</v>
      </c>
      <c r="M9" s="73"/>
      <c r="N9" s="69"/>
      <c r="O9" s="71" t="s">
        <v>82</v>
      </c>
      <c r="P9" s="76" t="s">
        <v>83</v>
      </c>
      <c r="Q9" s="279" t="str">
        <f t="shared" ref="Q9:Q72" si="0">+IF(ISERROR(INDEX($D$8:$D$150,MATCH(P9,$AM$8:$AM$150,0))),"0",INDEX($D$8:$D$150,MATCH(P9,$AM$8:$AM$150,0)))</f>
        <v>0</v>
      </c>
      <c r="R9" s="94"/>
      <c r="AM9" s="95" t="str">
        <f t="shared" ref="AM9:AM72" si="1">+B9&amp;C9</f>
        <v/>
      </c>
    </row>
    <row r="10" spans="1:39" ht="14.25" x14ac:dyDescent="0.45">
      <c r="L10" s="79">
        <v>5</v>
      </c>
      <c r="M10" s="73"/>
      <c r="N10" s="69"/>
      <c r="O10" s="97" t="s">
        <v>85</v>
      </c>
      <c r="P10" s="76" t="s">
        <v>84</v>
      </c>
      <c r="Q10" s="279" t="str">
        <f t="shared" si="0"/>
        <v>0</v>
      </c>
      <c r="R10" s="94"/>
      <c r="AM10" s="95" t="str">
        <f t="shared" si="1"/>
        <v/>
      </c>
    </row>
    <row r="11" spans="1:39" ht="14.25" x14ac:dyDescent="0.45">
      <c r="L11" s="79">
        <v>6</v>
      </c>
      <c r="M11" s="73"/>
      <c r="N11" s="69"/>
      <c r="O11" s="97" t="s">
        <v>87</v>
      </c>
      <c r="P11" s="76" t="s">
        <v>86</v>
      </c>
      <c r="Q11" s="279" t="str">
        <f t="shared" si="0"/>
        <v>0</v>
      </c>
      <c r="R11" s="94"/>
      <c r="AM11" s="95" t="str">
        <f t="shared" si="1"/>
        <v/>
      </c>
    </row>
    <row r="12" spans="1:39" ht="14.25" x14ac:dyDescent="0.45">
      <c r="L12" s="79">
        <v>7</v>
      </c>
      <c r="M12" s="73"/>
      <c r="N12" s="69"/>
      <c r="O12" s="97" t="s">
        <v>89</v>
      </c>
      <c r="P12" s="76" t="s">
        <v>88</v>
      </c>
      <c r="Q12" s="279" t="str">
        <f t="shared" si="0"/>
        <v>0</v>
      </c>
      <c r="R12" s="94"/>
      <c r="AM12" s="95" t="str">
        <f t="shared" si="1"/>
        <v/>
      </c>
    </row>
    <row r="13" spans="1:39" ht="14.25" x14ac:dyDescent="0.45">
      <c r="L13" s="79">
        <v>8</v>
      </c>
      <c r="M13" s="73"/>
      <c r="N13" s="69"/>
      <c r="O13" s="97" t="s">
        <v>91</v>
      </c>
      <c r="P13" s="76" t="s">
        <v>90</v>
      </c>
      <c r="Q13" s="279" t="str">
        <f t="shared" si="0"/>
        <v>0</v>
      </c>
      <c r="R13" s="94"/>
      <c r="AM13" s="95" t="str">
        <f t="shared" si="1"/>
        <v/>
      </c>
    </row>
    <row r="14" spans="1:39" ht="14.25" x14ac:dyDescent="0.45">
      <c r="L14" s="79">
        <v>9</v>
      </c>
      <c r="M14" s="73"/>
      <c r="N14" s="69"/>
      <c r="O14" s="97" t="s">
        <v>91</v>
      </c>
      <c r="P14" s="76" t="s">
        <v>92</v>
      </c>
      <c r="Q14" s="279" t="str">
        <f t="shared" si="0"/>
        <v>0</v>
      </c>
      <c r="R14" s="94"/>
      <c r="AM14" s="95" t="str">
        <f t="shared" si="1"/>
        <v/>
      </c>
    </row>
    <row r="15" spans="1:39" ht="14.25" x14ac:dyDescent="0.45">
      <c r="L15" s="79">
        <v>10</v>
      </c>
      <c r="M15" s="73"/>
      <c r="N15" s="69"/>
      <c r="O15" s="97" t="s">
        <v>91</v>
      </c>
      <c r="P15" s="76" t="s">
        <v>93</v>
      </c>
      <c r="Q15" s="279" t="str">
        <f t="shared" si="0"/>
        <v>0</v>
      </c>
      <c r="R15" s="94"/>
      <c r="AM15" s="95" t="str">
        <f t="shared" si="1"/>
        <v/>
      </c>
    </row>
    <row r="16" spans="1:39" ht="14.25" x14ac:dyDescent="0.45">
      <c r="L16" s="79">
        <v>11</v>
      </c>
      <c r="M16" s="73"/>
      <c r="N16" s="69"/>
      <c r="O16" s="97" t="s">
        <v>91</v>
      </c>
      <c r="P16" s="76" t="s">
        <v>94</v>
      </c>
      <c r="Q16" s="279" t="str">
        <f t="shared" si="0"/>
        <v>0</v>
      </c>
      <c r="R16" s="94"/>
      <c r="AM16" s="95" t="str">
        <f t="shared" si="1"/>
        <v/>
      </c>
    </row>
    <row r="17" spans="12:39" ht="14.25" x14ac:dyDescent="0.45">
      <c r="L17" s="79">
        <v>12</v>
      </c>
      <c r="M17" s="73"/>
      <c r="N17" s="69"/>
      <c r="O17" s="97" t="s">
        <v>96</v>
      </c>
      <c r="P17" s="76" t="s">
        <v>95</v>
      </c>
      <c r="Q17" s="279" t="str">
        <f t="shared" si="0"/>
        <v>0</v>
      </c>
      <c r="R17" s="94"/>
      <c r="AM17" s="95" t="str">
        <f t="shared" si="1"/>
        <v/>
      </c>
    </row>
    <row r="18" spans="12:39" ht="14.25" x14ac:dyDescent="0.45">
      <c r="L18" s="79">
        <v>13</v>
      </c>
      <c r="M18" s="73"/>
      <c r="N18" s="69"/>
      <c r="O18" s="97" t="s">
        <v>91</v>
      </c>
      <c r="P18" s="76" t="s">
        <v>97</v>
      </c>
      <c r="Q18" s="279" t="str">
        <f t="shared" si="0"/>
        <v>0</v>
      </c>
      <c r="R18" s="94"/>
      <c r="AM18" s="95" t="str">
        <f t="shared" si="1"/>
        <v/>
      </c>
    </row>
    <row r="19" spans="12:39" ht="14.25" x14ac:dyDescent="0.45">
      <c r="L19" s="79">
        <v>14</v>
      </c>
      <c r="M19" s="73"/>
      <c r="N19" s="69"/>
      <c r="O19" s="97" t="s">
        <v>99</v>
      </c>
      <c r="P19" s="76" t="s">
        <v>98</v>
      </c>
      <c r="Q19" s="279" t="str">
        <f t="shared" si="0"/>
        <v>0</v>
      </c>
      <c r="R19" s="94"/>
      <c r="AM19" s="95" t="str">
        <f t="shared" si="1"/>
        <v/>
      </c>
    </row>
    <row r="20" spans="12:39" ht="14.25" x14ac:dyDescent="0.45">
      <c r="L20" s="79">
        <v>15</v>
      </c>
      <c r="M20" s="73"/>
      <c r="N20" s="69"/>
      <c r="O20" s="97" t="s">
        <v>101</v>
      </c>
      <c r="P20" s="76" t="s">
        <v>100</v>
      </c>
      <c r="Q20" s="279" t="str">
        <f t="shared" si="0"/>
        <v>0</v>
      </c>
      <c r="R20" s="94"/>
      <c r="AM20" s="95" t="str">
        <f t="shared" si="1"/>
        <v/>
      </c>
    </row>
    <row r="21" spans="12:39" ht="14.25" x14ac:dyDescent="0.45">
      <c r="L21" s="79">
        <v>16</v>
      </c>
      <c r="M21" s="73"/>
      <c r="N21" s="69"/>
      <c r="O21" s="97" t="s">
        <v>101</v>
      </c>
      <c r="P21" s="76" t="s">
        <v>102</v>
      </c>
      <c r="Q21" s="279" t="str">
        <f t="shared" si="0"/>
        <v>0</v>
      </c>
      <c r="R21" s="94"/>
      <c r="AM21" s="95" t="str">
        <f t="shared" si="1"/>
        <v/>
      </c>
    </row>
    <row r="22" spans="12:39" ht="14.25" x14ac:dyDescent="0.45">
      <c r="L22" s="79">
        <v>17</v>
      </c>
      <c r="M22" s="73"/>
      <c r="N22" s="69"/>
      <c r="O22" s="97" t="s">
        <v>104</v>
      </c>
      <c r="P22" s="76" t="s">
        <v>103</v>
      </c>
      <c r="Q22" s="279" t="str">
        <f t="shared" si="0"/>
        <v>0</v>
      </c>
      <c r="R22" s="94"/>
      <c r="AM22" s="95" t="str">
        <f t="shared" si="1"/>
        <v/>
      </c>
    </row>
    <row r="23" spans="12:39" ht="14.25" x14ac:dyDescent="0.45">
      <c r="L23" s="79">
        <v>18</v>
      </c>
      <c r="M23" s="73"/>
      <c r="N23" s="69"/>
      <c r="O23" s="97" t="s">
        <v>106</v>
      </c>
      <c r="P23" s="76" t="s">
        <v>105</v>
      </c>
      <c r="Q23" s="279" t="str">
        <f t="shared" si="0"/>
        <v>0</v>
      </c>
      <c r="R23" s="94"/>
      <c r="AM23" s="95" t="str">
        <f t="shared" si="1"/>
        <v/>
      </c>
    </row>
    <row r="24" spans="12:39" ht="14.25" x14ac:dyDescent="0.45">
      <c r="L24" s="79">
        <v>19</v>
      </c>
      <c r="M24" s="73"/>
      <c r="N24" s="69"/>
      <c r="O24" s="97" t="s">
        <v>106</v>
      </c>
      <c r="P24" s="76" t="s">
        <v>107</v>
      </c>
      <c r="Q24" s="279" t="str">
        <f t="shared" si="0"/>
        <v>0</v>
      </c>
      <c r="R24" s="94"/>
      <c r="AM24" s="95" t="str">
        <f t="shared" si="1"/>
        <v/>
      </c>
    </row>
    <row r="25" spans="12:39" ht="14.25" x14ac:dyDescent="0.45">
      <c r="L25" s="79">
        <v>20</v>
      </c>
      <c r="M25" s="73"/>
      <c r="N25" s="69"/>
      <c r="O25" s="97" t="s">
        <v>109</v>
      </c>
      <c r="P25" s="76" t="s">
        <v>108</v>
      </c>
      <c r="Q25" s="279" t="str">
        <f t="shared" si="0"/>
        <v>0</v>
      </c>
      <c r="R25" s="94"/>
      <c r="AM25" s="95" t="str">
        <f t="shared" si="1"/>
        <v/>
      </c>
    </row>
    <row r="26" spans="12:39" ht="14.25" x14ac:dyDescent="0.45">
      <c r="L26" s="79">
        <v>21</v>
      </c>
      <c r="M26" s="73"/>
      <c r="N26" s="69"/>
      <c r="O26" s="97" t="s">
        <v>109</v>
      </c>
      <c r="P26" s="76" t="s">
        <v>110</v>
      </c>
      <c r="Q26" s="279" t="str">
        <f t="shared" si="0"/>
        <v>0</v>
      </c>
      <c r="R26" s="94"/>
      <c r="AM26" s="95" t="str">
        <f t="shared" si="1"/>
        <v/>
      </c>
    </row>
    <row r="27" spans="12:39" ht="14.25" x14ac:dyDescent="0.45">
      <c r="L27" s="79">
        <v>22</v>
      </c>
      <c r="M27" s="73"/>
      <c r="N27" s="69"/>
      <c r="O27" s="97" t="s">
        <v>112</v>
      </c>
      <c r="P27" s="76" t="s">
        <v>111</v>
      </c>
      <c r="Q27" s="279" t="str">
        <f t="shared" si="0"/>
        <v>0</v>
      </c>
      <c r="R27" s="94"/>
      <c r="AM27" s="95" t="str">
        <f t="shared" si="1"/>
        <v/>
      </c>
    </row>
    <row r="28" spans="12:39" ht="14.25" x14ac:dyDescent="0.45">
      <c r="L28" s="79">
        <v>23</v>
      </c>
      <c r="M28" s="73"/>
      <c r="N28" s="69"/>
      <c r="O28" s="97" t="s">
        <v>112</v>
      </c>
      <c r="P28" s="76" t="s">
        <v>113</v>
      </c>
      <c r="Q28" s="279" t="str">
        <f t="shared" si="0"/>
        <v>0</v>
      </c>
      <c r="R28" s="94"/>
      <c r="AM28" s="95" t="str">
        <f t="shared" si="1"/>
        <v/>
      </c>
    </row>
    <row r="29" spans="12:39" ht="14.25" x14ac:dyDescent="0.45">
      <c r="L29" s="79">
        <v>24</v>
      </c>
      <c r="M29" s="73"/>
      <c r="N29" s="69"/>
      <c r="O29" s="97" t="s">
        <v>115</v>
      </c>
      <c r="P29" s="76" t="s">
        <v>114</v>
      </c>
      <c r="Q29" s="279" t="str">
        <f t="shared" si="0"/>
        <v>0</v>
      </c>
      <c r="R29" s="94"/>
      <c r="AM29" s="95" t="str">
        <f t="shared" si="1"/>
        <v/>
      </c>
    </row>
    <row r="30" spans="12:39" ht="14.25" x14ac:dyDescent="0.45">
      <c r="L30" s="79">
        <v>25</v>
      </c>
      <c r="M30" s="73"/>
      <c r="N30" s="69"/>
      <c r="O30" s="97" t="s">
        <v>115</v>
      </c>
      <c r="P30" s="76" t="s">
        <v>116</v>
      </c>
      <c r="Q30" s="279" t="str">
        <f t="shared" si="0"/>
        <v>0</v>
      </c>
      <c r="R30" s="94"/>
      <c r="AM30" s="95" t="str">
        <f t="shared" si="1"/>
        <v/>
      </c>
    </row>
    <row r="31" spans="12:39" ht="14.25" x14ac:dyDescent="0.45">
      <c r="L31" s="79">
        <v>26</v>
      </c>
      <c r="M31" s="73"/>
      <c r="N31" s="69"/>
      <c r="O31" s="97" t="s">
        <v>115</v>
      </c>
      <c r="P31" s="76" t="s">
        <v>117</v>
      </c>
      <c r="Q31" s="279" t="str">
        <f t="shared" si="0"/>
        <v>0</v>
      </c>
      <c r="R31" s="94"/>
      <c r="AM31" s="95" t="str">
        <f t="shared" si="1"/>
        <v/>
      </c>
    </row>
    <row r="32" spans="12:39" ht="14.25" x14ac:dyDescent="0.45">
      <c r="L32" s="79">
        <v>27</v>
      </c>
      <c r="M32" s="73"/>
      <c r="N32" s="69"/>
      <c r="O32" s="97" t="s">
        <v>119</v>
      </c>
      <c r="P32" s="76" t="s">
        <v>118</v>
      </c>
      <c r="Q32" s="279" t="str">
        <f t="shared" si="0"/>
        <v>0</v>
      </c>
      <c r="R32" s="94"/>
      <c r="AM32" s="95" t="str">
        <f t="shared" si="1"/>
        <v/>
      </c>
    </row>
    <row r="33" spans="12:39" ht="14.25" x14ac:dyDescent="0.45">
      <c r="L33" s="79">
        <v>28</v>
      </c>
      <c r="M33" s="73"/>
      <c r="N33" s="69"/>
      <c r="O33" s="97" t="s">
        <v>119</v>
      </c>
      <c r="P33" s="76" t="s">
        <v>120</v>
      </c>
      <c r="Q33" s="279" t="str">
        <f t="shared" si="0"/>
        <v>0</v>
      </c>
      <c r="R33" s="94"/>
      <c r="AM33" s="95" t="str">
        <f t="shared" si="1"/>
        <v/>
      </c>
    </row>
    <row r="34" spans="12:39" ht="14.25" x14ac:dyDescent="0.45">
      <c r="L34" s="79">
        <v>29</v>
      </c>
      <c r="M34" s="73"/>
      <c r="N34" s="69"/>
      <c r="O34" s="97" t="s">
        <v>119</v>
      </c>
      <c r="P34" s="76" t="s">
        <v>121</v>
      </c>
      <c r="Q34" s="279" t="str">
        <f t="shared" si="0"/>
        <v>0</v>
      </c>
      <c r="R34" s="94"/>
      <c r="AM34" s="95" t="str">
        <f t="shared" si="1"/>
        <v/>
      </c>
    </row>
    <row r="35" spans="12:39" ht="14.25" x14ac:dyDescent="0.45">
      <c r="L35" s="79">
        <v>30</v>
      </c>
      <c r="M35" s="73"/>
      <c r="N35" s="69"/>
      <c r="O35" s="97" t="s">
        <v>123</v>
      </c>
      <c r="P35" s="76" t="s">
        <v>122</v>
      </c>
      <c r="Q35" s="279" t="str">
        <f t="shared" si="0"/>
        <v>0</v>
      </c>
      <c r="R35" s="94"/>
      <c r="AM35" s="95" t="str">
        <f t="shared" si="1"/>
        <v/>
      </c>
    </row>
    <row r="36" spans="12:39" ht="14.25" x14ac:dyDescent="0.45">
      <c r="L36" s="79">
        <v>31</v>
      </c>
      <c r="M36" s="73"/>
      <c r="N36" s="69"/>
      <c r="O36" s="97" t="s">
        <v>123</v>
      </c>
      <c r="P36" s="76" t="s">
        <v>124</v>
      </c>
      <c r="Q36" s="279" t="str">
        <f t="shared" si="0"/>
        <v>0</v>
      </c>
      <c r="R36" s="94"/>
      <c r="AM36" s="95" t="str">
        <f t="shared" si="1"/>
        <v/>
      </c>
    </row>
    <row r="37" spans="12:39" ht="14.25" x14ac:dyDescent="0.45">
      <c r="L37" s="79">
        <v>32</v>
      </c>
      <c r="M37" s="73"/>
      <c r="N37" s="69"/>
      <c r="O37" s="97" t="s">
        <v>126</v>
      </c>
      <c r="P37" s="86" t="s">
        <v>125</v>
      </c>
      <c r="Q37" s="279" t="str">
        <f t="shared" si="0"/>
        <v>0</v>
      </c>
      <c r="R37" s="94"/>
      <c r="AM37" s="95" t="str">
        <f t="shared" si="1"/>
        <v/>
      </c>
    </row>
    <row r="38" spans="12:39" ht="14.25" x14ac:dyDescent="0.45">
      <c r="L38" s="79">
        <v>33</v>
      </c>
      <c r="M38" s="73"/>
      <c r="N38" s="69"/>
      <c r="O38" s="97" t="s">
        <v>126</v>
      </c>
      <c r="P38" s="86" t="s">
        <v>127</v>
      </c>
      <c r="Q38" s="279" t="str">
        <f t="shared" si="0"/>
        <v>0</v>
      </c>
      <c r="R38" s="94"/>
      <c r="AM38" s="95" t="str">
        <f t="shared" si="1"/>
        <v/>
      </c>
    </row>
    <row r="39" spans="12:39" ht="14.25" x14ac:dyDescent="0.45">
      <c r="L39" s="79">
        <v>34</v>
      </c>
      <c r="M39" s="73"/>
      <c r="N39" s="69"/>
      <c r="O39" s="97" t="s">
        <v>126</v>
      </c>
      <c r="P39" s="76" t="s">
        <v>128</v>
      </c>
      <c r="Q39" s="279" t="str">
        <f t="shared" si="0"/>
        <v>0</v>
      </c>
      <c r="R39" s="94"/>
      <c r="AM39" s="95" t="str">
        <f t="shared" si="1"/>
        <v/>
      </c>
    </row>
    <row r="40" spans="12:39" x14ac:dyDescent="0.25">
      <c r="L40" s="79">
        <v>35</v>
      </c>
      <c r="M40" s="73"/>
      <c r="N40" s="69"/>
      <c r="O40" s="97" t="s">
        <v>130</v>
      </c>
      <c r="P40" s="76" t="s">
        <v>129</v>
      </c>
      <c r="Q40" s="279" t="str">
        <f t="shared" si="0"/>
        <v>0</v>
      </c>
      <c r="R40" s="94"/>
      <c r="AM40" s="95" t="str">
        <f t="shared" si="1"/>
        <v/>
      </c>
    </row>
    <row r="41" spans="12:39" x14ac:dyDescent="0.25">
      <c r="L41" s="79">
        <v>36</v>
      </c>
      <c r="M41" s="73"/>
      <c r="N41" s="69"/>
      <c r="O41" s="97" t="s">
        <v>130</v>
      </c>
      <c r="P41" s="76" t="s">
        <v>131</v>
      </c>
      <c r="Q41" s="279" t="str">
        <f t="shared" si="0"/>
        <v>0</v>
      </c>
      <c r="R41" s="94"/>
      <c r="AM41" s="95" t="str">
        <f t="shared" si="1"/>
        <v/>
      </c>
    </row>
    <row r="42" spans="12:39" x14ac:dyDescent="0.25">
      <c r="L42" s="79">
        <v>37</v>
      </c>
      <c r="M42" s="73"/>
      <c r="N42" s="69"/>
      <c r="O42" s="97" t="s">
        <v>133</v>
      </c>
      <c r="P42" s="76" t="s">
        <v>132</v>
      </c>
      <c r="Q42" s="279" t="str">
        <f t="shared" si="0"/>
        <v>0</v>
      </c>
      <c r="R42" s="94"/>
      <c r="AM42" s="95" t="str">
        <f t="shared" si="1"/>
        <v/>
      </c>
    </row>
    <row r="43" spans="12:39" x14ac:dyDescent="0.25">
      <c r="L43" s="79">
        <v>38</v>
      </c>
      <c r="M43" s="73"/>
      <c r="N43" s="69"/>
      <c r="O43" s="97" t="s">
        <v>133</v>
      </c>
      <c r="P43" s="76" t="s">
        <v>134</v>
      </c>
      <c r="Q43" s="279" t="str">
        <f t="shared" si="0"/>
        <v>0</v>
      </c>
      <c r="R43" s="94"/>
      <c r="AM43" s="95" t="str">
        <f t="shared" si="1"/>
        <v/>
      </c>
    </row>
    <row r="44" spans="12:39" x14ac:dyDescent="0.25">
      <c r="L44" s="79">
        <v>39</v>
      </c>
      <c r="M44" s="71" t="s">
        <v>58</v>
      </c>
      <c r="N44" s="73" t="s">
        <v>0</v>
      </c>
      <c r="O44" s="82" t="s">
        <v>50</v>
      </c>
      <c r="P44" s="81" t="str">
        <f>+M44&amp;N44</f>
        <v>DQA1*02:01DQB1*02:01</v>
      </c>
      <c r="Q44" s="279" t="str">
        <f t="shared" si="0"/>
        <v>0</v>
      </c>
      <c r="R44" s="94"/>
      <c r="S44" s="98"/>
      <c r="AM44" s="95" t="str">
        <f t="shared" si="1"/>
        <v/>
      </c>
    </row>
    <row r="45" spans="12:39" x14ac:dyDescent="0.25">
      <c r="L45" s="79">
        <v>40</v>
      </c>
      <c r="M45" s="71" t="s">
        <v>59</v>
      </c>
      <c r="N45" s="73" t="s">
        <v>0</v>
      </c>
      <c r="O45" s="82" t="s">
        <v>50</v>
      </c>
      <c r="P45" s="81" t="str">
        <f t="shared" ref="P45:P102" si="2">+M45&amp;N45</f>
        <v>DQA1*03:01DQB1*02:01</v>
      </c>
      <c r="Q45" s="279" t="str">
        <f t="shared" si="0"/>
        <v>0</v>
      </c>
      <c r="R45" s="94"/>
      <c r="S45" s="98"/>
      <c r="AM45" s="95" t="str">
        <f t="shared" si="1"/>
        <v/>
      </c>
    </row>
    <row r="46" spans="12:39" x14ac:dyDescent="0.25">
      <c r="L46" s="79">
        <v>41</v>
      </c>
      <c r="M46" s="71" t="s">
        <v>60</v>
      </c>
      <c r="N46" s="73" t="s">
        <v>0</v>
      </c>
      <c r="O46" s="82" t="s">
        <v>50</v>
      </c>
      <c r="P46" s="81" t="str">
        <f t="shared" si="2"/>
        <v>DQA1*04:01DQB1*02:01</v>
      </c>
      <c r="Q46" s="279" t="str">
        <f t="shared" si="0"/>
        <v>0</v>
      </c>
      <c r="R46" s="94"/>
      <c r="S46" s="98"/>
      <c r="AM46" s="95" t="str">
        <f t="shared" si="1"/>
        <v/>
      </c>
    </row>
    <row r="47" spans="12:39" x14ac:dyDescent="0.25">
      <c r="L47" s="79">
        <v>42</v>
      </c>
      <c r="M47" s="71" t="s">
        <v>61</v>
      </c>
      <c r="N47" s="73" t="s">
        <v>0</v>
      </c>
      <c r="O47" s="82" t="s">
        <v>50</v>
      </c>
      <c r="P47" s="81" t="str">
        <f t="shared" si="2"/>
        <v>DQA1*05:01DQB1*02:01</v>
      </c>
      <c r="Q47" s="279" t="str">
        <f t="shared" si="0"/>
        <v>0</v>
      </c>
      <c r="R47" s="94"/>
      <c r="S47" s="98"/>
      <c r="AM47" s="95" t="str">
        <f t="shared" si="1"/>
        <v/>
      </c>
    </row>
    <row r="48" spans="12:39" x14ac:dyDescent="0.25">
      <c r="L48" s="79">
        <v>43</v>
      </c>
      <c r="M48" s="71" t="s">
        <v>58</v>
      </c>
      <c r="N48" s="73" t="s">
        <v>16</v>
      </c>
      <c r="O48" s="82" t="s">
        <v>50</v>
      </c>
      <c r="P48" s="81" t="str">
        <f t="shared" si="2"/>
        <v>DQA1*02:01DQB1*02:02</v>
      </c>
      <c r="Q48" s="279" t="str">
        <f t="shared" si="0"/>
        <v>0</v>
      </c>
      <c r="R48" s="94"/>
      <c r="S48" s="98"/>
      <c r="AM48" s="95" t="str">
        <f t="shared" si="1"/>
        <v/>
      </c>
    </row>
    <row r="49" spans="12:39" x14ac:dyDescent="0.25">
      <c r="L49" s="79">
        <v>44</v>
      </c>
      <c r="M49" s="71" t="s">
        <v>58</v>
      </c>
      <c r="N49" s="73" t="s">
        <v>26</v>
      </c>
      <c r="O49" s="87" t="s">
        <v>51</v>
      </c>
      <c r="P49" s="81" t="str">
        <f t="shared" si="2"/>
        <v>DQA1*02:01DQB1*04:01</v>
      </c>
      <c r="Q49" s="279" t="str">
        <f t="shared" si="0"/>
        <v>0</v>
      </c>
      <c r="R49" s="94"/>
      <c r="S49" s="98"/>
      <c r="AM49" s="95" t="str">
        <f t="shared" si="1"/>
        <v/>
      </c>
    </row>
    <row r="50" spans="12:39" x14ac:dyDescent="0.25">
      <c r="L50" s="79">
        <v>45</v>
      </c>
      <c r="M50" s="71" t="s">
        <v>62</v>
      </c>
      <c r="N50" s="73" t="s">
        <v>26</v>
      </c>
      <c r="O50" s="87" t="s">
        <v>51</v>
      </c>
      <c r="P50" s="81" t="str">
        <f t="shared" si="2"/>
        <v>DQA1*03:03DQB1*04:01</v>
      </c>
      <c r="Q50" s="279" t="str">
        <f t="shared" si="0"/>
        <v>0</v>
      </c>
      <c r="R50" s="94"/>
      <c r="S50" s="98"/>
      <c r="AM50" s="95" t="str">
        <f t="shared" si="1"/>
        <v/>
      </c>
    </row>
    <row r="51" spans="12:39" x14ac:dyDescent="0.25">
      <c r="L51" s="79">
        <v>46</v>
      </c>
      <c r="M51" s="71" t="s">
        <v>58</v>
      </c>
      <c r="N51" s="73" t="s">
        <v>28</v>
      </c>
      <c r="O51" s="87" t="s">
        <v>51</v>
      </c>
      <c r="P51" s="81" t="str">
        <f t="shared" si="2"/>
        <v>DQA1*02:01DQB1*04:02</v>
      </c>
      <c r="Q51" s="279" t="str">
        <f t="shared" si="0"/>
        <v>0</v>
      </c>
      <c r="R51" s="94"/>
      <c r="S51" s="98"/>
      <c r="AM51" s="95" t="str">
        <f t="shared" si="1"/>
        <v/>
      </c>
    </row>
    <row r="52" spans="12:39" x14ac:dyDescent="0.25">
      <c r="L52" s="79">
        <v>47</v>
      </c>
      <c r="M52" s="71" t="s">
        <v>60</v>
      </c>
      <c r="N52" s="73" t="s">
        <v>28</v>
      </c>
      <c r="O52" s="87" t="s">
        <v>51</v>
      </c>
      <c r="P52" s="81" t="str">
        <f t="shared" si="2"/>
        <v>DQA1*04:01DQB1*04:02</v>
      </c>
      <c r="Q52" s="279" t="str">
        <f t="shared" si="0"/>
        <v>0</v>
      </c>
      <c r="R52" s="94"/>
      <c r="S52" s="98"/>
      <c r="AM52" s="95" t="str">
        <f t="shared" si="1"/>
        <v/>
      </c>
    </row>
    <row r="53" spans="12:39" x14ac:dyDescent="0.25">
      <c r="L53" s="79">
        <v>48</v>
      </c>
      <c r="M53" s="71" t="s">
        <v>63</v>
      </c>
      <c r="N53" s="73" t="s">
        <v>29</v>
      </c>
      <c r="O53" s="92" t="s">
        <v>52</v>
      </c>
      <c r="P53" s="81" t="str">
        <f t="shared" si="2"/>
        <v>DQA1*01:01DQB1*05:01</v>
      </c>
      <c r="Q53" s="279" t="str">
        <f t="shared" si="0"/>
        <v>0</v>
      </c>
      <c r="R53" s="94"/>
      <c r="S53" s="98"/>
      <c r="AM53" s="95" t="str">
        <f t="shared" si="1"/>
        <v/>
      </c>
    </row>
    <row r="54" spans="12:39" x14ac:dyDescent="0.25">
      <c r="L54" s="79">
        <v>49</v>
      </c>
      <c r="M54" s="71" t="s">
        <v>64</v>
      </c>
      <c r="N54" s="73" t="s">
        <v>31</v>
      </c>
      <c r="O54" s="92" t="s">
        <v>52</v>
      </c>
      <c r="P54" s="81" t="str">
        <f t="shared" si="2"/>
        <v>DQA1*01:02DQB1*05:02</v>
      </c>
      <c r="Q54" s="279" t="str">
        <f t="shared" si="0"/>
        <v>0</v>
      </c>
      <c r="R54" s="94"/>
      <c r="S54" s="98"/>
      <c r="AM54" s="95" t="str">
        <f t="shared" si="1"/>
        <v/>
      </c>
    </row>
    <row r="55" spans="12:39" x14ac:dyDescent="0.25">
      <c r="L55" s="79">
        <v>50</v>
      </c>
      <c r="M55" s="71" t="s">
        <v>65</v>
      </c>
      <c r="N55" s="73" t="s">
        <v>32</v>
      </c>
      <c r="O55" s="80" t="s">
        <v>53</v>
      </c>
      <c r="P55" s="81" t="str">
        <f t="shared" si="2"/>
        <v>DQA1*01:03DQB1*06:01</v>
      </c>
      <c r="Q55" s="279" t="str">
        <f t="shared" si="0"/>
        <v>0</v>
      </c>
      <c r="R55" s="94"/>
      <c r="S55" s="98"/>
      <c r="AM55" s="95" t="str">
        <f t="shared" si="1"/>
        <v/>
      </c>
    </row>
    <row r="56" spans="12:39" x14ac:dyDescent="0.25">
      <c r="L56" s="79">
        <v>51</v>
      </c>
      <c r="M56" s="71" t="s">
        <v>64</v>
      </c>
      <c r="N56" s="73" t="s">
        <v>34</v>
      </c>
      <c r="O56" s="80" t="s">
        <v>53</v>
      </c>
      <c r="P56" s="81" t="str">
        <f t="shared" si="2"/>
        <v>DQA1*01:02DQB1*06:02</v>
      </c>
      <c r="Q56" s="279" t="str">
        <f t="shared" si="0"/>
        <v>0</v>
      </c>
      <c r="R56" s="94"/>
      <c r="S56" s="98"/>
      <c r="AM56" s="95" t="str">
        <f t="shared" si="1"/>
        <v/>
      </c>
    </row>
    <row r="57" spans="12:39" x14ac:dyDescent="0.25">
      <c r="L57" s="79">
        <v>52</v>
      </c>
      <c r="M57" s="71" t="s">
        <v>63</v>
      </c>
      <c r="N57" s="73" t="s">
        <v>34</v>
      </c>
      <c r="O57" s="80" t="s">
        <v>53</v>
      </c>
      <c r="P57" s="81" t="str">
        <f t="shared" si="2"/>
        <v>DQA1*01:01DQB1*06:02</v>
      </c>
      <c r="Q57" s="279" t="str">
        <f t="shared" si="0"/>
        <v>0</v>
      </c>
      <c r="R57" s="94"/>
      <c r="S57" s="98"/>
      <c r="AM57" s="95" t="str">
        <f t="shared" si="1"/>
        <v/>
      </c>
    </row>
    <row r="58" spans="12:39" x14ac:dyDescent="0.25">
      <c r="L58" s="79">
        <v>53</v>
      </c>
      <c r="M58" s="71" t="s">
        <v>65</v>
      </c>
      <c r="N58" s="73" t="s">
        <v>35</v>
      </c>
      <c r="O58" s="80" t="s">
        <v>53</v>
      </c>
      <c r="P58" s="81" t="str">
        <f t="shared" si="2"/>
        <v>DQA1*01:03DQB1*06:03</v>
      </c>
      <c r="Q58" s="279" t="str">
        <f t="shared" si="0"/>
        <v>0</v>
      </c>
      <c r="R58" s="94"/>
      <c r="S58" s="98"/>
      <c r="AM58" s="95" t="str">
        <f t="shared" si="1"/>
        <v/>
      </c>
    </row>
    <row r="59" spans="12:39" x14ac:dyDescent="0.25">
      <c r="L59" s="79">
        <v>54</v>
      </c>
      <c r="M59" s="71" t="s">
        <v>64</v>
      </c>
      <c r="N59" s="73" t="s">
        <v>36</v>
      </c>
      <c r="O59" s="80" t="s">
        <v>53</v>
      </c>
      <c r="P59" s="81" t="str">
        <f t="shared" si="2"/>
        <v>DQA1*01:02DQB1*06:04</v>
      </c>
      <c r="Q59" s="279" t="str">
        <f t="shared" si="0"/>
        <v>0</v>
      </c>
      <c r="R59" s="94"/>
      <c r="S59" s="98"/>
      <c r="AM59" s="95" t="str">
        <f t="shared" si="1"/>
        <v/>
      </c>
    </row>
    <row r="60" spans="12:39" x14ac:dyDescent="0.25">
      <c r="L60" s="79">
        <v>55</v>
      </c>
      <c r="M60" s="71" t="s">
        <v>64</v>
      </c>
      <c r="N60" s="73" t="s">
        <v>37</v>
      </c>
      <c r="O60" s="80" t="s">
        <v>53</v>
      </c>
      <c r="P60" s="81" t="str">
        <f t="shared" si="2"/>
        <v>DQA1*01:02DQB1*06:09</v>
      </c>
      <c r="Q60" s="279" t="str">
        <f t="shared" si="0"/>
        <v>0</v>
      </c>
      <c r="R60" s="94"/>
      <c r="S60" s="98"/>
      <c r="AM60" s="95" t="str">
        <f t="shared" si="1"/>
        <v/>
      </c>
    </row>
    <row r="61" spans="12:39" x14ac:dyDescent="0.25">
      <c r="L61" s="79">
        <v>56</v>
      </c>
      <c r="M61" s="71" t="s">
        <v>59</v>
      </c>
      <c r="N61" s="73" t="s">
        <v>17</v>
      </c>
      <c r="O61" s="74" t="s">
        <v>54</v>
      </c>
      <c r="P61" s="81" t="str">
        <f t="shared" si="2"/>
        <v>DQA1*03:01DQB1*03:01</v>
      </c>
      <c r="Q61" s="279" t="str">
        <f t="shared" si="0"/>
        <v>0</v>
      </c>
      <c r="R61" s="94"/>
      <c r="S61" s="98"/>
      <c r="AM61" s="95" t="str">
        <f t="shared" si="1"/>
        <v/>
      </c>
    </row>
    <row r="62" spans="12:39" x14ac:dyDescent="0.25">
      <c r="L62" s="79">
        <v>57</v>
      </c>
      <c r="M62" s="71" t="s">
        <v>58</v>
      </c>
      <c r="N62" s="73" t="s">
        <v>17</v>
      </c>
      <c r="O62" s="74" t="s">
        <v>54</v>
      </c>
      <c r="P62" s="81" t="str">
        <f t="shared" si="2"/>
        <v>DQA1*02:01DQB1*03:01</v>
      </c>
      <c r="Q62" s="279" t="str">
        <f t="shared" si="0"/>
        <v>0</v>
      </c>
      <c r="R62" s="94"/>
      <c r="S62" s="98"/>
      <c r="AM62" s="95" t="str">
        <f t="shared" si="1"/>
        <v/>
      </c>
    </row>
    <row r="63" spans="12:39" x14ac:dyDescent="0.25">
      <c r="L63" s="79">
        <v>58</v>
      </c>
      <c r="M63" s="71" t="s">
        <v>66</v>
      </c>
      <c r="N63" s="73" t="s">
        <v>17</v>
      </c>
      <c r="O63" s="74" t="s">
        <v>54</v>
      </c>
      <c r="P63" s="81" t="str">
        <f t="shared" si="2"/>
        <v>DQA1*05:03DQB1*03:01</v>
      </c>
      <c r="Q63" s="279" t="str">
        <f t="shared" si="0"/>
        <v>0</v>
      </c>
      <c r="R63" s="94"/>
      <c r="S63" s="98"/>
      <c r="AM63" s="95" t="str">
        <f t="shared" si="1"/>
        <v/>
      </c>
    </row>
    <row r="64" spans="12:39" x14ac:dyDescent="0.25">
      <c r="L64" s="79">
        <v>59</v>
      </c>
      <c r="M64" s="71" t="s">
        <v>67</v>
      </c>
      <c r="N64" s="73" t="s">
        <v>17</v>
      </c>
      <c r="O64" s="74" t="s">
        <v>54</v>
      </c>
      <c r="P64" s="81" t="str">
        <f t="shared" si="2"/>
        <v>DQA1*05:05DQB1*03:01</v>
      </c>
      <c r="Q64" s="279" t="str">
        <f t="shared" si="0"/>
        <v>0</v>
      </c>
      <c r="R64" s="94"/>
      <c r="S64" s="98"/>
      <c r="AM64" s="95" t="str">
        <f t="shared" si="1"/>
        <v/>
      </c>
    </row>
    <row r="65" spans="12:39" x14ac:dyDescent="0.25">
      <c r="L65" s="79">
        <v>60</v>
      </c>
      <c r="M65" s="71" t="s">
        <v>68</v>
      </c>
      <c r="N65" s="73" t="s">
        <v>17</v>
      </c>
      <c r="O65" s="74" t="s">
        <v>54</v>
      </c>
      <c r="P65" s="81" t="str">
        <f t="shared" si="2"/>
        <v>DQA1*06:01DQB1*03:01</v>
      </c>
      <c r="Q65" s="279" t="str">
        <f t="shared" si="0"/>
        <v>0</v>
      </c>
      <c r="R65" s="94"/>
      <c r="S65" s="98"/>
      <c r="AM65" s="95" t="str">
        <f t="shared" si="1"/>
        <v/>
      </c>
    </row>
    <row r="66" spans="12:39" x14ac:dyDescent="0.25">
      <c r="L66" s="79">
        <v>61</v>
      </c>
      <c r="M66" s="71" t="s">
        <v>58</v>
      </c>
      <c r="N66" s="73" t="s">
        <v>23</v>
      </c>
      <c r="O66" s="84" t="s">
        <v>55</v>
      </c>
      <c r="P66" s="81" t="str">
        <f t="shared" si="2"/>
        <v>DQA1*02:01DQB1*03:02</v>
      </c>
      <c r="Q66" s="279" t="str">
        <f t="shared" si="0"/>
        <v>0</v>
      </c>
      <c r="R66" s="94"/>
      <c r="S66" s="98"/>
      <c r="AM66" s="95" t="str">
        <f t="shared" si="1"/>
        <v/>
      </c>
    </row>
    <row r="67" spans="12:39" x14ac:dyDescent="0.25">
      <c r="L67" s="79">
        <v>62</v>
      </c>
      <c r="M67" s="71" t="s">
        <v>59</v>
      </c>
      <c r="N67" s="73" t="s">
        <v>23</v>
      </c>
      <c r="O67" s="84" t="s">
        <v>55</v>
      </c>
      <c r="P67" s="81" t="str">
        <f t="shared" si="2"/>
        <v>DQA1*03:01DQB1*03:02</v>
      </c>
      <c r="Q67" s="279" t="str">
        <f t="shared" si="0"/>
        <v>0</v>
      </c>
      <c r="R67" s="94"/>
      <c r="S67" s="98"/>
      <c r="AM67" s="95" t="str">
        <f t="shared" si="1"/>
        <v/>
      </c>
    </row>
    <row r="68" spans="12:39" x14ac:dyDescent="0.25">
      <c r="L68" s="79">
        <v>63</v>
      </c>
      <c r="M68" s="71" t="s">
        <v>69</v>
      </c>
      <c r="N68" s="73" t="s">
        <v>23</v>
      </c>
      <c r="O68" s="84" t="s">
        <v>55</v>
      </c>
      <c r="P68" s="81" t="str">
        <f t="shared" si="2"/>
        <v>DQA1*03:02DQB1*03:02</v>
      </c>
      <c r="Q68" s="279" t="str">
        <f t="shared" si="0"/>
        <v>0</v>
      </c>
      <c r="R68" s="94"/>
      <c r="S68" s="98"/>
      <c r="AM68" s="95" t="str">
        <f t="shared" si="1"/>
        <v/>
      </c>
    </row>
    <row r="69" spans="12:39" x14ac:dyDescent="0.25">
      <c r="L69" s="79">
        <v>64</v>
      </c>
      <c r="M69" s="71" t="s">
        <v>58</v>
      </c>
      <c r="N69" s="73" t="s">
        <v>25</v>
      </c>
      <c r="O69" s="90" t="s">
        <v>56</v>
      </c>
      <c r="P69" s="81" t="str">
        <f t="shared" si="2"/>
        <v>DQA1*02:01DQB1*03:03</v>
      </c>
      <c r="Q69" s="279" t="str">
        <f t="shared" si="0"/>
        <v>0</v>
      </c>
      <c r="R69" s="94"/>
      <c r="S69" s="98"/>
      <c r="AM69" s="95" t="str">
        <f t="shared" si="1"/>
        <v/>
      </c>
    </row>
    <row r="70" spans="12:39" x14ac:dyDescent="0.25">
      <c r="L70" s="79">
        <v>65</v>
      </c>
      <c r="M70" s="71" t="s">
        <v>59</v>
      </c>
      <c r="N70" s="73" t="s">
        <v>25</v>
      </c>
      <c r="O70" s="90" t="s">
        <v>56</v>
      </c>
      <c r="P70" s="81" t="str">
        <f t="shared" si="2"/>
        <v>DQA1*03:01DQB1*03:03</v>
      </c>
      <c r="Q70" s="279" t="str">
        <f t="shared" si="0"/>
        <v>0</v>
      </c>
      <c r="R70" s="94"/>
      <c r="S70" s="98"/>
      <c r="AM70" s="95" t="str">
        <f t="shared" si="1"/>
        <v/>
      </c>
    </row>
    <row r="71" spans="12:39" x14ac:dyDescent="0.25">
      <c r="L71" s="79">
        <v>66</v>
      </c>
      <c r="M71" s="71" t="s">
        <v>69</v>
      </c>
      <c r="N71" s="73" t="s">
        <v>25</v>
      </c>
      <c r="O71" s="90" t="s">
        <v>56</v>
      </c>
      <c r="P71" s="81" t="str">
        <f t="shared" si="2"/>
        <v>DQA1*03:02DQB1*03:03</v>
      </c>
      <c r="Q71" s="279" t="str">
        <f t="shared" si="0"/>
        <v>0</v>
      </c>
      <c r="R71" s="94"/>
      <c r="S71" s="98"/>
      <c r="AM71" s="95" t="str">
        <f t="shared" si="1"/>
        <v/>
      </c>
    </row>
    <row r="72" spans="12:39" x14ac:dyDescent="0.25">
      <c r="L72" s="79">
        <v>67</v>
      </c>
      <c r="M72" s="71" t="s">
        <v>135</v>
      </c>
      <c r="N72" s="78" t="s">
        <v>136</v>
      </c>
      <c r="O72" s="97" t="s">
        <v>137</v>
      </c>
      <c r="P72" s="81" t="str">
        <f t="shared" si="2"/>
        <v>DPA1*01:03DPB1*01:01</v>
      </c>
      <c r="Q72" s="279" t="str">
        <f t="shared" si="0"/>
        <v>0</v>
      </c>
      <c r="R72" s="94"/>
      <c r="AM72" s="95" t="str">
        <f t="shared" si="1"/>
        <v/>
      </c>
    </row>
    <row r="73" spans="12:39" x14ac:dyDescent="0.25">
      <c r="L73" s="79">
        <v>68</v>
      </c>
      <c r="M73" s="71" t="s">
        <v>138</v>
      </c>
      <c r="N73" s="78" t="s">
        <v>136</v>
      </c>
      <c r="O73" s="97" t="s">
        <v>137</v>
      </c>
      <c r="P73" s="81" t="str">
        <f t="shared" si="2"/>
        <v>DPA1*02:01DPB1*01:01</v>
      </c>
      <c r="Q73" s="279" t="str">
        <f t="shared" ref="Q73:Q102" si="3">+IF(ISERROR(INDEX($D$8:$D$150,MATCH(P73,$AM$8:$AM$150,0))),"0",INDEX($D$8:$D$150,MATCH(P73,$AM$8:$AM$150,0)))</f>
        <v>0</v>
      </c>
      <c r="R73" s="94"/>
      <c r="AM73" s="95" t="str">
        <f t="shared" ref="AM73:AM136" si="4">+B73&amp;C73</f>
        <v/>
      </c>
    </row>
    <row r="74" spans="12:39" x14ac:dyDescent="0.25">
      <c r="L74" s="79">
        <v>69</v>
      </c>
      <c r="M74" s="71" t="s">
        <v>135</v>
      </c>
      <c r="N74" s="72" t="s">
        <v>139</v>
      </c>
      <c r="O74" s="97" t="s">
        <v>140</v>
      </c>
      <c r="P74" s="81" t="str">
        <f t="shared" si="2"/>
        <v>DPA1*01:03DPB1*02:01</v>
      </c>
      <c r="Q74" s="279" t="str">
        <f t="shared" si="3"/>
        <v>0</v>
      </c>
      <c r="R74" s="94"/>
      <c r="AM74" s="95" t="str">
        <f t="shared" si="4"/>
        <v/>
      </c>
    </row>
    <row r="75" spans="12:39" x14ac:dyDescent="0.25">
      <c r="L75" s="79">
        <v>70</v>
      </c>
      <c r="M75" s="71" t="s">
        <v>141</v>
      </c>
      <c r="N75" s="78" t="s">
        <v>142</v>
      </c>
      <c r="O75" s="97" t="s">
        <v>143</v>
      </c>
      <c r="P75" s="81" t="str">
        <f t="shared" si="2"/>
        <v>DPA1*02:02DPB1*05:01</v>
      </c>
      <c r="Q75" s="279" t="str">
        <f t="shared" si="3"/>
        <v>0</v>
      </c>
      <c r="R75" s="94"/>
      <c r="AM75" s="95" t="str">
        <f t="shared" si="4"/>
        <v/>
      </c>
    </row>
    <row r="76" spans="12:39" x14ac:dyDescent="0.25">
      <c r="L76" s="79">
        <v>71</v>
      </c>
      <c r="M76" s="71" t="s">
        <v>135</v>
      </c>
      <c r="N76" s="96" t="s">
        <v>144</v>
      </c>
      <c r="O76" s="97" t="s">
        <v>145</v>
      </c>
      <c r="P76" s="81" t="str">
        <f t="shared" si="2"/>
        <v>DPA1*01:03DPB1*03:01</v>
      </c>
      <c r="Q76" s="279" t="str">
        <f t="shared" si="3"/>
        <v>0</v>
      </c>
      <c r="R76" s="94"/>
      <c r="AM76" s="95" t="str">
        <f t="shared" si="4"/>
        <v/>
      </c>
    </row>
    <row r="77" spans="12:39" x14ac:dyDescent="0.25">
      <c r="L77" s="79">
        <v>72</v>
      </c>
      <c r="M77" s="71" t="s">
        <v>146</v>
      </c>
      <c r="N77" s="96" t="s">
        <v>144</v>
      </c>
      <c r="O77" s="97" t="s">
        <v>145</v>
      </c>
      <c r="P77" s="81" t="str">
        <f t="shared" si="2"/>
        <v>DPA1*01:05DPB1*03:01</v>
      </c>
      <c r="Q77" s="279" t="str">
        <f t="shared" si="3"/>
        <v>0</v>
      </c>
      <c r="R77" s="94"/>
      <c r="AM77" s="95" t="str">
        <f t="shared" si="4"/>
        <v/>
      </c>
    </row>
    <row r="78" spans="12:39" x14ac:dyDescent="0.25">
      <c r="L78" s="79">
        <v>73</v>
      </c>
      <c r="M78" s="71" t="s">
        <v>138</v>
      </c>
      <c r="N78" s="96" t="s">
        <v>144</v>
      </c>
      <c r="O78" s="97" t="s">
        <v>145</v>
      </c>
      <c r="P78" s="81" t="str">
        <f t="shared" si="2"/>
        <v>DPA1*02:01DPB1*03:01</v>
      </c>
      <c r="Q78" s="279" t="str">
        <f t="shared" si="3"/>
        <v>0</v>
      </c>
      <c r="R78" s="94"/>
      <c r="AM78" s="95" t="str">
        <f t="shared" si="4"/>
        <v/>
      </c>
    </row>
    <row r="79" spans="12:39" x14ac:dyDescent="0.25">
      <c r="L79" s="79">
        <v>74</v>
      </c>
      <c r="M79" s="71" t="s">
        <v>135</v>
      </c>
      <c r="N79" s="83" t="s">
        <v>147</v>
      </c>
      <c r="O79" s="97" t="s">
        <v>148</v>
      </c>
      <c r="P79" s="81" t="str">
        <f t="shared" si="2"/>
        <v>DPA1*01:03DPB1*04:01</v>
      </c>
      <c r="Q79" s="279" t="str">
        <f t="shared" si="3"/>
        <v>0</v>
      </c>
      <c r="R79" s="94"/>
      <c r="AM79" s="95" t="str">
        <f t="shared" si="4"/>
        <v/>
      </c>
    </row>
    <row r="80" spans="12:39" x14ac:dyDescent="0.25">
      <c r="L80" s="79">
        <v>75</v>
      </c>
      <c r="M80" s="71" t="s">
        <v>135</v>
      </c>
      <c r="N80" s="72" t="s">
        <v>149</v>
      </c>
      <c r="O80" s="97" t="s">
        <v>148</v>
      </c>
      <c r="P80" s="81" t="str">
        <f t="shared" si="2"/>
        <v>DPA1*01:03DPB1*04:02</v>
      </c>
      <c r="Q80" s="279" t="str">
        <f t="shared" si="3"/>
        <v>0</v>
      </c>
      <c r="R80" s="94"/>
      <c r="AM80" s="95" t="str">
        <f t="shared" si="4"/>
        <v/>
      </c>
    </row>
    <row r="81" spans="12:39" x14ac:dyDescent="0.25">
      <c r="L81" s="79">
        <v>76</v>
      </c>
      <c r="M81" s="71" t="s">
        <v>138</v>
      </c>
      <c r="N81" s="78" t="s">
        <v>142</v>
      </c>
      <c r="O81" s="97" t="s">
        <v>143</v>
      </c>
      <c r="P81" s="81" t="str">
        <f t="shared" si="2"/>
        <v>DPA1*02:01DPB1*05:01</v>
      </c>
      <c r="Q81" s="279" t="str">
        <f t="shared" si="3"/>
        <v>0</v>
      </c>
      <c r="R81" s="94"/>
      <c r="AM81" s="95" t="str">
        <f t="shared" si="4"/>
        <v/>
      </c>
    </row>
    <row r="82" spans="12:39" x14ac:dyDescent="0.25">
      <c r="L82" s="79">
        <v>77</v>
      </c>
      <c r="M82" s="71" t="s">
        <v>138</v>
      </c>
      <c r="N82" s="96" t="s">
        <v>150</v>
      </c>
      <c r="O82" s="97" t="s">
        <v>151</v>
      </c>
      <c r="P82" s="81" t="str">
        <f t="shared" si="2"/>
        <v>DPA1*02:01DPB1*06:01</v>
      </c>
      <c r="Q82" s="279" t="str">
        <f t="shared" si="3"/>
        <v>0</v>
      </c>
      <c r="R82" s="94"/>
      <c r="AM82" s="95" t="str">
        <f t="shared" si="4"/>
        <v/>
      </c>
    </row>
    <row r="83" spans="12:39" x14ac:dyDescent="0.25">
      <c r="L83" s="79">
        <v>78</v>
      </c>
      <c r="M83" s="71" t="s">
        <v>135</v>
      </c>
      <c r="N83" s="96" t="s">
        <v>150</v>
      </c>
      <c r="O83" s="97" t="s">
        <v>151</v>
      </c>
      <c r="P83" s="81" t="str">
        <f t="shared" si="2"/>
        <v>DPA1*01:03DPB1*06:01</v>
      </c>
      <c r="Q83" s="279" t="str">
        <f t="shared" si="3"/>
        <v>0</v>
      </c>
      <c r="R83" s="94"/>
      <c r="AM83" s="95" t="str">
        <f t="shared" si="4"/>
        <v/>
      </c>
    </row>
    <row r="84" spans="12:39" x14ac:dyDescent="0.25">
      <c r="L84" s="79">
        <v>79</v>
      </c>
      <c r="M84" s="71" t="s">
        <v>138</v>
      </c>
      <c r="N84" s="96" t="s">
        <v>152</v>
      </c>
      <c r="O84" s="97" t="s">
        <v>153</v>
      </c>
      <c r="P84" s="81" t="str">
        <f t="shared" si="2"/>
        <v>DPA1*02:01DPB1*09:01</v>
      </c>
      <c r="Q84" s="279" t="str">
        <f t="shared" si="3"/>
        <v>0</v>
      </c>
      <c r="R84" s="94"/>
      <c r="AM84" s="95" t="str">
        <f t="shared" si="4"/>
        <v/>
      </c>
    </row>
    <row r="85" spans="12:39" x14ac:dyDescent="0.25">
      <c r="L85" s="79">
        <v>80</v>
      </c>
      <c r="M85" s="89" t="s">
        <v>141</v>
      </c>
      <c r="N85" s="78" t="s">
        <v>154</v>
      </c>
      <c r="O85" s="97" t="s">
        <v>155</v>
      </c>
      <c r="P85" s="81" t="str">
        <f t="shared" si="2"/>
        <v>DPA1*02:02DPB1*10:01</v>
      </c>
      <c r="Q85" s="279" t="str">
        <f t="shared" si="3"/>
        <v>0</v>
      </c>
      <c r="R85" s="94"/>
      <c r="AM85" s="95" t="str">
        <f t="shared" si="4"/>
        <v/>
      </c>
    </row>
    <row r="86" spans="12:39" x14ac:dyDescent="0.25">
      <c r="L86" s="79">
        <v>82</v>
      </c>
      <c r="M86" s="71" t="s">
        <v>135</v>
      </c>
      <c r="N86" s="78" t="s">
        <v>156</v>
      </c>
      <c r="O86" s="97" t="s">
        <v>157</v>
      </c>
      <c r="P86" s="81" t="str">
        <f t="shared" si="2"/>
        <v>DPA1*01:03DPB1*11:01</v>
      </c>
      <c r="Q86" s="279" t="str">
        <f t="shared" si="3"/>
        <v>0</v>
      </c>
      <c r="R86" s="94"/>
      <c r="AM86" s="95" t="str">
        <f t="shared" si="4"/>
        <v/>
      </c>
    </row>
    <row r="87" spans="12:39" x14ac:dyDescent="0.25">
      <c r="L87" s="79">
        <v>83</v>
      </c>
      <c r="M87" s="71" t="s">
        <v>135</v>
      </c>
      <c r="N87" s="72" t="s">
        <v>158</v>
      </c>
      <c r="O87" s="97" t="s">
        <v>159</v>
      </c>
      <c r="P87" s="81" t="str">
        <f t="shared" si="2"/>
        <v>DPA1*01:03DPB1*28:01</v>
      </c>
      <c r="Q87" s="279" t="str">
        <f t="shared" si="3"/>
        <v>0</v>
      </c>
      <c r="R87" s="94"/>
      <c r="AM87" s="95" t="str">
        <f t="shared" si="4"/>
        <v/>
      </c>
    </row>
    <row r="88" spans="12:39" x14ac:dyDescent="0.25">
      <c r="L88" s="79">
        <v>84</v>
      </c>
      <c r="M88" s="71" t="s">
        <v>138</v>
      </c>
      <c r="N88" s="78" t="s">
        <v>160</v>
      </c>
      <c r="O88" s="97" t="s">
        <v>161</v>
      </c>
      <c r="P88" s="81" t="str">
        <f t="shared" si="2"/>
        <v>DPA1*02:01DPB1*13:01</v>
      </c>
      <c r="Q88" s="279" t="str">
        <f t="shared" si="3"/>
        <v>0</v>
      </c>
      <c r="R88" s="94"/>
      <c r="AM88" s="95" t="str">
        <f t="shared" si="4"/>
        <v/>
      </c>
    </row>
    <row r="89" spans="12:39" x14ac:dyDescent="0.25">
      <c r="L89" s="79">
        <v>85</v>
      </c>
      <c r="M89" s="71" t="s">
        <v>141</v>
      </c>
      <c r="N89" s="78" t="s">
        <v>160</v>
      </c>
      <c r="O89" s="97" t="s">
        <v>161</v>
      </c>
      <c r="P89" s="81" t="str">
        <f t="shared" si="2"/>
        <v>DPA1*02:02DPB1*13:01</v>
      </c>
      <c r="Q89" s="279" t="str">
        <f t="shared" si="3"/>
        <v>0</v>
      </c>
      <c r="R89" s="94"/>
      <c r="AM89" s="95" t="str">
        <f t="shared" si="4"/>
        <v/>
      </c>
    </row>
    <row r="90" spans="12:39" x14ac:dyDescent="0.25">
      <c r="L90" s="79">
        <v>86</v>
      </c>
      <c r="M90" s="71" t="s">
        <v>162</v>
      </c>
      <c r="N90" s="78" t="s">
        <v>160</v>
      </c>
      <c r="O90" s="97" t="s">
        <v>161</v>
      </c>
      <c r="P90" s="81" t="str">
        <f t="shared" si="2"/>
        <v>DPA1*03:01DPB1*13:01</v>
      </c>
      <c r="Q90" s="279" t="str">
        <f t="shared" si="3"/>
        <v>0</v>
      </c>
      <c r="R90" s="94"/>
      <c r="AM90" s="95" t="str">
        <f t="shared" si="4"/>
        <v/>
      </c>
    </row>
    <row r="91" spans="12:39" x14ac:dyDescent="0.25">
      <c r="L91" s="79">
        <v>87</v>
      </c>
      <c r="M91" s="71" t="s">
        <v>138</v>
      </c>
      <c r="N91" s="96" t="s">
        <v>163</v>
      </c>
      <c r="O91" s="97" t="s">
        <v>164</v>
      </c>
      <c r="P91" s="81" t="str">
        <f t="shared" si="2"/>
        <v>DPA1*02:01DPB1*14:01</v>
      </c>
      <c r="Q91" s="279" t="str">
        <f t="shared" si="3"/>
        <v>0</v>
      </c>
      <c r="R91" s="94"/>
      <c r="AM91" s="95" t="str">
        <f t="shared" si="4"/>
        <v/>
      </c>
    </row>
    <row r="92" spans="12:39" x14ac:dyDescent="0.25">
      <c r="L92" s="79">
        <v>88</v>
      </c>
      <c r="M92" s="71" t="s">
        <v>138</v>
      </c>
      <c r="N92" s="83" t="s">
        <v>165</v>
      </c>
      <c r="O92" s="97" t="s">
        <v>166</v>
      </c>
      <c r="P92" s="81" t="str">
        <f t="shared" si="2"/>
        <v>DPA1*02:01DPB1*15:01</v>
      </c>
      <c r="Q92" s="279" t="str">
        <f t="shared" si="3"/>
        <v>0</v>
      </c>
      <c r="R92" s="94"/>
      <c r="AM92" s="95" t="str">
        <f t="shared" si="4"/>
        <v/>
      </c>
    </row>
    <row r="93" spans="12:39" x14ac:dyDescent="0.25">
      <c r="L93" s="79">
        <v>89</v>
      </c>
      <c r="M93" s="71" t="s">
        <v>138</v>
      </c>
      <c r="N93" s="96" t="s">
        <v>167</v>
      </c>
      <c r="O93" s="97" t="s">
        <v>168</v>
      </c>
      <c r="P93" s="81" t="str">
        <f t="shared" si="2"/>
        <v>DPA1*02:01DPB1*17:01</v>
      </c>
      <c r="Q93" s="279" t="str">
        <f t="shared" si="3"/>
        <v>0</v>
      </c>
      <c r="R93" s="94"/>
      <c r="AM93" s="95" t="str">
        <f t="shared" si="4"/>
        <v/>
      </c>
    </row>
    <row r="94" spans="12:39" x14ac:dyDescent="0.25">
      <c r="L94" s="79">
        <v>90</v>
      </c>
      <c r="M94" s="71" t="s">
        <v>138</v>
      </c>
      <c r="N94" s="72" t="s">
        <v>169</v>
      </c>
      <c r="O94" s="97" t="s">
        <v>170</v>
      </c>
      <c r="P94" s="81" t="str">
        <f t="shared" si="2"/>
        <v>DPA1*02:01DPB1*18:01</v>
      </c>
      <c r="Q94" s="279" t="str">
        <f t="shared" si="3"/>
        <v>0</v>
      </c>
      <c r="R94" s="94"/>
      <c r="AM94" s="95" t="str">
        <f t="shared" si="4"/>
        <v/>
      </c>
    </row>
    <row r="95" spans="12:39" x14ac:dyDescent="0.25">
      <c r="L95" s="79">
        <v>91</v>
      </c>
      <c r="M95" s="71" t="s">
        <v>146</v>
      </c>
      <c r="N95" s="72" t="s">
        <v>169</v>
      </c>
      <c r="O95" s="97" t="s">
        <v>170</v>
      </c>
      <c r="P95" s="81" t="str">
        <f t="shared" si="2"/>
        <v>DPA1*01:05DPB1*18:01</v>
      </c>
      <c r="Q95" s="279" t="str">
        <f t="shared" si="3"/>
        <v>0</v>
      </c>
      <c r="R95" s="94"/>
      <c r="AM95" s="95" t="str">
        <f t="shared" si="4"/>
        <v/>
      </c>
    </row>
    <row r="96" spans="12:39" x14ac:dyDescent="0.25">
      <c r="L96" s="79">
        <v>92</v>
      </c>
      <c r="M96" s="71" t="s">
        <v>171</v>
      </c>
      <c r="N96" s="72" t="s">
        <v>169</v>
      </c>
      <c r="O96" s="97" t="s">
        <v>170</v>
      </c>
      <c r="P96" s="81" t="str">
        <f t="shared" si="2"/>
        <v>DPA1*01:04DPB1*18:01</v>
      </c>
      <c r="Q96" s="279" t="str">
        <f t="shared" si="3"/>
        <v>0</v>
      </c>
      <c r="R96" s="94"/>
      <c r="AM96" s="95" t="str">
        <f t="shared" si="4"/>
        <v/>
      </c>
    </row>
    <row r="97" spans="12:39" x14ac:dyDescent="0.25">
      <c r="L97" s="79">
        <v>93</v>
      </c>
      <c r="M97" s="71" t="s">
        <v>135</v>
      </c>
      <c r="N97" s="78" t="s">
        <v>172</v>
      </c>
      <c r="O97" s="97" t="s">
        <v>173</v>
      </c>
      <c r="P97" s="81" t="str">
        <f t="shared" si="2"/>
        <v>DPA1*01:03DPB1*19:01</v>
      </c>
      <c r="Q97" s="279" t="str">
        <f t="shared" si="3"/>
        <v>0</v>
      </c>
      <c r="R97" s="94"/>
      <c r="AM97" s="95" t="str">
        <f t="shared" si="4"/>
        <v/>
      </c>
    </row>
    <row r="98" spans="12:39" x14ac:dyDescent="0.25">
      <c r="L98" s="79">
        <v>94</v>
      </c>
      <c r="M98" s="71" t="s">
        <v>162</v>
      </c>
      <c r="N98" s="96" t="s">
        <v>174</v>
      </c>
      <c r="O98" s="97" t="s">
        <v>175</v>
      </c>
      <c r="P98" s="81" t="str">
        <f t="shared" si="2"/>
        <v>DPA1*03:01DPB1*20:01</v>
      </c>
      <c r="Q98" s="279" t="str">
        <f t="shared" si="3"/>
        <v>0</v>
      </c>
      <c r="R98" s="94"/>
      <c r="AM98" s="95" t="str">
        <f t="shared" si="4"/>
        <v/>
      </c>
    </row>
    <row r="99" spans="12:39" x14ac:dyDescent="0.25">
      <c r="L99" s="79">
        <v>95</v>
      </c>
      <c r="M99" s="71" t="s">
        <v>135</v>
      </c>
      <c r="N99" s="83" t="s">
        <v>176</v>
      </c>
      <c r="O99" s="97" t="s">
        <v>177</v>
      </c>
      <c r="P99" s="81" t="str">
        <f t="shared" si="2"/>
        <v>DPA1*01:03DPB1*23:01</v>
      </c>
      <c r="Q99" s="279" t="str">
        <f t="shared" si="3"/>
        <v>0</v>
      </c>
      <c r="R99" s="94"/>
      <c r="AM99" s="95" t="str">
        <f t="shared" si="4"/>
        <v/>
      </c>
    </row>
    <row r="100" spans="12:39" x14ac:dyDescent="0.25">
      <c r="L100" s="79">
        <v>96</v>
      </c>
      <c r="M100" s="71" t="s">
        <v>146</v>
      </c>
      <c r="N100" s="72" t="s">
        <v>158</v>
      </c>
      <c r="O100" s="97" t="s">
        <v>159</v>
      </c>
      <c r="P100" s="81" t="str">
        <f t="shared" si="2"/>
        <v>DPA1*01:05DPB1*28:01</v>
      </c>
      <c r="Q100" s="279" t="str">
        <f t="shared" si="3"/>
        <v>0</v>
      </c>
      <c r="R100" s="94"/>
      <c r="AM100" s="95" t="str">
        <f t="shared" si="4"/>
        <v/>
      </c>
    </row>
    <row r="101" spans="12:39" x14ac:dyDescent="0.25">
      <c r="L101" s="79">
        <v>97</v>
      </c>
      <c r="M101" s="71" t="s">
        <v>178</v>
      </c>
      <c r="N101" s="72" t="s">
        <v>158</v>
      </c>
      <c r="O101" s="97" t="s">
        <v>159</v>
      </c>
      <c r="P101" s="81" t="str">
        <f t="shared" si="2"/>
        <v>DPA1*04:01DPB1*28:01</v>
      </c>
      <c r="Q101" s="279" t="str">
        <f t="shared" si="3"/>
        <v>0</v>
      </c>
      <c r="R101" s="94"/>
      <c r="AM101" s="95" t="str">
        <f t="shared" si="4"/>
        <v/>
      </c>
    </row>
    <row r="102" spans="12:39" x14ac:dyDescent="0.25">
      <c r="L102" s="79">
        <v>98</v>
      </c>
      <c r="M102" s="71" t="s">
        <v>141</v>
      </c>
      <c r="N102" s="78" t="s">
        <v>156</v>
      </c>
      <c r="O102" s="97" t="s">
        <v>157</v>
      </c>
      <c r="P102" s="81" t="str">
        <f t="shared" si="2"/>
        <v>DPA1*02:02DPB1*11:01</v>
      </c>
      <c r="Q102" s="279" t="str">
        <f t="shared" si="3"/>
        <v>0</v>
      </c>
      <c r="R102" s="94"/>
      <c r="AM102" s="95" t="str">
        <f t="shared" si="4"/>
        <v/>
      </c>
    </row>
    <row r="103" spans="12:39" ht="15.75" thickBot="1" x14ac:dyDescent="0.3">
      <c r="L103" s="77"/>
      <c r="M103" s="88"/>
      <c r="N103" s="88"/>
      <c r="O103" s="88"/>
      <c r="P103" s="88"/>
      <c r="Q103" s="88"/>
      <c r="R103" s="93"/>
      <c r="AM103" s="95" t="str">
        <f t="shared" si="4"/>
        <v/>
      </c>
    </row>
    <row r="104" spans="12:39" ht="15.75" thickTop="1" x14ac:dyDescent="0.25">
      <c r="AM104" s="95" t="str">
        <f t="shared" si="4"/>
        <v/>
      </c>
    </row>
    <row r="105" spans="12:39" x14ac:dyDescent="0.25">
      <c r="AM105" s="95" t="str">
        <f t="shared" si="4"/>
        <v/>
      </c>
    </row>
    <row r="106" spans="12:39" x14ac:dyDescent="0.25">
      <c r="AM106" s="95" t="str">
        <f t="shared" si="4"/>
        <v/>
      </c>
    </row>
    <row r="107" spans="12:39" x14ac:dyDescent="0.25">
      <c r="AM107" s="95" t="str">
        <f t="shared" si="4"/>
        <v/>
      </c>
    </row>
    <row r="108" spans="12:39" x14ac:dyDescent="0.25">
      <c r="AM108" s="95" t="str">
        <f t="shared" si="4"/>
        <v/>
      </c>
    </row>
    <row r="109" spans="12:39" x14ac:dyDescent="0.25">
      <c r="AM109" s="95" t="str">
        <f t="shared" si="4"/>
        <v/>
      </c>
    </row>
    <row r="110" spans="12:39" x14ac:dyDescent="0.25">
      <c r="AM110" s="95" t="str">
        <f t="shared" si="4"/>
        <v/>
      </c>
    </row>
    <row r="111" spans="12:39" x14ac:dyDescent="0.25">
      <c r="AM111" s="95" t="str">
        <f t="shared" si="4"/>
        <v/>
      </c>
    </row>
    <row r="112" spans="12:39" x14ac:dyDescent="0.25">
      <c r="AM112" s="95" t="str">
        <f t="shared" si="4"/>
        <v/>
      </c>
    </row>
    <row r="113" spans="39:39" x14ac:dyDescent="0.25">
      <c r="AM113" s="95" t="str">
        <f t="shared" si="4"/>
        <v/>
      </c>
    </row>
    <row r="114" spans="39:39" x14ac:dyDescent="0.25">
      <c r="AM114" s="95" t="str">
        <f t="shared" si="4"/>
        <v/>
      </c>
    </row>
    <row r="115" spans="39:39" x14ac:dyDescent="0.25">
      <c r="AM115" s="95" t="str">
        <f t="shared" si="4"/>
        <v/>
      </c>
    </row>
    <row r="116" spans="39:39" x14ac:dyDescent="0.25">
      <c r="AM116" s="95" t="str">
        <f t="shared" si="4"/>
        <v/>
      </c>
    </row>
    <row r="117" spans="39:39" x14ac:dyDescent="0.25">
      <c r="AM117" s="95" t="str">
        <f t="shared" si="4"/>
        <v/>
      </c>
    </row>
    <row r="118" spans="39:39" x14ac:dyDescent="0.25">
      <c r="AM118" s="95" t="str">
        <f t="shared" si="4"/>
        <v/>
      </c>
    </row>
    <row r="119" spans="39:39" x14ac:dyDescent="0.25">
      <c r="AM119" s="95" t="str">
        <f t="shared" si="4"/>
        <v/>
      </c>
    </row>
    <row r="120" spans="39:39" x14ac:dyDescent="0.25">
      <c r="AM120" s="95" t="str">
        <f t="shared" si="4"/>
        <v/>
      </c>
    </row>
    <row r="121" spans="39:39" x14ac:dyDescent="0.25">
      <c r="AM121" s="95" t="str">
        <f t="shared" si="4"/>
        <v/>
      </c>
    </row>
    <row r="122" spans="39:39" x14ac:dyDescent="0.25">
      <c r="AM122" s="95" t="str">
        <f t="shared" si="4"/>
        <v/>
      </c>
    </row>
    <row r="123" spans="39:39" x14ac:dyDescent="0.25">
      <c r="AM123" s="95" t="str">
        <f t="shared" si="4"/>
        <v/>
      </c>
    </row>
    <row r="124" spans="39:39" x14ac:dyDescent="0.25">
      <c r="AM124" s="95" t="str">
        <f t="shared" si="4"/>
        <v/>
      </c>
    </row>
    <row r="125" spans="39:39" x14ac:dyDescent="0.25">
      <c r="AM125" s="95" t="str">
        <f t="shared" si="4"/>
        <v/>
      </c>
    </row>
    <row r="126" spans="39:39" x14ac:dyDescent="0.25">
      <c r="AM126" s="95" t="str">
        <f t="shared" si="4"/>
        <v/>
      </c>
    </row>
    <row r="127" spans="39:39" x14ac:dyDescent="0.25">
      <c r="AM127" s="95" t="str">
        <f t="shared" si="4"/>
        <v/>
      </c>
    </row>
    <row r="128" spans="39:39" x14ac:dyDescent="0.25">
      <c r="AM128" s="95" t="str">
        <f t="shared" si="4"/>
        <v/>
      </c>
    </row>
    <row r="129" spans="39:39" x14ac:dyDescent="0.25">
      <c r="AM129" s="95" t="str">
        <f t="shared" si="4"/>
        <v/>
      </c>
    </row>
    <row r="130" spans="39:39" x14ac:dyDescent="0.25">
      <c r="AM130" s="95" t="str">
        <f t="shared" si="4"/>
        <v/>
      </c>
    </row>
    <row r="131" spans="39:39" x14ac:dyDescent="0.25">
      <c r="AM131" s="95" t="str">
        <f t="shared" si="4"/>
        <v/>
      </c>
    </row>
    <row r="132" spans="39:39" x14ac:dyDescent="0.25">
      <c r="AM132" s="95" t="str">
        <f t="shared" si="4"/>
        <v/>
      </c>
    </row>
    <row r="133" spans="39:39" x14ac:dyDescent="0.25">
      <c r="AM133" s="95" t="str">
        <f t="shared" si="4"/>
        <v/>
      </c>
    </row>
    <row r="134" spans="39:39" x14ac:dyDescent="0.25">
      <c r="AM134" s="95" t="str">
        <f t="shared" si="4"/>
        <v/>
      </c>
    </row>
    <row r="135" spans="39:39" x14ac:dyDescent="0.25">
      <c r="AM135" s="95" t="str">
        <f t="shared" si="4"/>
        <v/>
      </c>
    </row>
    <row r="136" spans="39:39" x14ac:dyDescent="0.25">
      <c r="AM136" s="95" t="str">
        <f t="shared" si="4"/>
        <v/>
      </c>
    </row>
    <row r="137" spans="39:39" x14ac:dyDescent="0.25">
      <c r="AM137" s="95" t="str">
        <f t="shared" ref="AM137:AM150" si="5">+B137&amp;C137</f>
        <v/>
      </c>
    </row>
    <row r="138" spans="39:39" x14ac:dyDescent="0.25">
      <c r="AM138" s="95" t="str">
        <f t="shared" si="5"/>
        <v/>
      </c>
    </row>
    <row r="139" spans="39:39" x14ac:dyDescent="0.25">
      <c r="AM139" s="95" t="str">
        <f t="shared" si="5"/>
        <v/>
      </c>
    </row>
    <row r="140" spans="39:39" x14ac:dyDescent="0.25">
      <c r="AM140" s="95" t="str">
        <f t="shared" si="5"/>
        <v/>
      </c>
    </row>
    <row r="141" spans="39:39" x14ac:dyDescent="0.25">
      <c r="AM141" s="95" t="str">
        <f t="shared" si="5"/>
        <v/>
      </c>
    </row>
    <row r="142" spans="39:39" x14ac:dyDescent="0.25">
      <c r="AM142" s="95" t="str">
        <f t="shared" si="5"/>
        <v/>
      </c>
    </row>
    <row r="143" spans="39:39" x14ac:dyDescent="0.25">
      <c r="AM143" s="95" t="str">
        <f t="shared" si="5"/>
        <v/>
      </c>
    </row>
    <row r="144" spans="39:39" x14ac:dyDescent="0.25">
      <c r="AM144" s="95" t="str">
        <f t="shared" si="5"/>
        <v/>
      </c>
    </row>
    <row r="145" spans="39:39" x14ac:dyDescent="0.25">
      <c r="AM145" s="95" t="str">
        <f t="shared" si="5"/>
        <v/>
      </c>
    </row>
    <row r="146" spans="39:39" x14ac:dyDescent="0.25">
      <c r="AM146" s="95" t="str">
        <f t="shared" si="5"/>
        <v/>
      </c>
    </row>
    <row r="147" spans="39:39" x14ac:dyDescent="0.25">
      <c r="AM147" s="95" t="str">
        <f t="shared" si="5"/>
        <v/>
      </c>
    </row>
    <row r="148" spans="39:39" x14ac:dyDescent="0.25">
      <c r="AM148" s="95" t="str">
        <f t="shared" si="5"/>
        <v/>
      </c>
    </row>
    <row r="149" spans="39:39" x14ac:dyDescent="0.25">
      <c r="AM149" s="95" t="str">
        <f t="shared" si="5"/>
        <v/>
      </c>
    </row>
    <row r="150" spans="39:39" x14ac:dyDescent="0.25">
      <c r="AM150" s="95" t="str">
        <f t="shared" si="5"/>
        <v/>
      </c>
    </row>
  </sheetData>
  <mergeCells count="3">
    <mergeCell ref="O6:P6"/>
    <mergeCell ref="N3:Q3"/>
    <mergeCell ref="B3:D3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CV4599"/>
  <sheetViews>
    <sheetView workbookViewId="0">
      <selection activeCell="E5" sqref="E5:CU5"/>
    </sheetView>
  </sheetViews>
  <sheetFormatPr baseColWidth="10" defaultColWidth="11.42578125" defaultRowHeight="15" x14ac:dyDescent="0.2"/>
  <cols>
    <col min="1" max="1" width="16.28515625" style="151" customWidth="1"/>
    <col min="2" max="2" width="28.5703125" style="136" customWidth="1"/>
    <col min="3" max="3" width="26.5703125" style="136" customWidth="1"/>
    <col min="4" max="4" width="16.28515625" style="136" customWidth="1"/>
    <col min="5" max="5" width="13.85546875" style="136" bestFit="1" customWidth="1"/>
    <col min="6" max="99" width="11.5703125" style="136" bestFit="1" customWidth="1"/>
    <col min="100" max="100" width="15.28515625" style="136" bestFit="1" customWidth="1"/>
    <col min="101" max="16384" width="11.42578125" style="136"/>
  </cols>
  <sheetData>
    <row r="1" spans="5:100" x14ac:dyDescent="0.4">
      <c r="E1" s="134">
        <f>+'EPITOPIA Classe 2'!A5</f>
        <v>33878480</v>
      </c>
    </row>
    <row r="3" spans="5:100" x14ac:dyDescent="0.4">
      <c r="E3" s="128">
        <f t="shared" ref="E3:AJ3" si="0">+INDEX(E31:E5000,MATCH($E$1,$D$31:$D$5000,0))</f>
        <v>0.87964613713729989</v>
      </c>
      <c r="F3" s="128">
        <f t="shared" si="0"/>
        <v>-1.9773825958784954</v>
      </c>
      <c r="G3" s="128">
        <f t="shared" si="0"/>
        <v>44.168487767411705</v>
      </c>
      <c r="H3" s="128">
        <f t="shared" si="0"/>
        <v>3257.172716405496</v>
      </c>
      <c r="I3" s="128">
        <f t="shared" si="0"/>
        <v>1612.7665636929671</v>
      </c>
      <c r="J3" s="128">
        <f t="shared" si="0"/>
        <v>91.956691752186202</v>
      </c>
      <c r="K3" s="128">
        <f t="shared" si="0"/>
        <v>85.959212606499193</v>
      </c>
      <c r="L3" s="128">
        <f t="shared" si="0"/>
        <v>81.033630987035224</v>
      </c>
      <c r="M3" s="128">
        <f t="shared" si="0"/>
        <v>32.762936385882213</v>
      </c>
      <c r="N3" s="128">
        <f t="shared" si="0"/>
        <v>3264.4236423314196</v>
      </c>
      <c r="O3" s="128">
        <f t="shared" si="0"/>
        <v>72.140154724110204</v>
      </c>
      <c r="P3" s="128">
        <f t="shared" si="0"/>
        <v>642.24742904917719</v>
      </c>
      <c r="Q3" s="128">
        <f t="shared" si="0"/>
        <v>8229.5260722360181</v>
      </c>
      <c r="R3" s="128">
        <f t="shared" si="0"/>
        <v>11948.997837178424</v>
      </c>
      <c r="S3" s="128">
        <f t="shared" si="0"/>
        <v>5001.1436096457219</v>
      </c>
      <c r="T3" s="128">
        <f t="shared" si="0"/>
        <v>1289.0895083854512</v>
      </c>
      <c r="U3" s="128">
        <f t="shared" si="0"/>
        <v>1371.4710070037861</v>
      </c>
      <c r="V3" s="128">
        <f t="shared" si="0"/>
        <v>3666.2134571462366</v>
      </c>
      <c r="W3" s="128">
        <f t="shared" si="0"/>
        <v>6258.1872276380454</v>
      </c>
      <c r="X3" s="128">
        <f t="shared" si="0"/>
        <v>1660.0569876897741</v>
      </c>
      <c r="Y3" s="128">
        <f t="shared" si="0"/>
        <v>1522.410755621182</v>
      </c>
      <c r="Z3" s="128">
        <f t="shared" si="0"/>
        <v>1810.6456101783879</v>
      </c>
      <c r="AA3" s="128">
        <f t="shared" si="0"/>
        <v>1054.502324000749</v>
      </c>
      <c r="AB3" s="128">
        <f t="shared" si="0"/>
        <v>1822.0089597917431</v>
      </c>
      <c r="AC3" s="128">
        <f t="shared" si="0"/>
        <v>91.592427166016193</v>
      </c>
      <c r="AD3" s="128">
        <f t="shared" si="0"/>
        <v>112.50769015877918</v>
      </c>
      <c r="AE3" s="128">
        <f t="shared" si="0"/>
        <v>77.881049738832516</v>
      </c>
      <c r="AF3" s="128">
        <f t="shared" si="0"/>
        <v>62.770509901651224</v>
      </c>
      <c r="AG3" s="128">
        <f t="shared" si="0"/>
        <v>90.079262401036203</v>
      </c>
      <c r="AH3" s="128">
        <f t="shared" si="0"/>
        <v>5004.0777052572294</v>
      </c>
      <c r="AI3" s="128">
        <f t="shared" si="0"/>
        <v>871.76628595930413</v>
      </c>
      <c r="AJ3" s="128">
        <f t="shared" si="0"/>
        <v>7335.2385946599898</v>
      </c>
      <c r="AK3" s="128">
        <f t="shared" ref="AK3:BP3" si="1">+INDEX(AK31:AK5000,MATCH($E$1,$D$31:$D$5000,0))</f>
        <v>179.18099446985616</v>
      </c>
      <c r="AL3" s="128">
        <f t="shared" si="1"/>
        <v>360.85969619621721</v>
      </c>
      <c r="AM3" s="128">
        <f t="shared" si="1"/>
        <v>33.117289234630192</v>
      </c>
      <c r="AN3" s="128">
        <f t="shared" si="1"/>
        <v>1056.677617361782</v>
      </c>
      <c r="AO3" s="128">
        <f t="shared" si="1"/>
        <v>20995.351455408421</v>
      </c>
      <c r="AP3" s="128">
        <f t="shared" si="1"/>
        <v>22584.03091856368</v>
      </c>
      <c r="AQ3" s="128">
        <f t="shared" si="1"/>
        <v>22194.388357431144</v>
      </c>
      <c r="AR3" s="128">
        <f t="shared" si="1"/>
        <v>21999.553583574834</v>
      </c>
      <c r="AS3" s="128">
        <f t="shared" si="1"/>
        <v>21542.844775229001</v>
      </c>
      <c r="AT3" s="128">
        <f t="shared" si="1"/>
        <v>17617.170001179878</v>
      </c>
      <c r="AU3" s="128">
        <f t="shared" si="1"/>
        <v>22566.264992828299</v>
      </c>
      <c r="AV3" s="128">
        <f t="shared" si="1"/>
        <v>22322.855093608305</v>
      </c>
      <c r="AW3" s="128">
        <f t="shared" si="1"/>
        <v>19629.996133398407</v>
      </c>
      <c r="AX3" s="128">
        <f t="shared" si="1"/>
        <v>-19.466046302699297</v>
      </c>
      <c r="AY3" s="128">
        <f t="shared" si="1"/>
        <v>20.32993373612301</v>
      </c>
      <c r="AZ3" s="128">
        <f t="shared" si="1"/>
        <v>17351.233182986558</v>
      </c>
      <c r="BA3" s="128">
        <f t="shared" si="1"/>
        <v>-11.221651532353803</v>
      </c>
      <c r="BB3" s="128">
        <f t="shared" si="1"/>
        <v>-32.732009009571783</v>
      </c>
      <c r="BC3" s="128">
        <f t="shared" si="1"/>
        <v>528.15578455078946</v>
      </c>
      <c r="BD3" s="128">
        <f t="shared" si="1"/>
        <v>55.177176603401193</v>
      </c>
      <c r="BE3" s="128">
        <f t="shared" si="1"/>
        <v>736.47354456284836</v>
      </c>
      <c r="BF3" s="128">
        <f t="shared" si="1"/>
        <v>19740.533311472616</v>
      </c>
      <c r="BG3" s="128">
        <f t="shared" si="1"/>
        <v>22180.805223292555</v>
      </c>
      <c r="BH3" s="128">
        <f t="shared" si="1"/>
        <v>22826.964737414226</v>
      </c>
      <c r="BI3" s="128">
        <f t="shared" si="1"/>
        <v>22706.411614956225</v>
      </c>
      <c r="BJ3" s="128">
        <f t="shared" si="1"/>
        <v>22989.552289169143</v>
      </c>
      <c r="BK3" s="128">
        <f t="shared" si="1"/>
        <v>21179.71820512729</v>
      </c>
      <c r="BL3" s="128">
        <f t="shared" si="1"/>
        <v>22225.720214458433</v>
      </c>
      <c r="BM3" s="128">
        <f t="shared" si="1"/>
        <v>23090.872506233121</v>
      </c>
      <c r="BN3" s="128">
        <f t="shared" si="1"/>
        <v>22466.032376025196</v>
      </c>
      <c r="BO3" s="128">
        <f t="shared" si="1"/>
        <v>20371.58562007557</v>
      </c>
      <c r="BP3" s="128">
        <f t="shared" si="1"/>
        <v>23003.985718769578</v>
      </c>
      <c r="BQ3" s="128">
        <f t="shared" ref="BQ3:CV3" si="2">+INDEX(BQ31:BQ5000,MATCH($E$1,$D$31:$D$5000,0))</f>
        <v>170.67307872433921</v>
      </c>
      <c r="BR3" s="128">
        <f t="shared" si="2"/>
        <v>230.9526516805802</v>
      </c>
      <c r="BS3" s="128">
        <f t="shared" si="2"/>
        <v>46.506860597284216</v>
      </c>
      <c r="BT3" s="128">
        <f t="shared" si="2"/>
        <v>153.55087545868523</v>
      </c>
      <c r="BU3" s="128">
        <f t="shared" si="2"/>
        <v>363.03917236841528</v>
      </c>
      <c r="BV3" s="128">
        <f t="shared" si="2"/>
        <v>179.38360965168582</v>
      </c>
      <c r="BW3" s="128">
        <f t="shared" si="2"/>
        <v>249.77764064792322</v>
      </c>
      <c r="BX3" s="128">
        <f t="shared" si="2"/>
        <v>-3.1772835945010911</v>
      </c>
      <c r="BY3" s="128">
        <f t="shared" si="2"/>
        <v>1.7460599325122104</v>
      </c>
      <c r="BZ3" s="128">
        <f t="shared" si="2"/>
        <v>177.73546150353849</v>
      </c>
      <c r="CA3" s="128">
        <f t="shared" si="2"/>
        <v>217.53462971489921</v>
      </c>
      <c r="CB3" s="128">
        <f t="shared" si="2"/>
        <v>170.01081164359454</v>
      </c>
      <c r="CC3" s="128">
        <f t="shared" si="2"/>
        <v>240.55684338962539</v>
      </c>
      <c r="CD3" s="128">
        <f t="shared" si="2"/>
        <v>220.12253680779818</v>
      </c>
      <c r="CE3" s="128">
        <f t="shared" si="2"/>
        <v>194.45730242315619</v>
      </c>
      <c r="CF3" s="128">
        <f t="shared" si="2"/>
        <v>-8.408040914320793</v>
      </c>
      <c r="CG3" s="128">
        <f t="shared" si="2"/>
        <v>113.93114076829221</v>
      </c>
      <c r="CH3" s="128">
        <f t="shared" si="2"/>
        <v>146.67788411533621</v>
      </c>
      <c r="CI3" s="128">
        <f t="shared" si="2"/>
        <v>192.77436383570523</v>
      </c>
      <c r="CJ3" s="128">
        <f t="shared" si="2"/>
        <v>289.31056951284319</v>
      </c>
      <c r="CK3" s="128">
        <f t="shared" si="2"/>
        <v>213.05960366040017</v>
      </c>
      <c r="CL3" s="128">
        <f t="shared" si="2"/>
        <v>125.85376063562872</v>
      </c>
      <c r="CM3" s="128">
        <f t="shared" si="2"/>
        <v>127.94439383748171</v>
      </c>
      <c r="CN3" s="128">
        <f t="shared" si="2"/>
        <v>24.560323243105898</v>
      </c>
      <c r="CO3" s="128">
        <f t="shared" si="2"/>
        <v>41.861871110443204</v>
      </c>
      <c r="CP3" s="128">
        <f t="shared" si="2"/>
        <v>184.27545401876318</v>
      </c>
      <c r="CQ3" s="128">
        <f t="shared" si="2"/>
        <v>122.4053677545822</v>
      </c>
      <c r="CR3" s="128">
        <f t="shared" si="2"/>
        <v>31.137084221590186</v>
      </c>
      <c r="CS3" s="128">
        <f t="shared" si="2"/>
        <v>24.578956142773421</v>
      </c>
      <c r="CT3" s="128">
        <f t="shared" si="2"/>
        <v>55.696663310551202</v>
      </c>
      <c r="CU3" s="128" t="str">
        <f t="shared" si="2"/>
        <v>0</v>
      </c>
      <c r="CV3" s="201">
        <f t="shared" si="2"/>
        <v>0</v>
      </c>
    </row>
    <row r="5" spans="5:100" x14ac:dyDescent="0.4">
      <c r="E5" s="128">
        <v>0.87964613713729989</v>
      </c>
      <c r="F5" s="128">
        <v>-1.9773825958784954</v>
      </c>
      <c r="G5" s="128">
        <v>44.168487767411705</v>
      </c>
      <c r="H5" s="128">
        <v>3257.172716405496</v>
      </c>
      <c r="I5" s="128">
        <v>1612.7665636929671</v>
      </c>
      <c r="J5" s="128">
        <v>91.956691752186202</v>
      </c>
      <c r="K5" s="128">
        <v>85.959212606499193</v>
      </c>
      <c r="L5" s="128">
        <v>81.033630987035224</v>
      </c>
      <c r="M5" s="128">
        <v>32.762936385882213</v>
      </c>
      <c r="N5" s="128">
        <v>3264.4236423314196</v>
      </c>
      <c r="O5" s="128">
        <v>72.140154724110204</v>
      </c>
      <c r="P5" s="128">
        <v>642.24742904917719</v>
      </c>
      <c r="Q5" s="128">
        <v>8229.5260722360181</v>
      </c>
      <c r="R5" s="128">
        <v>11948.997837178424</v>
      </c>
      <c r="S5" s="128">
        <v>5001.1436096457219</v>
      </c>
      <c r="T5" s="128">
        <v>1289.0895083854512</v>
      </c>
      <c r="U5" s="128">
        <v>1371.4710070037861</v>
      </c>
      <c r="V5" s="128">
        <v>3666.2134571462366</v>
      </c>
      <c r="W5" s="128">
        <v>6258.1872276380454</v>
      </c>
      <c r="X5" s="128">
        <v>1660.0569876897741</v>
      </c>
      <c r="Y5" s="128">
        <v>1522.410755621182</v>
      </c>
      <c r="Z5" s="128">
        <v>1810.6456101783879</v>
      </c>
      <c r="AA5" s="128">
        <v>1054.502324000749</v>
      </c>
      <c r="AB5" s="128">
        <v>1822.0089597917431</v>
      </c>
      <c r="AC5" s="128">
        <v>91.592427166016193</v>
      </c>
      <c r="AD5" s="128">
        <v>112.50769015877918</v>
      </c>
      <c r="AE5" s="128">
        <v>77.881049738832516</v>
      </c>
      <c r="AF5" s="128">
        <v>62.770509901651224</v>
      </c>
      <c r="AG5" s="128">
        <v>90.079262401036203</v>
      </c>
      <c r="AH5" s="128">
        <v>5004.0777052572294</v>
      </c>
      <c r="AI5" s="128">
        <v>871.76628595930413</v>
      </c>
      <c r="AJ5" s="128">
        <v>7335.2385946599898</v>
      </c>
      <c r="AK5" s="128">
        <v>179.18099446985616</v>
      </c>
      <c r="AL5" s="128">
        <v>360.85969619621721</v>
      </c>
      <c r="AM5" s="128">
        <v>33.117289234630192</v>
      </c>
      <c r="AN5" s="128">
        <v>1056.677617361782</v>
      </c>
      <c r="AO5" s="128">
        <v>20995.351455408421</v>
      </c>
      <c r="AP5" s="128">
        <v>22584.03091856368</v>
      </c>
      <c r="AQ5" s="128">
        <v>22194.388357431144</v>
      </c>
      <c r="AR5" s="128">
        <v>21999.553583574834</v>
      </c>
      <c r="AS5" s="128">
        <v>21542.844775229001</v>
      </c>
      <c r="AT5" s="128">
        <v>17617.170001179878</v>
      </c>
      <c r="AU5" s="128">
        <v>22566.264992828299</v>
      </c>
      <c r="AV5" s="128">
        <v>22322.855093608305</v>
      </c>
      <c r="AW5" s="128">
        <v>19629.996133398407</v>
      </c>
      <c r="AX5" s="128">
        <v>-19.466046302699297</v>
      </c>
      <c r="AY5" s="128">
        <v>20.32993373612301</v>
      </c>
      <c r="AZ5" s="128">
        <v>17351.233182986558</v>
      </c>
      <c r="BA5" s="128">
        <v>-11.221651532353803</v>
      </c>
      <c r="BB5" s="128">
        <v>-32.732009009571783</v>
      </c>
      <c r="BC5" s="128">
        <v>528.15578455078946</v>
      </c>
      <c r="BD5" s="128">
        <v>55.177176603401193</v>
      </c>
      <c r="BE5" s="128">
        <v>736.47354456284836</v>
      </c>
      <c r="BF5" s="128">
        <v>19740.533311472616</v>
      </c>
      <c r="BG5" s="128">
        <v>22180.805223292555</v>
      </c>
      <c r="BH5" s="128">
        <v>22826.964737414226</v>
      </c>
      <c r="BI5" s="128">
        <v>22706.411614956225</v>
      </c>
      <c r="BJ5" s="128">
        <v>22989.552289169143</v>
      </c>
      <c r="BK5" s="128">
        <v>21179.71820512729</v>
      </c>
      <c r="BL5" s="128">
        <v>22225.720214458433</v>
      </c>
      <c r="BM5" s="128">
        <v>23090.872506233121</v>
      </c>
      <c r="BN5" s="128">
        <v>22466.032376025196</v>
      </c>
      <c r="BO5" s="128">
        <v>20371.58562007557</v>
      </c>
      <c r="BP5" s="128">
        <v>23003.985718769578</v>
      </c>
      <c r="BQ5" s="128">
        <v>170.67307872433921</v>
      </c>
      <c r="BR5" s="128">
        <v>230.9526516805802</v>
      </c>
      <c r="BS5" s="128">
        <v>46.506860597284216</v>
      </c>
      <c r="BT5" s="128">
        <v>153.55087545868523</v>
      </c>
      <c r="BU5" s="128">
        <v>363.03917236841528</v>
      </c>
      <c r="BV5" s="128">
        <v>179.38360965168582</v>
      </c>
      <c r="BW5" s="128">
        <v>249.77764064792322</v>
      </c>
      <c r="BX5" s="128">
        <v>-3.1772835945010911</v>
      </c>
      <c r="BY5" s="128">
        <v>1.7460599325122104</v>
      </c>
      <c r="BZ5" s="128">
        <v>177.73546150353849</v>
      </c>
      <c r="CA5" s="128">
        <v>217.53462971489921</v>
      </c>
      <c r="CB5" s="128">
        <v>170.01081164359454</v>
      </c>
      <c r="CC5" s="128">
        <v>240.55684338962539</v>
      </c>
      <c r="CD5" s="128">
        <v>220.12253680779818</v>
      </c>
      <c r="CE5" s="128">
        <v>194.45730242315619</v>
      </c>
      <c r="CF5" s="128">
        <v>-8.408040914320793</v>
      </c>
      <c r="CG5" s="128">
        <v>113.93114076829221</v>
      </c>
      <c r="CH5" s="128">
        <v>146.67788411533621</v>
      </c>
      <c r="CI5" s="128">
        <v>192.77436383570523</v>
      </c>
      <c r="CJ5" s="128">
        <v>289.31056951284319</v>
      </c>
      <c r="CK5" s="128">
        <v>213.05960366040017</v>
      </c>
      <c r="CL5" s="128">
        <v>125.85376063562872</v>
      </c>
      <c r="CM5" s="128">
        <v>127.94439383748171</v>
      </c>
      <c r="CN5" s="128">
        <v>24.560323243105898</v>
      </c>
      <c r="CO5" s="128">
        <v>41.861871110443204</v>
      </c>
      <c r="CP5" s="128">
        <v>184.27545401876318</v>
      </c>
      <c r="CQ5" s="128">
        <v>122.4053677545822</v>
      </c>
      <c r="CR5" s="128">
        <v>31.137084221590186</v>
      </c>
      <c r="CS5" s="128">
        <v>24.578956142773421</v>
      </c>
      <c r="CT5" s="128">
        <v>55.696663310551202</v>
      </c>
      <c r="CU5" s="128" t="s">
        <v>424</v>
      </c>
      <c r="CV5" s="256">
        <v>40340</v>
      </c>
    </row>
    <row r="29" spans="1:100" ht="15.4" thickBot="1" x14ac:dyDescent="0.45"/>
    <row r="30" spans="1:100" s="471" customFormat="1" ht="19.5" thickTop="1" thickBot="1" x14ac:dyDescent="0.3">
      <c r="A30" s="466" t="s">
        <v>70</v>
      </c>
      <c r="B30" s="467" t="s">
        <v>71</v>
      </c>
      <c r="C30" s="467" t="s">
        <v>72</v>
      </c>
      <c r="D30" s="468" t="s">
        <v>335</v>
      </c>
      <c r="E30" s="469">
        <v>3</v>
      </c>
      <c r="F30" s="469">
        <v>4</v>
      </c>
      <c r="G30" s="469">
        <v>5</v>
      </c>
      <c r="H30" s="469">
        <v>6</v>
      </c>
      <c r="I30" s="469">
        <v>7</v>
      </c>
      <c r="J30" s="469">
        <v>8</v>
      </c>
      <c r="K30" s="469">
        <v>9</v>
      </c>
      <c r="L30" s="469">
        <v>10</v>
      </c>
      <c r="M30" s="469">
        <v>11</v>
      </c>
      <c r="N30" s="469">
        <v>12</v>
      </c>
      <c r="O30" s="469">
        <v>13</v>
      </c>
      <c r="P30" s="469">
        <v>14</v>
      </c>
      <c r="Q30" s="469">
        <v>15</v>
      </c>
      <c r="R30" s="469">
        <v>16</v>
      </c>
      <c r="S30" s="469">
        <v>17</v>
      </c>
      <c r="T30" s="469">
        <v>18</v>
      </c>
      <c r="U30" s="469">
        <v>19</v>
      </c>
      <c r="V30" s="469">
        <v>20</v>
      </c>
      <c r="W30" s="469">
        <v>21</v>
      </c>
      <c r="X30" s="469">
        <v>22</v>
      </c>
      <c r="Y30" s="469">
        <v>23</v>
      </c>
      <c r="Z30" s="469">
        <v>24</v>
      </c>
      <c r="AA30" s="469">
        <v>25</v>
      </c>
      <c r="AB30" s="469">
        <v>26</v>
      </c>
      <c r="AC30" s="469">
        <v>27</v>
      </c>
      <c r="AD30" s="469">
        <v>28</v>
      </c>
      <c r="AE30" s="469">
        <v>29</v>
      </c>
      <c r="AF30" s="469">
        <v>30</v>
      </c>
      <c r="AG30" s="469">
        <v>31</v>
      </c>
      <c r="AH30" s="469">
        <v>32</v>
      </c>
      <c r="AI30" s="469">
        <v>33</v>
      </c>
      <c r="AJ30" s="469">
        <v>34</v>
      </c>
      <c r="AK30" s="469">
        <v>35</v>
      </c>
      <c r="AL30" s="469">
        <v>36</v>
      </c>
      <c r="AM30" s="469">
        <v>37</v>
      </c>
      <c r="AN30" s="469">
        <v>38</v>
      </c>
      <c r="AO30" s="469">
        <v>39</v>
      </c>
      <c r="AP30" s="469">
        <v>40</v>
      </c>
      <c r="AQ30" s="469">
        <v>41</v>
      </c>
      <c r="AR30" s="469">
        <v>42</v>
      </c>
      <c r="AS30" s="469">
        <v>43</v>
      </c>
      <c r="AT30" s="469">
        <v>44</v>
      </c>
      <c r="AU30" s="469">
        <v>45</v>
      </c>
      <c r="AV30" s="469">
        <v>46</v>
      </c>
      <c r="AW30" s="469">
        <v>47</v>
      </c>
      <c r="AX30" s="469">
        <v>48</v>
      </c>
      <c r="AY30" s="469">
        <v>49</v>
      </c>
      <c r="AZ30" s="469">
        <v>50</v>
      </c>
      <c r="BA30" s="469">
        <v>51</v>
      </c>
      <c r="BB30" s="469">
        <v>52</v>
      </c>
      <c r="BC30" s="469">
        <v>53</v>
      </c>
      <c r="BD30" s="469">
        <v>54</v>
      </c>
      <c r="BE30" s="469">
        <v>55</v>
      </c>
      <c r="BF30" s="469">
        <v>56</v>
      </c>
      <c r="BG30" s="469">
        <v>57</v>
      </c>
      <c r="BH30" s="469">
        <v>58</v>
      </c>
      <c r="BI30" s="469">
        <v>59</v>
      </c>
      <c r="BJ30" s="469">
        <v>60</v>
      </c>
      <c r="BK30" s="469">
        <v>61</v>
      </c>
      <c r="BL30" s="469">
        <v>62</v>
      </c>
      <c r="BM30" s="469">
        <v>63</v>
      </c>
      <c r="BN30" s="469">
        <v>64</v>
      </c>
      <c r="BO30" s="469">
        <v>65</v>
      </c>
      <c r="BP30" s="469">
        <v>66</v>
      </c>
      <c r="BQ30" s="469">
        <v>67</v>
      </c>
      <c r="BR30" s="469">
        <v>68</v>
      </c>
      <c r="BS30" s="469">
        <v>69</v>
      </c>
      <c r="BT30" s="469">
        <v>70</v>
      </c>
      <c r="BU30" s="469">
        <v>71</v>
      </c>
      <c r="BV30" s="469">
        <v>72</v>
      </c>
      <c r="BW30" s="469">
        <v>73</v>
      </c>
      <c r="BX30" s="469">
        <v>74</v>
      </c>
      <c r="BY30" s="469">
        <v>75</v>
      </c>
      <c r="BZ30" s="469">
        <v>76</v>
      </c>
      <c r="CA30" s="469">
        <v>77</v>
      </c>
      <c r="CB30" s="469">
        <v>78</v>
      </c>
      <c r="CC30" s="469">
        <v>79</v>
      </c>
      <c r="CD30" s="469">
        <v>80</v>
      </c>
      <c r="CE30" s="469">
        <v>82</v>
      </c>
      <c r="CF30" s="469">
        <v>83</v>
      </c>
      <c r="CG30" s="469">
        <v>84</v>
      </c>
      <c r="CH30" s="469">
        <v>85</v>
      </c>
      <c r="CI30" s="469">
        <v>86</v>
      </c>
      <c r="CJ30" s="469">
        <v>87</v>
      </c>
      <c r="CK30" s="469">
        <v>88</v>
      </c>
      <c r="CL30" s="469">
        <v>89</v>
      </c>
      <c r="CM30" s="469">
        <v>90</v>
      </c>
      <c r="CN30" s="469">
        <v>91</v>
      </c>
      <c r="CO30" s="469">
        <v>92</v>
      </c>
      <c r="CP30" s="469">
        <v>93</v>
      </c>
      <c r="CQ30" s="469">
        <v>94</v>
      </c>
      <c r="CR30" s="469">
        <v>95</v>
      </c>
      <c r="CS30" s="469">
        <v>96</v>
      </c>
      <c r="CT30" s="469">
        <v>97</v>
      </c>
      <c r="CU30" s="469">
        <v>98</v>
      </c>
      <c r="CV30" s="470" t="s">
        <v>73</v>
      </c>
    </row>
    <row r="31" spans="1:100" s="458" customFormat="1" ht="17.649999999999999" thickTop="1" x14ac:dyDescent="0.45">
      <c r="A31" s="445">
        <v>383309</v>
      </c>
      <c r="B31" s="446" t="s">
        <v>234</v>
      </c>
      <c r="C31" s="447" t="s">
        <v>76</v>
      </c>
      <c r="D31" s="445">
        <v>33877165</v>
      </c>
      <c r="E31" s="448">
        <v>654.95000000000005</v>
      </c>
      <c r="F31" s="448">
        <v>549.83000000000004</v>
      </c>
      <c r="G31" s="448">
        <v>57</v>
      </c>
      <c r="H31" s="448">
        <v>21431.35</v>
      </c>
      <c r="I31" s="448">
        <v>19877.310000000001</v>
      </c>
      <c r="J31" s="448">
        <v>0</v>
      </c>
      <c r="K31" s="448">
        <v>35.979999999999997</v>
      </c>
      <c r="L31" s="448">
        <v>0</v>
      </c>
      <c r="M31" s="448">
        <v>128.57</v>
      </c>
      <c r="N31" s="448">
        <v>14041.21</v>
      </c>
      <c r="O31" s="448">
        <v>191.76</v>
      </c>
      <c r="P31" s="448">
        <v>20170.990000000002</v>
      </c>
      <c r="Q31" s="448">
        <v>17491.57</v>
      </c>
      <c r="R31" s="448">
        <v>14661.53</v>
      </c>
      <c r="S31" s="448">
        <v>172.66</v>
      </c>
      <c r="T31" s="448">
        <v>19705.13</v>
      </c>
      <c r="U31" s="448">
        <v>19602.669999999998</v>
      </c>
      <c r="V31" s="448">
        <v>20633.82</v>
      </c>
      <c r="W31" s="448">
        <v>20343.650000000001</v>
      </c>
      <c r="X31" s="448">
        <v>20644.68</v>
      </c>
      <c r="Y31" s="448">
        <v>20255.009999999998</v>
      </c>
      <c r="Z31" s="448">
        <v>21491.59</v>
      </c>
      <c r="AA31" s="448">
        <v>19110.150000000001</v>
      </c>
      <c r="AB31" s="448">
        <v>21490.58</v>
      </c>
      <c r="AC31" s="448">
        <v>0</v>
      </c>
      <c r="AD31" s="448">
        <v>0</v>
      </c>
      <c r="AE31" s="448">
        <v>0</v>
      </c>
      <c r="AF31" s="448">
        <v>436.41</v>
      </c>
      <c r="AG31" s="448">
        <v>157.66</v>
      </c>
      <c r="AH31" s="448">
        <v>17143.8</v>
      </c>
      <c r="AI31" s="448">
        <v>21242.12</v>
      </c>
      <c r="AJ31" s="448">
        <v>21937.22</v>
      </c>
      <c r="AK31" s="448">
        <v>535.59</v>
      </c>
      <c r="AL31" s="448">
        <v>0</v>
      </c>
      <c r="AM31" s="448">
        <v>552.89</v>
      </c>
      <c r="AN31" s="448">
        <v>46.46</v>
      </c>
      <c r="AO31" s="448">
        <v>0</v>
      </c>
      <c r="AP31" s="448">
        <v>0</v>
      </c>
      <c r="AQ31" s="448">
        <v>80.55</v>
      </c>
      <c r="AR31" s="448">
        <v>2268.0300000000002</v>
      </c>
      <c r="AS31" s="448">
        <v>0</v>
      </c>
      <c r="AT31" s="448">
        <v>435.59</v>
      </c>
      <c r="AU31" s="448">
        <v>0</v>
      </c>
      <c r="AV31" s="448">
        <v>0</v>
      </c>
      <c r="AW31" s="448">
        <v>0</v>
      </c>
      <c r="AX31" s="448">
        <v>1261.94</v>
      </c>
      <c r="AY31" s="448">
        <v>764.83</v>
      </c>
      <c r="AZ31" s="448">
        <v>1250.74</v>
      </c>
      <c r="BA31" s="448">
        <v>0</v>
      </c>
      <c r="BB31" s="448">
        <v>22.86</v>
      </c>
      <c r="BC31" s="448">
        <v>2180.8000000000002</v>
      </c>
      <c r="BD31" s="448">
        <v>32.49</v>
      </c>
      <c r="BE31" s="448">
        <v>3028.73</v>
      </c>
      <c r="BF31" s="448">
        <v>0</v>
      </c>
      <c r="BG31" s="448">
        <v>47.7</v>
      </c>
      <c r="BH31" s="448">
        <v>2605.02</v>
      </c>
      <c r="BI31" s="448">
        <v>2249.9</v>
      </c>
      <c r="BJ31" s="448">
        <v>1382.8</v>
      </c>
      <c r="BK31" s="448">
        <v>129.63999999999999</v>
      </c>
      <c r="BL31" s="448">
        <v>0</v>
      </c>
      <c r="BM31" s="448">
        <v>0</v>
      </c>
      <c r="BN31" s="448">
        <v>0</v>
      </c>
      <c r="BO31" s="448">
        <v>0</v>
      </c>
      <c r="BP31" s="448">
        <v>0</v>
      </c>
      <c r="BQ31" s="448">
        <v>523.03</v>
      </c>
      <c r="BR31" s="448">
        <v>0</v>
      </c>
      <c r="BS31" s="448">
        <v>3189.23</v>
      </c>
      <c r="BT31" s="448">
        <v>187.83</v>
      </c>
      <c r="BU31" s="448">
        <v>870.21</v>
      </c>
      <c r="BV31" s="448">
        <v>238.43</v>
      </c>
      <c r="BW31" s="448">
        <v>951.66</v>
      </c>
      <c r="BX31" s="448">
        <v>60.6</v>
      </c>
      <c r="BY31" s="448">
        <v>3295.89</v>
      </c>
      <c r="BZ31" s="448">
        <v>140.58000000000001</v>
      </c>
      <c r="CA31" s="448">
        <v>683.17</v>
      </c>
      <c r="CB31" s="448">
        <v>1250.8699999999999</v>
      </c>
      <c r="CC31" s="448">
        <v>712.2</v>
      </c>
      <c r="CD31" s="448">
        <v>2763.88</v>
      </c>
      <c r="CE31" s="448">
        <v>265.08</v>
      </c>
      <c r="CF31" s="448">
        <v>4641.26</v>
      </c>
      <c r="CG31" s="448">
        <v>260.33</v>
      </c>
      <c r="CH31" s="448">
        <v>239.83</v>
      </c>
      <c r="CI31" s="448">
        <v>447.56</v>
      </c>
      <c r="CJ31" s="448">
        <v>176.12</v>
      </c>
      <c r="CK31" s="448">
        <v>151.26</v>
      </c>
      <c r="CL31" s="448">
        <v>777.12</v>
      </c>
      <c r="CM31" s="448">
        <v>3394.78</v>
      </c>
      <c r="CN31" s="448">
        <v>2605.44</v>
      </c>
      <c r="CO31" s="448">
        <v>2533.16</v>
      </c>
      <c r="CP31" s="448">
        <v>337.89</v>
      </c>
      <c r="CQ31" s="448">
        <v>359.42</v>
      </c>
      <c r="CR31" s="448">
        <v>253.73</v>
      </c>
      <c r="CS31" s="448">
        <v>3939.69</v>
      </c>
      <c r="CT31" s="448">
        <v>3877.56</v>
      </c>
      <c r="CU31" s="448">
        <v>642.73</v>
      </c>
      <c r="CV31" s="449">
        <v>42803</v>
      </c>
    </row>
    <row r="32" spans="1:100" s="458" customFormat="1" ht="17.25" x14ac:dyDescent="0.45">
      <c r="A32" s="450">
        <v>1077392</v>
      </c>
      <c r="B32" s="450" t="s">
        <v>235</v>
      </c>
      <c r="C32" s="450" t="s">
        <v>226</v>
      </c>
      <c r="D32" s="450">
        <v>33893284</v>
      </c>
      <c r="E32" s="451">
        <v>3880.7</v>
      </c>
      <c r="F32" s="451">
        <v>3463.87</v>
      </c>
      <c r="G32" s="451">
        <v>4011.12</v>
      </c>
      <c r="H32" s="451">
        <v>2133.02</v>
      </c>
      <c r="I32" s="451">
        <v>1224.22</v>
      </c>
      <c r="J32" s="451">
        <v>3392.72</v>
      </c>
      <c r="K32" s="451">
        <v>2780.01</v>
      </c>
      <c r="L32" s="451">
        <v>3271.6</v>
      </c>
      <c r="M32" s="451">
        <v>2700.25</v>
      </c>
      <c r="N32" s="451">
        <v>218.17</v>
      </c>
      <c r="O32" s="451">
        <v>2540.87</v>
      </c>
      <c r="P32" s="451">
        <v>209.23</v>
      </c>
      <c r="Q32" s="451">
        <v>5115.9399999999996</v>
      </c>
      <c r="R32" s="451">
        <v>4227.8900000000003</v>
      </c>
      <c r="S32" s="451">
        <v>2987.84</v>
      </c>
      <c r="T32" s="451">
        <v>2615.69</v>
      </c>
      <c r="U32" s="451">
        <v>3211.97</v>
      </c>
      <c r="V32" s="451">
        <v>18.809999999999999</v>
      </c>
      <c r="W32" s="451">
        <v>143.63999999999999</v>
      </c>
      <c r="X32" s="451">
        <v>2792.23</v>
      </c>
      <c r="Y32" s="451">
        <v>2605.77</v>
      </c>
      <c r="Z32" s="451">
        <v>1856.73</v>
      </c>
      <c r="AA32" s="451">
        <v>2187.9</v>
      </c>
      <c r="AB32" s="451">
        <v>1917.81</v>
      </c>
      <c r="AC32" s="451">
        <v>5066.95</v>
      </c>
      <c r="AD32" s="451">
        <v>5208.0600000000004</v>
      </c>
      <c r="AE32" s="451">
        <v>5279.57</v>
      </c>
      <c r="AF32" s="451">
        <v>5039.97</v>
      </c>
      <c r="AG32" s="451">
        <v>4902.88</v>
      </c>
      <c r="AH32" s="451">
        <v>3474.78</v>
      </c>
      <c r="AI32" s="451">
        <v>3287.03</v>
      </c>
      <c r="AJ32" s="451">
        <v>4267.8500000000004</v>
      </c>
      <c r="AK32" s="451">
        <v>1471.68</v>
      </c>
      <c r="AL32" s="451">
        <v>1730.64</v>
      </c>
      <c r="AM32" s="451">
        <v>4481.59</v>
      </c>
      <c r="AN32" s="451">
        <v>3244.06</v>
      </c>
      <c r="AO32" s="451">
        <v>128.33000000000001</v>
      </c>
      <c r="AP32" s="451">
        <v>288.91000000000003</v>
      </c>
      <c r="AQ32" s="451">
        <v>85.04</v>
      </c>
      <c r="AR32" s="451">
        <v>232.51</v>
      </c>
      <c r="AS32" s="451">
        <v>115.77</v>
      </c>
      <c r="AT32" s="451">
        <v>868.52</v>
      </c>
      <c r="AU32" s="451">
        <v>689.2</v>
      </c>
      <c r="AV32" s="451">
        <v>119.91</v>
      </c>
      <c r="AW32" s="451">
        <v>3.94</v>
      </c>
      <c r="AX32" s="451">
        <v>73.87</v>
      </c>
      <c r="AY32" s="451">
        <v>6202.46</v>
      </c>
      <c r="AZ32" s="451">
        <v>369.85</v>
      </c>
      <c r="BA32" s="451">
        <v>182.42</v>
      </c>
      <c r="BB32" s="451">
        <v>199.82</v>
      </c>
      <c r="BC32" s="451">
        <v>365.06</v>
      </c>
      <c r="BD32" s="451">
        <v>237.61</v>
      </c>
      <c r="BE32" s="451">
        <v>380.85</v>
      </c>
      <c r="BF32" s="451">
        <v>1233.3499999999999</v>
      </c>
      <c r="BG32" s="451">
        <v>1113.8</v>
      </c>
      <c r="BH32" s="451">
        <v>1489.11</v>
      </c>
      <c r="BI32" s="451">
        <v>1533.8</v>
      </c>
      <c r="BJ32" s="451">
        <v>1652.12</v>
      </c>
      <c r="BK32" s="451">
        <v>822.62</v>
      </c>
      <c r="BL32" s="451">
        <v>1094.6099999999999</v>
      </c>
      <c r="BM32" s="451">
        <v>2226.4299999999998</v>
      </c>
      <c r="BN32" s="451">
        <v>970.28</v>
      </c>
      <c r="BO32" s="451">
        <v>972.54</v>
      </c>
      <c r="BP32" s="451">
        <v>2428.67</v>
      </c>
      <c r="BQ32" s="451">
        <v>156.22</v>
      </c>
      <c r="BR32" s="451">
        <v>420.89</v>
      </c>
      <c r="BS32" s="451">
        <v>0</v>
      </c>
      <c r="BT32" s="451">
        <v>975.32</v>
      </c>
      <c r="BU32" s="451">
        <v>134.15</v>
      </c>
      <c r="BV32" s="451">
        <v>50.61</v>
      </c>
      <c r="BW32" s="451">
        <v>0</v>
      </c>
      <c r="BX32" s="451">
        <v>17.38</v>
      </c>
      <c r="BY32" s="451">
        <v>18.510000000000002</v>
      </c>
      <c r="BZ32" s="451">
        <v>0</v>
      </c>
      <c r="CA32" s="451">
        <v>180.25</v>
      </c>
      <c r="CB32" s="451">
        <v>789.67</v>
      </c>
      <c r="CC32" s="451">
        <v>254.93</v>
      </c>
      <c r="CD32" s="451">
        <v>0</v>
      </c>
      <c r="CE32" s="451">
        <v>1018.08</v>
      </c>
      <c r="CF32" s="451">
        <v>0</v>
      </c>
      <c r="CG32" s="451">
        <v>15.92</v>
      </c>
      <c r="CH32" s="451">
        <v>46.73</v>
      </c>
      <c r="CI32" s="451">
        <v>637.51</v>
      </c>
      <c r="CJ32" s="451">
        <v>0</v>
      </c>
      <c r="CK32" s="451">
        <v>43.79</v>
      </c>
      <c r="CL32" s="451">
        <v>68.25</v>
      </c>
      <c r="CM32" s="451">
        <v>41.81</v>
      </c>
      <c r="CN32" s="451">
        <v>62.82</v>
      </c>
      <c r="CO32" s="451">
        <v>77.52</v>
      </c>
      <c r="CP32" s="451">
        <v>0</v>
      </c>
      <c r="CQ32" s="451">
        <v>54.77</v>
      </c>
      <c r="CR32" s="451">
        <v>120.98</v>
      </c>
      <c r="CS32" s="451">
        <v>0</v>
      </c>
      <c r="CT32" s="451">
        <v>23.57</v>
      </c>
      <c r="CU32" s="451">
        <v>573.07000000000005</v>
      </c>
      <c r="CV32" s="464">
        <v>43263</v>
      </c>
    </row>
    <row r="33" spans="1:100" s="458" customFormat="1" ht="17.25" x14ac:dyDescent="0.45">
      <c r="A33" s="452">
        <v>2454386</v>
      </c>
      <c r="B33" s="453" t="s">
        <v>236</v>
      </c>
      <c r="C33" s="454" t="s">
        <v>75</v>
      </c>
      <c r="D33" s="452">
        <v>33871094</v>
      </c>
      <c r="E33" s="455">
        <v>3184.34</v>
      </c>
      <c r="F33" s="455">
        <v>2597.77</v>
      </c>
      <c r="G33" s="455">
        <v>3233.05</v>
      </c>
      <c r="H33" s="455">
        <v>22526.59</v>
      </c>
      <c r="I33" s="455">
        <v>21683.03</v>
      </c>
      <c r="J33" s="455">
        <v>0</v>
      </c>
      <c r="K33" s="455">
        <v>109.12</v>
      </c>
      <c r="L33" s="455">
        <v>6.15</v>
      </c>
      <c r="M33" s="455">
        <v>78.81</v>
      </c>
      <c r="N33" s="455">
        <v>4751.91</v>
      </c>
      <c r="O33" s="455">
        <v>0</v>
      </c>
      <c r="P33" s="455">
        <v>20191.78</v>
      </c>
      <c r="Q33" s="455">
        <v>274.38</v>
      </c>
      <c r="R33" s="455">
        <v>558.80999999999995</v>
      </c>
      <c r="S33" s="455">
        <v>4912.03</v>
      </c>
      <c r="T33" s="455">
        <v>21416.720000000001</v>
      </c>
      <c r="U33" s="455">
        <v>20683.830000000002</v>
      </c>
      <c r="V33" s="455">
        <v>20845.240000000002</v>
      </c>
      <c r="W33" s="455">
        <v>20671.02</v>
      </c>
      <c r="X33" s="455">
        <v>21944.7</v>
      </c>
      <c r="Y33" s="455">
        <v>22290.38</v>
      </c>
      <c r="Z33" s="455">
        <v>21620.86</v>
      </c>
      <c r="AA33" s="455">
        <v>20457.099999999999</v>
      </c>
      <c r="AB33" s="455">
        <v>21315.14</v>
      </c>
      <c r="AC33" s="455">
        <v>8317.44</v>
      </c>
      <c r="AD33" s="455">
        <v>6329.01</v>
      </c>
      <c r="AE33" s="455">
        <v>9398.11</v>
      </c>
      <c r="AF33" s="455">
        <v>7020.77</v>
      </c>
      <c r="AG33" s="455">
        <v>6265.7</v>
      </c>
      <c r="AH33" s="455">
        <v>11021.35</v>
      </c>
      <c r="AI33" s="455">
        <v>9294.44</v>
      </c>
      <c r="AJ33" s="455">
        <v>21132.11</v>
      </c>
      <c r="AK33" s="455">
        <v>68.180000000000007</v>
      </c>
      <c r="AL33" s="455">
        <v>97.84</v>
      </c>
      <c r="AM33" s="455">
        <v>2172.39</v>
      </c>
      <c r="AN33" s="455">
        <v>4918.72</v>
      </c>
      <c r="AO33" s="455">
        <v>19389.849999999999</v>
      </c>
      <c r="AP33" s="455">
        <v>22119.87</v>
      </c>
      <c r="AQ33" s="455">
        <v>22570.63</v>
      </c>
      <c r="AR33" s="455">
        <v>21577.42</v>
      </c>
      <c r="AS33" s="455">
        <v>20724.8</v>
      </c>
      <c r="AT33" s="455">
        <v>395.66</v>
      </c>
      <c r="AU33" s="455">
        <v>0</v>
      </c>
      <c r="AV33" s="455">
        <v>334.68</v>
      </c>
      <c r="AW33" s="455">
        <v>21530.3</v>
      </c>
      <c r="AX33" s="455">
        <v>20734.98</v>
      </c>
      <c r="AY33" s="455">
        <v>14042.58</v>
      </c>
      <c r="AZ33" s="455">
        <v>8172.15</v>
      </c>
      <c r="BA33" s="455">
        <v>4200.41</v>
      </c>
      <c r="BB33" s="455">
        <v>6145.22</v>
      </c>
      <c r="BC33" s="455">
        <v>6830.36</v>
      </c>
      <c r="BD33" s="455">
        <v>3396.56</v>
      </c>
      <c r="BE33" s="455">
        <v>5348.43</v>
      </c>
      <c r="BF33" s="455">
        <v>1078.94</v>
      </c>
      <c r="BG33" s="455">
        <v>1268.3699999999999</v>
      </c>
      <c r="BH33" s="455">
        <v>22640.71</v>
      </c>
      <c r="BI33" s="455">
        <v>22366.35</v>
      </c>
      <c r="BJ33" s="455">
        <v>22822.69</v>
      </c>
      <c r="BK33" s="455">
        <v>30.16</v>
      </c>
      <c r="BL33" s="455">
        <v>3.24</v>
      </c>
      <c r="BM33" s="455">
        <v>0</v>
      </c>
      <c r="BN33" s="455">
        <v>0</v>
      </c>
      <c r="BO33" s="455">
        <v>39.57</v>
      </c>
      <c r="BP33" s="455">
        <v>0</v>
      </c>
      <c r="BQ33" s="455">
        <v>158.29</v>
      </c>
      <c r="BR33" s="455">
        <v>0</v>
      </c>
      <c r="BS33" s="455">
        <v>95.12</v>
      </c>
      <c r="BT33" s="455">
        <v>234.93</v>
      </c>
      <c r="BU33" s="455">
        <v>381.23</v>
      </c>
      <c r="BV33" s="455">
        <v>193.03</v>
      </c>
      <c r="BW33" s="455">
        <v>760.31</v>
      </c>
      <c r="BX33" s="455">
        <v>0</v>
      </c>
      <c r="BY33" s="455">
        <v>91.69</v>
      </c>
      <c r="BZ33" s="455">
        <v>177.42</v>
      </c>
      <c r="CA33" s="455">
        <v>446.43</v>
      </c>
      <c r="CB33" s="455">
        <v>823.03</v>
      </c>
      <c r="CC33" s="455">
        <v>243.02</v>
      </c>
      <c r="CD33" s="455">
        <v>153.97</v>
      </c>
      <c r="CE33" s="455">
        <v>597.07000000000005</v>
      </c>
      <c r="CF33" s="455">
        <v>26.18</v>
      </c>
      <c r="CG33" s="455">
        <v>81.11</v>
      </c>
      <c r="CH33" s="455">
        <v>153.56</v>
      </c>
      <c r="CI33" s="455">
        <v>370.59</v>
      </c>
      <c r="CJ33" s="455">
        <v>193.85</v>
      </c>
      <c r="CK33" s="455">
        <v>46.09</v>
      </c>
      <c r="CL33" s="455">
        <v>496.23</v>
      </c>
      <c r="CM33" s="455">
        <v>35.78</v>
      </c>
      <c r="CN33" s="455">
        <v>141.26</v>
      </c>
      <c r="CO33" s="455">
        <v>73.349999999999994</v>
      </c>
      <c r="CP33" s="455">
        <v>124.18</v>
      </c>
      <c r="CQ33" s="455">
        <v>356.62</v>
      </c>
      <c r="CR33" s="455">
        <v>0</v>
      </c>
      <c r="CS33" s="455">
        <v>0</v>
      </c>
      <c r="CT33" s="455">
        <v>0.16</v>
      </c>
      <c r="CU33" s="455">
        <v>0</v>
      </c>
      <c r="CV33" s="456">
        <v>42614</v>
      </c>
    </row>
    <row r="34" spans="1:100" s="458" customFormat="1" ht="17.25" x14ac:dyDescent="0.45">
      <c r="A34" s="457">
        <v>1389939</v>
      </c>
      <c r="B34" s="458" t="s">
        <v>237</v>
      </c>
      <c r="C34" s="458" t="s">
        <v>74</v>
      </c>
      <c r="D34" s="458">
        <v>33876304</v>
      </c>
      <c r="E34" s="455">
        <v>0</v>
      </c>
      <c r="F34" s="455">
        <v>0</v>
      </c>
      <c r="G34" s="455">
        <v>0</v>
      </c>
      <c r="H34" s="455">
        <v>0</v>
      </c>
      <c r="I34" s="455">
        <v>0</v>
      </c>
      <c r="J34" s="455">
        <v>0</v>
      </c>
      <c r="K34" s="455">
        <v>0</v>
      </c>
      <c r="L34" s="455">
        <v>0</v>
      </c>
      <c r="M34" s="455">
        <v>0</v>
      </c>
      <c r="N34" s="455">
        <v>6031.71</v>
      </c>
      <c r="O34" s="455">
        <v>0</v>
      </c>
      <c r="P34" s="455">
        <v>229.56</v>
      </c>
      <c r="Q34" s="455">
        <v>3089.5</v>
      </c>
      <c r="R34" s="455">
        <v>0</v>
      </c>
      <c r="S34" s="455">
        <v>0</v>
      </c>
      <c r="T34" s="455">
        <v>0</v>
      </c>
      <c r="U34" s="455">
        <v>0</v>
      </c>
      <c r="V34" s="455">
        <v>10832.78</v>
      </c>
      <c r="W34" s="455">
        <v>3849.61</v>
      </c>
      <c r="X34" s="455">
        <v>0</v>
      </c>
      <c r="Y34" s="455">
        <v>0</v>
      </c>
      <c r="Z34" s="455">
        <v>73.819999999999993</v>
      </c>
      <c r="AA34" s="455">
        <v>0</v>
      </c>
      <c r="AB34" s="455">
        <v>17.690000000000001</v>
      </c>
      <c r="AC34" s="455">
        <v>0</v>
      </c>
      <c r="AD34" s="455">
        <v>0</v>
      </c>
      <c r="AE34" s="455">
        <v>194.87</v>
      </c>
      <c r="AF34" s="455">
        <v>0</v>
      </c>
      <c r="AG34" s="455">
        <v>0</v>
      </c>
      <c r="AH34" s="455">
        <v>793.49</v>
      </c>
      <c r="AI34" s="455">
        <v>0</v>
      </c>
      <c r="AJ34" s="455">
        <v>3602.17</v>
      </c>
      <c r="AK34" s="455">
        <v>0</v>
      </c>
      <c r="AL34" s="455">
        <v>0</v>
      </c>
      <c r="AM34" s="455">
        <v>0</v>
      </c>
      <c r="AN34" s="455">
        <v>0</v>
      </c>
      <c r="AO34" s="455">
        <v>2819.67</v>
      </c>
      <c r="AP34" s="455">
        <v>4970.0600000000004</v>
      </c>
      <c r="AQ34" s="455">
        <v>3655.23</v>
      </c>
      <c r="AR34" s="455">
        <v>7151.64</v>
      </c>
      <c r="AS34" s="455">
        <v>3331.93</v>
      </c>
      <c r="AT34" s="455">
        <v>0</v>
      </c>
      <c r="AU34" s="455">
        <v>0</v>
      </c>
      <c r="AV34" s="455">
        <v>0</v>
      </c>
      <c r="AW34" s="455">
        <v>0</v>
      </c>
      <c r="AX34" s="455">
        <v>0</v>
      </c>
      <c r="AY34" s="455">
        <v>0</v>
      </c>
      <c r="AZ34" s="455">
        <v>0</v>
      </c>
      <c r="BA34" s="455">
        <v>0</v>
      </c>
      <c r="BB34" s="455">
        <v>0</v>
      </c>
      <c r="BC34" s="455">
        <v>0</v>
      </c>
      <c r="BD34" s="455">
        <v>0</v>
      </c>
      <c r="BE34" s="455">
        <v>0</v>
      </c>
      <c r="BF34" s="455">
        <v>0</v>
      </c>
      <c r="BG34" s="455">
        <v>0</v>
      </c>
      <c r="BH34" s="455">
        <v>0</v>
      </c>
      <c r="BI34" s="455">
        <v>0</v>
      </c>
      <c r="BJ34" s="455">
        <v>0</v>
      </c>
      <c r="BK34" s="455">
        <v>0</v>
      </c>
      <c r="BL34" s="455">
        <v>0</v>
      </c>
      <c r="BM34" s="455">
        <v>0</v>
      </c>
      <c r="BN34" s="455">
        <v>0</v>
      </c>
      <c r="BO34" s="455">
        <v>0</v>
      </c>
      <c r="BP34" s="455">
        <v>0</v>
      </c>
      <c r="BQ34" s="455">
        <v>0</v>
      </c>
      <c r="BR34" s="455">
        <v>0</v>
      </c>
      <c r="BS34" s="455">
        <v>0</v>
      </c>
      <c r="BT34" s="455">
        <v>0</v>
      </c>
      <c r="BU34" s="455">
        <v>1796.5</v>
      </c>
      <c r="BV34" s="455">
        <v>877.15</v>
      </c>
      <c r="BW34" s="455">
        <v>982.2</v>
      </c>
      <c r="BX34" s="455">
        <v>0</v>
      </c>
      <c r="BY34" s="455">
        <v>0</v>
      </c>
      <c r="BZ34" s="455">
        <v>0</v>
      </c>
      <c r="CA34" s="455">
        <v>1146.8599999999999</v>
      </c>
      <c r="CB34" s="455">
        <v>768.55</v>
      </c>
      <c r="CC34" s="455">
        <v>1672.89</v>
      </c>
      <c r="CD34" s="455">
        <v>0</v>
      </c>
      <c r="CE34" s="455">
        <v>0</v>
      </c>
      <c r="CF34" s="455">
        <v>0</v>
      </c>
      <c r="CG34" s="455">
        <v>0</v>
      </c>
      <c r="CH34" s="455">
        <v>0</v>
      </c>
      <c r="CI34" s="455">
        <v>0</v>
      </c>
      <c r="CJ34" s="455">
        <v>959.3</v>
      </c>
      <c r="CK34" s="455">
        <v>0</v>
      </c>
      <c r="CL34" s="455">
        <v>1391.32</v>
      </c>
      <c r="CM34" s="455">
        <v>0</v>
      </c>
      <c r="CN34" s="455">
        <v>0</v>
      </c>
      <c r="CO34" s="455">
        <v>0</v>
      </c>
      <c r="CP34" s="455">
        <v>0</v>
      </c>
      <c r="CQ34" s="455">
        <v>1199.19</v>
      </c>
      <c r="CR34" s="455">
        <v>0</v>
      </c>
      <c r="CS34" s="455">
        <v>0</v>
      </c>
      <c r="CT34" s="455">
        <v>0</v>
      </c>
      <c r="CU34" s="455">
        <v>0</v>
      </c>
      <c r="CV34" s="459">
        <v>42781</v>
      </c>
    </row>
    <row r="35" spans="1:100" s="458" customFormat="1" ht="17.25" x14ac:dyDescent="0.45">
      <c r="A35" s="457">
        <v>90111583</v>
      </c>
      <c r="B35" s="458" t="s">
        <v>238</v>
      </c>
      <c r="C35" s="458" t="s">
        <v>78</v>
      </c>
      <c r="D35" s="457">
        <v>33873208</v>
      </c>
      <c r="E35" s="455">
        <v>1895.39</v>
      </c>
      <c r="F35" s="455">
        <v>2063.64</v>
      </c>
      <c r="G35" s="455">
        <v>167.63</v>
      </c>
      <c r="H35" s="455">
        <v>0</v>
      </c>
      <c r="I35" s="455">
        <v>0</v>
      </c>
      <c r="J35" s="455">
        <v>16362.1</v>
      </c>
      <c r="K35" s="455">
        <v>17151.48</v>
      </c>
      <c r="L35" s="455">
        <v>19496.97</v>
      </c>
      <c r="M35" s="455">
        <v>15745.37</v>
      </c>
      <c r="N35" s="455">
        <v>1738.41</v>
      </c>
      <c r="O35" s="455">
        <v>16165.21</v>
      </c>
      <c r="P35" s="455">
        <v>118.5</v>
      </c>
      <c r="Q35" s="455">
        <v>2448.8200000000002</v>
      </c>
      <c r="R35" s="455">
        <v>3838.36</v>
      </c>
      <c r="S35" s="455">
        <v>1347.58</v>
      </c>
      <c r="T35" s="455">
        <v>7936.84</v>
      </c>
      <c r="U35" s="455">
        <v>8230.26</v>
      </c>
      <c r="V35" s="455">
        <v>111.55</v>
      </c>
      <c r="W35" s="455">
        <v>69.760000000000005</v>
      </c>
      <c r="X35" s="455">
        <v>0</v>
      </c>
      <c r="Y35" s="455">
        <v>96.7</v>
      </c>
      <c r="Z35" s="455">
        <v>1473.74</v>
      </c>
      <c r="AA35" s="455">
        <v>9.3000000000000007</v>
      </c>
      <c r="AB35" s="455">
        <v>1066.26</v>
      </c>
      <c r="AC35" s="455">
        <v>0</v>
      </c>
      <c r="AD35" s="455">
        <v>0</v>
      </c>
      <c r="AE35" s="455">
        <v>0</v>
      </c>
      <c r="AF35" s="455">
        <v>1268.4000000000001</v>
      </c>
      <c r="AG35" s="455">
        <v>946.49</v>
      </c>
      <c r="AH35" s="455">
        <v>3.52</v>
      </c>
      <c r="AI35" s="455">
        <v>197.85</v>
      </c>
      <c r="AJ35" s="455">
        <v>88.89</v>
      </c>
      <c r="AK35" s="455">
        <v>12293.01</v>
      </c>
      <c r="AL35" s="455">
        <v>13156.19</v>
      </c>
      <c r="AM35" s="455">
        <v>0.67</v>
      </c>
      <c r="AN35" s="455">
        <v>157.88999999999999</v>
      </c>
      <c r="AO35" s="455">
        <v>567.20000000000005</v>
      </c>
      <c r="AP35" s="455">
        <v>2343</v>
      </c>
      <c r="AQ35" s="455">
        <v>792.22</v>
      </c>
      <c r="AR35" s="455">
        <v>3697.76</v>
      </c>
      <c r="AS35" s="455">
        <v>752.26</v>
      </c>
      <c r="AT35" s="455">
        <v>1093.72</v>
      </c>
      <c r="AU35" s="455">
        <v>4863.25</v>
      </c>
      <c r="AV35" s="455">
        <v>1260.94</v>
      </c>
      <c r="AW35" s="455">
        <v>1576.23</v>
      </c>
      <c r="AX35" s="455">
        <v>0</v>
      </c>
      <c r="AY35" s="455">
        <v>0</v>
      </c>
      <c r="AZ35" s="455">
        <v>0</v>
      </c>
      <c r="BA35" s="455">
        <v>0</v>
      </c>
      <c r="BB35" s="455">
        <v>0</v>
      </c>
      <c r="BC35" s="455">
        <v>0</v>
      </c>
      <c r="BD35" s="455">
        <v>0</v>
      </c>
      <c r="BE35" s="455">
        <v>0</v>
      </c>
      <c r="BF35" s="455">
        <v>13883.41</v>
      </c>
      <c r="BG35" s="455">
        <v>16890.169999999998</v>
      </c>
      <c r="BH35" s="455">
        <v>20109.72</v>
      </c>
      <c r="BI35" s="455">
        <v>19510.88</v>
      </c>
      <c r="BJ35" s="455">
        <v>19636.55</v>
      </c>
      <c r="BK35" s="455">
        <v>13092.22</v>
      </c>
      <c r="BL35" s="455">
        <v>13363.56</v>
      </c>
      <c r="BM35" s="455">
        <v>19181.34</v>
      </c>
      <c r="BN35" s="455">
        <v>18055.2</v>
      </c>
      <c r="BO35" s="455">
        <v>13233.88</v>
      </c>
      <c r="BP35" s="455">
        <v>20752.68</v>
      </c>
      <c r="BQ35" s="455">
        <v>0</v>
      </c>
      <c r="BR35" s="455">
        <v>0</v>
      </c>
      <c r="BS35" s="455">
        <v>8993.9699999999993</v>
      </c>
      <c r="BT35" s="455">
        <v>7.17</v>
      </c>
      <c r="BU35" s="455">
        <v>9889.68</v>
      </c>
      <c r="BV35" s="455">
        <v>7439.36</v>
      </c>
      <c r="BW35" s="455">
        <v>8294.69</v>
      </c>
      <c r="BX35" s="455">
        <v>63.66</v>
      </c>
      <c r="BY35" s="455">
        <v>11391.22</v>
      </c>
      <c r="BZ35" s="455">
        <v>8.3699999999999992</v>
      </c>
      <c r="CA35" s="455">
        <v>8786.2999999999993</v>
      </c>
      <c r="CB35" s="455">
        <v>7115.26</v>
      </c>
      <c r="CC35" s="455">
        <v>9293.3700000000008</v>
      </c>
      <c r="CD35" s="455">
        <v>9374.6</v>
      </c>
      <c r="CE35" s="455">
        <v>576.59</v>
      </c>
      <c r="CF35" s="455">
        <v>10770.92</v>
      </c>
      <c r="CG35" s="455">
        <v>1.96</v>
      </c>
      <c r="CH35" s="455">
        <v>65.239999999999995</v>
      </c>
      <c r="CI35" s="455">
        <v>17.440000000000001</v>
      </c>
      <c r="CJ35" s="455">
        <v>8411.36</v>
      </c>
      <c r="CK35" s="455">
        <v>17.510000000000002</v>
      </c>
      <c r="CL35" s="455">
        <v>7962.91</v>
      </c>
      <c r="CM35" s="455">
        <v>11206.17</v>
      </c>
      <c r="CN35" s="455">
        <v>8984.94</v>
      </c>
      <c r="CO35" s="455">
        <v>8190.67</v>
      </c>
      <c r="CP35" s="455">
        <v>427.38</v>
      </c>
      <c r="CQ35" s="455">
        <v>8355.98</v>
      </c>
      <c r="CR35" s="455">
        <v>89.24</v>
      </c>
      <c r="CS35" s="455">
        <v>8412.0499999999993</v>
      </c>
      <c r="CT35" s="455">
        <v>9137.2900000000009</v>
      </c>
      <c r="CU35" s="455">
        <v>0</v>
      </c>
      <c r="CV35" s="460">
        <v>42684</v>
      </c>
    </row>
    <row r="36" spans="1:100" s="458" customFormat="1" ht="17.25" x14ac:dyDescent="0.45">
      <c r="A36" s="461">
        <v>51853906</v>
      </c>
      <c r="B36" s="462" t="s">
        <v>239</v>
      </c>
      <c r="C36" s="463" t="s">
        <v>77</v>
      </c>
      <c r="D36" s="462">
        <v>33885834</v>
      </c>
      <c r="E36" s="455">
        <v>0</v>
      </c>
      <c r="F36" s="455">
        <v>130.69</v>
      </c>
      <c r="G36" s="455">
        <v>59.29</v>
      </c>
      <c r="H36" s="455">
        <v>430.55</v>
      </c>
      <c r="I36" s="455">
        <v>480.34</v>
      </c>
      <c r="J36" s="455">
        <v>173.58</v>
      </c>
      <c r="K36" s="455">
        <v>109.83</v>
      </c>
      <c r="L36" s="455">
        <v>139.4</v>
      </c>
      <c r="M36" s="455">
        <v>37.89</v>
      </c>
      <c r="N36" s="455">
        <v>503.53</v>
      </c>
      <c r="O36" s="455">
        <v>130.66</v>
      </c>
      <c r="P36" s="455">
        <v>148.96</v>
      </c>
      <c r="Q36" s="455">
        <v>57.62</v>
      </c>
      <c r="R36" s="455">
        <v>36.36</v>
      </c>
      <c r="S36" s="455">
        <v>60.62</v>
      </c>
      <c r="T36" s="455">
        <v>38.49</v>
      </c>
      <c r="U36" s="455">
        <v>21.27</v>
      </c>
      <c r="V36" s="455">
        <v>54.57</v>
      </c>
      <c r="W36" s="455">
        <v>61.03</v>
      </c>
      <c r="X36" s="455">
        <v>29.06</v>
      </c>
      <c r="Y36" s="455">
        <v>104.64</v>
      </c>
      <c r="Z36" s="455">
        <v>35.1</v>
      </c>
      <c r="AA36" s="455">
        <v>0</v>
      </c>
      <c r="AB36" s="455">
        <v>69.739999999999995</v>
      </c>
      <c r="AC36" s="455">
        <v>45.26</v>
      </c>
      <c r="AD36" s="455">
        <v>0</v>
      </c>
      <c r="AE36" s="455">
        <v>0</v>
      </c>
      <c r="AF36" s="455">
        <v>0</v>
      </c>
      <c r="AG36" s="455">
        <v>0</v>
      </c>
      <c r="AH36" s="455">
        <v>141.18</v>
      </c>
      <c r="AI36" s="455">
        <v>364.74</v>
      </c>
      <c r="AJ36" s="455">
        <v>117.71</v>
      </c>
      <c r="AK36" s="455">
        <v>0</v>
      </c>
      <c r="AL36" s="455">
        <v>40.590000000000003</v>
      </c>
      <c r="AM36" s="455">
        <v>488.83</v>
      </c>
      <c r="AN36" s="455">
        <v>0</v>
      </c>
      <c r="AO36" s="455">
        <v>46.69</v>
      </c>
      <c r="AP36" s="455">
        <v>8220.48</v>
      </c>
      <c r="AQ36" s="455">
        <v>18081.93</v>
      </c>
      <c r="AR36" s="455">
        <v>21924.25</v>
      </c>
      <c r="AS36" s="455">
        <v>64.069999999999993</v>
      </c>
      <c r="AT36" s="455">
        <v>6695.64</v>
      </c>
      <c r="AU36" s="455">
        <v>15861.31</v>
      </c>
      <c r="AV36" s="455">
        <v>11026.4</v>
      </c>
      <c r="AW36" s="455">
        <v>18756.3</v>
      </c>
      <c r="AX36" s="455">
        <v>3455.41</v>
      </c>
      <c r="AY36" s="455">
        <v>2166.7600000000002</v>
      </c>
      <c r="AZ36" s="455">
        <v>0</v>
      </c>
      <c r="BA36" s="455">
        <v>1940.85</v>
      </c>
      <c r="BB36" s="455">
        <v>2085.3000000000002</v>
      </c>
      <c r="BC36" s="455">
        <v>5177.1400000000003</v>
      </c>
      <c r="BD36" s="455">
        <v>3867.51</v>
      </c>
      <c r="BE36" s="455">
        <v>10395.950000000001</v>
      </c>
      <c r="BF36" s="455">
        <v>19078.59</v>
      </c>
      <c r="BG36" s="455">
        <v>22605.17</v>
      </c>
      <c r="BH36" s="455">
        <v>22296.42</v>
      </c>
      <c r="BI36" s="455">
        <v>22406.85</v>
      </c>
      <c r="BJ36" s="455">
        <v>22503.51</v>
      </c>
      <c r="BK36" s="455">
        <v>17129.39</v>
      </c>
      <c r="BL36" s="455">
        <v>19313.61</v>
      </c>
      <c r="BM36" s="455">
        <v>22562.75</v>
      </c>
      <c r="BN36" s="455">
        <v>20034.38</v>
      </c>
      <c r="BO36" s="455">
        <v>16640.36</v>
      </c>
      <c r="BP36" s="455">
        <v>22562.98</v>
      </c>
      <c r="BQ36" s="455">
        <v>69.75</v>
      </c>
      <c r="BR36" s="455">
        <v>82.24</v>
      </c>
      <c r="BS36" s="455">
        <v>144.21</v>
      </c>
      <c r="BT36" s="455">
        <v>291.91000000000003</v>
      </c>
      <c r="BU36" s="455">
        <v>316.39999999999998</v>
      </c>
      <c r="BV36" s="455">
        <v>86.51</v>
      </c>
      <c r="BW36" s="455">
        <v>82.67</v>
      </c>
      <c r="BX36" s="455">
        <v>36.74</v>
      </c>
      <c r="BY36" s="455">
        <v>33.03</v>
      </c>
      <c r="BZ36" s="455">
        <v>66.23</v>
      </c>
      <c r="CA36" s="455">
        <v>287.64999999999998</v>
      </c>
      <c r="CB36" s="455">
        <v>522.61</v>
      </c>
      <c r="CC36" s="455">
        <v>193.71</v>
      </c>
      <c r="CD36" s="455">
        <v>664.98</v>
      </c>
      <c r="CE36" s="455">
        <v>305.77</v>
      </c>
      <c r="CF36" s="455">
        <v>6.31</v>
      </c>
      <c r="CG36" s="455">
        <v>37.770000000000003</v>
      </c>
      <c r="CH36" s="455">
        <v>29.83</v>
      </c>
      <c r="CI36" s="455">
        <v>136.84</v>
      </c>
      <c r="CJ36" s="455">
        <v>1102.22</v>
      </c>
      <c r="CK36" s="455">
        <v>96.91</v>
      </c>
      <c r="CL36" s="455">
        <v>234.12</v>
      </c>
      <c r="CM36" s="455">
        <v>38.1</v>
      </c>
      <c r="CN36" s="455">
        <v>13.33</v>
      </c>
      <c r="CO36" s="455">
        <v>0</v>
      </c>
      <c r="CP36" s="455">
        <v>0</v>
      </c>
      <c r="CQ36" s="455">
        <v>145.75</v>
      </c>
      <c r="CR36" s="455">
        <v>133.97999999999999</v>
      </c>
      <c r="CS36" s="455">
        <v>14.44</v>
      </c>
      <c r="CT36" s="455">
        <v>86.92</v>
      </c>
      <c r="CU36" s="455">
        <v>51.82</v>
      </c>
      <c r="CV36" s="460">
        <v>43054</v>
      </c>
    </row>
    <row r="37" spans="1:100" s="458" customFormat="1" ht="18" x14ac:dyDescent="0.25">
      <c r="A37" s="461">
        <v>1155997</v>
      </c>
      <c r="B37" s="461" t="s">
        <v>284</v>
      </c>
      <c r="C37" s="461" t="s">
        <v>285</v>
      </c>
      <c r="D37" s="462">
        <v>33860432</v>
      </c>
      <c r="E37" s="462">
        <v>107.71</v>
      </c>
      <c r="F37" s="462">
        <v>51.86</v>
      </c>
      <c r="G37" s="462">
        <v>135.43</v>
      </c>
      <c r="H37" s="462">
        <v>74.790000000000006</v>
      </c>
      <c r="I37" s="462">
        <v>342.5</v>
      </c>
      <c r="J37" s="462">
        <v>191.67</v>
      </c>
      <c r="K37" s="462">
        <v>124.63</v>
      </c>
      <c r="L37" s="462">
        <v>174.41</v>
      </c>
      <c r="M37" s="462">
        <v>104.73</v>
      </c>
      <c r="N37" s="462">
        <v>75.38</v>
      </c>
      <c r="O37" s="462">
        <v>101.9</v>
      </c>
      <c r="P37" s="462">
        <v>39.61</v>
      </c>
      <c r="Q37" s="462">
        <v>30.24</v>
      </c>
      <c r="R37" s="462">
        <v>101.54</v>
      </c>
      <c r="S37" s="462">
        <v>93.62</v>
      </c>
      <c r="T37" s="462">
        <v>122.46</v>
      </c>
      <c r="U37" s="462">
        <v>143.99</v>
      </c>
      <c r="V37" s="462">
        <v>28.65</v>
      </c>
      <c r="W37" s="462">
        <v>54.22</v>
      </c>
      <c r="X37" s="462">
        <v>77.92</v>
      </c>
      <c r="Y37" s="462">
        <v>5.33</v>
      </c>
      <c r="Z37" s="462">
        <v>45.91</v>
      </c>
      <c r="AA37" s="462">
        <v>189.35</v>
      </c>
      <c r="AB37" s="462">
        <v>39.869999999999997</v>
      </c>
      <c r="AC37" s="462">
        <v>115.43</v>
      </c>
      <c r="AD37" s="462">
        <v>85.14</v>
      </c>
      <c r="AE37" s="462">
        <v>39.68</v>
      </c>
      <c r="AF37" s="462">
        <v>0</v>
      </c>
      <c r="AG37" s="462">
        <v>84.47</v>
      </c>
      <c r="AH37" s="462">
        <v>56.35</v>
      </c>
      <c r="AI37" s="462">
        <v>53.23</v>
      </c>
      <c r="AJ37" s="462">
        <v>5.04</v>
      </c>
      <c r="AK37" s="462">
        <v>935.57</v>
      </c>
      <c r="AL37" s="462">
        <v>836.68</v>
      </c>
      <c r="AM37" s="462">
        <v>105.31</v>
      </c>
      <c r="AN37" s="462">
        <v>87.15</v>
      </c>
      <c r="AO37" s="462">
        <v>423.89</v>
      </c>
      <c r="AP37" s="462">
        <v>8164.32</v>
      </c>
      <c r="AQ37" s="462">
        <v>240.61</v>
      </c>
      <c r="AR37" s="462">
        <v>100.56</v>
      </c>
      <c r="AS37" s="462">
        <v>306.74</v>
      </c>
      <c r="AT37" s="462">
        <v>7240.73</v>
      </c>
      <c r="AU37" s="462">
        <v>2451.15</v>
      </c>
      <c r="AV37" s="462">
        <v>8077.54</v>
      </c>
      <c r="AW37" s="462">
        <v>8412.82</v>
      </c>
      <c r="AX37" s="462">
        <v>0</v>
      </c>
      <c r="AY37" s="462">
        <v>19.36</v>
      </c>
      <c r="AZ37" s="462">
        <v>500.39</v>
      </c>
      <c r="BA37" s="462">
        <v>35.549999999999997</v>
      </c>
      <c r="BB37" s="462">
        <v>56.28</v>
      </c>
      <c r="BC37" s="462">
        <v>270.8</v>
      </c>
      <c r="BD37" s="462">
        <v>141.33000000000001</v>
      </c>
      <c r="BE37" s="462">
        <v>0</v>
      </c>
      <c r="BF37" s="462">
        <v>6016.28</v>
      </c>
      <c r="BG37" s="462">
        <v>486.87</v>
      </c>
      <c r="BH37" s="462">
        <v>0</v>
      </c>
      <c r="BI37" s="462">
        <v>2909.07</v>
      </c>
      <c r="BJ37" s="462">
        <v>226.79</v>
      </c>
      <c r="BK37" s="462">
        <v>1949.8</v>
      </c>
      <c r="BL37" s="462">
        <v>5517.48</v>
      </c>
      <c r="BM37" s="462">
        <v>8122.49</v>
      </c>
      <c r="BN37" s="462">
        <v>3183.18</v>
      </c>
      <c r="BO37" s="462">
        <v>7188.58</v>
      </c>
      <c r="BP37" s="462">
        <v>8336.7199999999993</v>
      </c>
      <c r="BQ37" s="462">
        <v>259.14999999999998</v>
      </c>
      <c r="BR37" s="462">
        <v>139.58000000000001</v>
      </c>
      <c r="BS37" s="462">
        <v>78.53</v>
      </c>
      <c r="BT37" s="462">
        <v>271.08</v>
      </c>
      <c r="BU37" s="462">
        <v>191</v>
      </c>
      <c r="BV37" s="462">
        <v>80.64</v>
      </c>
      <c r="BW37" s="462">
        <v>71.599999999999994</v>
      </c>
      <c r="BX37" s="462">
        <v>42.66</v>
      </c>
      <c r="BY37" s="462">
        <v>39.979999999999997</v>
      </c>
      <c r="BZ37" s="462">
        <v>76.739999999999995</v>
      </c>
      <c r="CA37" s="462">
        <v>26.42</v>
      </c>
      <c r="CB37" s="462">
        <v>33.76</v>
      </c>
      <c r="CC37" s="462">
        <v>70.989999999999995</v>
      </c>
      <c r="CD37" s="462">
        <v>44.26</v>
      </c>
      <c r="CE37" s="462">
        <v>198.08</v>
      </c>
      <c r="CF37" s="462">
        <v>24.29</v>
      </c>
      <c r="CG37" s="462">
        <v>49.26</v>
      </c>
      <c r="CH37" s="462">
        <v>71.900000000000006</v>
      </c>
      <c r="CI37" s="462">
        <v>33.729999999999997</v>
      </c>
      <c r="CJ37" s="462">
        <v>20.37</v>
      </c>
      <c r="CK37" s="462">
        <v>1021.7</v>
      </c>
      <c r="CL37" s="462">
        <v>39.200000000000003</v>
      </c>
      <c r="CM37" s="462">
        <v>6172.46</v>
      </c>
      <c r="CN37" s="462">
        <v>23.45</v>
      </c>
      <c r="CO37" s="462">
        <v>3.66</v>
      </c>
      <c r="CP37" s="462">
        <v>64.459999999999994</v>
      </c>
      <c r="CQ37" s="462">
        <v>129.13999999999999</v>
      </c>
      <c r="CR37" s="462">
        <v>46.5</v>
      </c>
      <c r="CS37" s="462">
        <v>84.68</v>
      </c>
      <c r="CT37" s="462">
        <v>253.5</v>
      </c>
      <c r="CU37" s="462">
        <v>293.66000000000003</v>
      </c>
    </row>
    <row r="38" spans="1:100" s="458" customFormat="1" ht="18" x14ac:dyDescent="0.25">
      <c r="A38" s="461">
        <v>52389359</v>
      </c>
      <c r="B38" s="461" t="s">
        <v>286</v>
      </c>
      <c r="C38" s="461" t="s">
        <v>287</v>
      </c>
      <c r="D38" s="461">
        <v>33878471</v>
      </c>
      <c r="E38" s="465">
        <v>107.59</v>
      </c>
      <c r="F38" s="465">
        <v>118.66</v>
      </c>
      <c r="G38" s="465">
        <v>1559.59</v>
      </c>
      <c r="H38" s="465">
        <v>882.94</v>
      </c>
      <c r="I38" s="465">
        <v>1179.82</v>
      </c>
      <c r="J38" s="465">
        <v>150.54</v>
      </c>
      <c r="K38" s="465">
        <v>147.79</v>
      </c>
      <c r="L38" s="465">
        <v>334.83</v>
      </c>
      <c r="M38" s="465">
        <v>108.24</v>
      </c>
      <c r="N38" s="465">
        <v>16641.64</v>
      </c>
      <c r="O38" s="465">
        <v>45.63</v>
      </c>
      <c r="P38" s="465">
        <v>218.76</v>
      </c>
      <c r="Q38" s="465">
        <v>16654.18</v>
      </c>
      <c r="R38" s="465">
        <v>328.29</v>
      </c>
      <c r="S38" s="465">
        <v>104.53</v>
      </c>
      <c r="T38" s="465">
        <v>232.33</v>
      </c>
      <c r="U38" s="465">
        <v>181.13</v>
      </c>
      <c r="V38" s="465">
        <v>12101.51</v>
      </c>
      <c r="W38" s="465">
        <v>14187.4</v>
      </c>
      <c r="X38" s="465">
        <v>459.24</v>
      </c>
      <c r="Y38" s="465">
        <v>4113.76</v>
      </c>
      <c r="Z38" s="465">
        <v>8504.58</v>
      </c>
      <c r="AA38" s="465">
        <v>189.05</v>
      </c>
      <c r="AB38" s="465">
        <v>7354.69</v>
      </c>
      <c r="AC38" s="465">
        <v>0</v>
      </c>
      <c r="AD38" s="465">
        <v>22.42</v>
      </c>
      <c r="AE38" s="465">
        <v>0</v>
      </c>
      <c r="AF38" s="465">
        <v>538.51</v>
      </c>
      <c r="AG38" s="465">
        <v>380.61</v>
      </c>
      <c r="AH38" s="465">
        <v>17320.86</v>
      </c>
      <c r="AI38" s="465">
        <v>3754.12</v>
      </c>
      <c r="AJ38" s="465">
        <v>20570.32</v>
      </c>
      <c r="AK38" s="465">
        <v>90.31</v>
      </c>
      <c r="AL38" s="465">
        <v>32.07</v>
      </c>
      <c r="AM38" s="465">
        <v>240.92</v>
      </c>
      <c r="AN38" s="465">
        <v>95.52</v>
      </c>
      <c r="AO38" s="465">
        <v>135.18</v>
      </c>
      <c r="AP38" s="465">
        <v>238.42</v>
      </c>
      <c r="AQ38" s="465">
        <v>20259.54</v>
      </c>
      <c r="AR38" s="465">
        <v>17274.62</v>
      </c>
      <c r="AS38" s="465">
        <v>40.46</v>
      </c>
      <c r="AT38" s="465">
        <v>78.41</v>
      </c>
      <c r="AU38" s="465">
        <v>0</v>
      </c>
      <c r="AV38" s="465">
        <v>104.11</v>
      </c>
      <c r="AW38" s="465">
        <v>21274</v>
      </c>
      <c r="AX38" s="465">
        <v>3943.87</v>
      </c>
      <c r="AY38" s="465">
        <v>311.07</v>
      </c>
      <c r="AZ38" s="465">
        <v>5980.78</v>
      </c>
      <c r="BA38" s="465">
        <v>184.67</v>
      </c>
      <c r="BB38" s="465">
        <v>318.93</v>
      </c>
      <c r="BC38" s="465">
        <v>1870.51</v>
      </c>
      <c r="BD38" s="465">
        <v>277.89</v>
      </c>
      <c r="BE38" s="465">
        <v>2920.19</v>
      </c>
      <c r="BF38" s="465">
        <v>17583.13</v>
      </c>
      <c r="BG38" s="465">
        <v>19861.37</v>
      </c>
      <c r="BH38" s="465">
        <v>17080.38</v>
      </c>
      <c r="BI38" s="465">
        <v>13954.38</v>
      </c>
      <c r="BJ38" s="465">
        <v>18674.05</v>
      </c>
      <c r="BK38" s="465">
        <v>54.98</v>
      </c>
      <c r="BL38" s="465">
        <v>0</v>
      </c>
      <c r="BM38" s="465">
        <v>0</v>
      </c>
      <c r="BN38" s="465">
        <v>0</v>
      </c>
      <c r="BO38" s="465">
        <v>0</v>
      </c>
      <c r="BP38" s="465">
        <v>156.33000000000001</v>
      </c>
      <c r="BQ38" s="465">
        <v>55.84</v>
      </c>
      <c r="BR38" s="465">
        <v>157.34</v>
      </c>
      <c r="BS38" s="465">
        <v>153.68</v>
      </c>
      <c r="BT38" s="465">
        <v>111.68</v>
      </c>
      <c r="BU38" s="465">
        <v>132.18</v>
      </c>
      <c r="BV38" s="465">
        <v>81.53</v>
      </c>
      <c r="BW38" s="465">
        <v>248.91</v>
      </c>
      <c r="BX38" s="465">
        <v>293.77</v>
      </c>
      <c r="BY38" s="465">
        <v>128.99</v>
      </c>
      <c r="BZ38" s="465">
        <v>36.21</v>
      </c>
      <c r="CA38" s="465">
        <v>161.08000000000001</v>
      </c>
      <c r="CB38" s="465">
        <v>740.46</v>
      </c>
      <c r="CC38" s="465">
        <v>79.98</v>
      </c>
      <c r="CD38" s="465">
        <v>143.27000000000001</v>
      </c>
      <c r="CE38" s="465">
        <v>117.78</v>
      </c>
      <c r="CF38" s="465">
        <v>461.6</v>
      </c>
      <c r="CG38" s="465">
        <v>220.5</v>
      </c>
      <c r="CH38" s="465">
        <v>118.85</v>
      </c>
      <c r="CI38" s="465">
        <v>117.44</v>
      </c>
      <c r="CJ38" s="465">
        <v>72.37</v>
      </c>
      <c r="CK38" s="465">
        <v>109.69</v>
      </c>
      <c r="CL38" s="465">
        <v>81.040000000000006</v>
      </c>
      <c r="CM38" s="465">
        <v>271.86</v>
      </c>
      <c r="CN38" s="465">
        <v>67.63</v>
      </c>
      <c r="CO38" s="465">
        <v>52.23</v>
      </c>
      <c r="CP38" s="465">
        <v>132.52000000000001</v>
      </c>
      <c r="CQ38" s="465">
        <v>130.6</v>
      </c>
      <c r="CR38" s="465">
        <v>190.55</v>
      </c>
      <c r="CS38" s="465">
        <v>109.85</v>
      </c>
      <c r="CT38" s="465">
        <v>215.33</v>
      </c>
      <c r="CU38" s="465">
        <v>1053.4000000000001</v>
      </c>
    </row>
    <row r="39" spans="1:100" s="458" customFormat="1" ht="18" x14ac:dyDescent="0.25">
      <c r="D39" s="461">
        <v>33878480</v>
      </c>
      <c r="E39" s="256">
        <v>0.87964613713729989</v>
      </c>
      <c r="F39" s="256">
        <v>-1.9773825958784954</v>
      </c>
      <c r="G39" s="256">
        <v>44.168487767411705</v>
      </c>
      <c r="H39" s="256">
        <v>3257.172716405496</v>
      </c>
      <c r="I39" s="256">
        <v>1612.7665636929671</v>
      </c>
      <c r="J39" s="256">
        <v>91.956691752186202</v>
      </c>
      <c r="K39" s="256">
        <v>85.959212606499193</v>
      </c>
      <c r="L39" s="256">
        <v>81.033630987035224</v>
      </c>
      <c r="M39" s="256">
        <v>32.762936385882213</v>
      </c>
      <c r="N39" s="256">
        <v>3264.4236423314196</v>
      </c>
      <c r="O39" s="256">
        <v>72.140154724110204</v>
      </c>
      <c r="P39" s="256">
        <v>642.24742904917719</v>
      </c>
      <c r="Q39" s="256">
        <v>8229.5260722360181</v>
      </c>
      <c r="R39" s="256">
        <v>11948.997837178424</v>
      </c>
      <c r="S39" s="256">
        <v>5001.1436096457219</v>
      </c>
      <c r="T39" s="256">
        <v>1289.0895083854512</v>
      </c>
      <c r="U39" s="256">
        <v>1371.4710070037861</v>
      </c>
      <c r="V39" s="256">
        <v>3666.2134571462366</v>
      </c>
      <c r="W39" s="256">
        <v>6258.1872276380454</v>
      </c>
      <c r="X39" s="256">
        <v>1660.0569876897741</v>
      </c>
      <c r="Y39" s="256">
        <v>1522.410755621182</v>
      </c>
      <c r="Z39" s="256">
        <v>1810.6456101783879</v>
      </c>
      <c r="AA39" s="256">
        <v>1054.502324000749</v>
      </c>
      <c r="AB39" s="256">
        <v>1822.0089597917431</v>
      </c>
      <c r="AC39" s="256">
        <v>91.592427166016193</v>
      </c>
      <c r="AD39" s="256">
        <v>112.50769015877918</v>
      </c>
      <c r="AE39" s="256">
        <v>77.881049738832516</v>
      </c>
      <c r="AF39" s="256">
        <v>62.770509901651224</v>
      </c>
      <c r="AG39" s="256">
        <v>90.079262401036203</v>
      </c>
      <c r="AH39" s="256">
        <v>5004.0777052572294</v>
      </c>
      <c r="AI39" s="256">
        <v>871.76628595930413</v>
      </c>
      <c r="AJ39" s="256">
        <v>7335.2385946599898</v>
      </c>
      <c r="AK39" s="256">
        <v>179.18099446985616</v>
      </c>
      <c r="AL39" s="256">
        <v>360.85969619621721</v>
      </c>
      <c r="AM39" s="256">
        <v>33.117289234630192</v>
      </c>
      <c r="AN39" s="256">
        <v>1056.677617361782</v>
      </c>
      <c r="AO39" s="256">
        <v>20995.351455408421</v>
      </c>
      <c r="AP39" s="256">
        <v>22584.03091856368</v>
      </c>
      <c r="AQ39" s="256">
        <v>22194.388357431144</v>
      </c>
      <c r="AR39" s="256">
        <v>21999.553583574834</v>
      </c>
      <c r="AS39" s="256">
        <v>21542.844775229001</v>
      </c>
      <c r="AT39" s="256">
        <v>17617.170001179878</v>
      </c>
      <c r="AU39" s="256">
        <v>22566.264992828299</v>
      </c>
      <c r="AV39" s="256">
        <v>22322.855093608305</v>
      </c>
      <c r="AW39" s="256">
        <v>19629.996133398407</v>
      </c>
      <c r="AX39" s="256">
        <v>-19.466046302699297</v>
      </c>
      <c r="AY39" s="256">
        <v>20.32993373612301</v>
      </c>
      <c r="AZ39" s="256">
        <v>17351.233182986558</v>
      </c>
      <c r="BA39" s="256">
        <v>-11.221651532353803</v>
      </c>
      <c r="BB39" s="256">
        <v>-32.732009009571783</v>
      </c>
      <c r="BC39" s="256">
        <v>528.15578455078946</v>
      </c>
      <c r="BD39" s="256">
        <v>55.177176603401193</v>
      </c>
      <c r="BE39" s="256">
        <v>736.47354456284836</v>
      </c>
      <c r="BF39" s="256">
        <v>19740.533311472616</v>
      </c>
      <c r="BG39" s="256">
        <v>22180.805223292555</v>
      </c>
      <c r="BH39" s="256">
        <v>22826.964737414226</v>
      </c>
      <c r="BI39" s="256">
        <v>22706.411614956225</v>
      </c>
      <c r="BJ39" s="256">
        <v>22989.552289169143</v>
      </c>
      <c r="BK39" s="256">
        <v>21179.71820512729</v>
      </c>
      <c r="BL39" s="256">
        <v>22225.720214458433</v>
      </c>
      <c r="BM39" s="256">
        <v>23090.872506233121</v>
      </c>
      <c r="BN39" s="256">
        <v>22466.032376025196</v>
      </c>
      <c r="BO39" s="256">
        <v>20371.58562007557</v>
      </c>
      <c r="BP39" s="256">
        <v>23003.985718769578</v>
      </c>
      <c r="BQ39" s="256">
        <v>170.67307872433921</v>
      </c>
      <c r="BR39" s="256">
        <v>230.9526516805802</v>
      </c>
      <c r="BS39" s="256">
        <v>46.506860597284216</v>
      </c>
      <c r="BT39" s="256">
        <v>153.55087545868523</v>
      </c>
      <c r="BU39" s="256">
        <v>363.03917236841528</v>
      </c>
      <c r="BV39" s="256">
        <v>179.38360965168582</v>
      </c>
      <c r="BW39" s="256">
        <v>249.77764064792322</v>
      </c>
      <c r="BX39" s="256">
        <v>-3.1772835945010911</v>
      </c>
      <c r="BY39" s="256">
        <v>1.7460599325122104</v>
      </c>
      <c r="BZ39" s="256">
        <v>177.73546150353849</v>
      </c>
      <c r="CA39" s="256">
        <v>217.53462971489921</v>
      </c>
      <c r="CB39" s="256">
        <v>170.01081164359454</v>
      </c>
      <c r="CC39" s="256">
        <v>240.55684338962539</v>
      </c>
      <c r="CD39" s="256">
        <v>220.12253680779818</v>
      </c>
      <c r="CE39" s="256">
        <v>194.45730242315619</v>
      </c>
      <c r="CF39" s="256">
        <v>-8.408040914320793</v>
      </c>
      <c r="CG39" s="256">
        <v>113.93114076829221</v>
      </c>
      <c r="CH39" s="256">
        <v>146.67788411533621</v>
      </c>
      <c r="CI39" s="256">
        <v>192.77436383570523</v>
      </c>
      <c r="CJ39" s="256">
        <v>289.31056951284319</v>
      </c>
      <c r="CK39" s="256">
        <v>213.05960366040017</v>
      </c>
      <c r="CL39" s="256">
        <v>125.85376063562872</v>
      </c>
      <c r="CM39" s="256">
        <v>127.94439383748171</v>
      </c>
      <c r="CN39" s="256">
        <v>24.560323243105898</v>
      </c>
      <c r="CO39" s="256">
        <v>41.861871110443204</v>
      </c>
      <c r="CP39" s="256">
        <v>184.27545401876318</v>
      </c>
      <c r="CQ39" s="256">
        <v>122.4053677545822</v>
      </c>
      <c r="CR39" s="256">
        <v>31.137084221590186</v>
      </c>
      <c r="CS39" s="256">
        <v>24.578956142773421</v>
      </c>
      <c r="CT39" s="256">
        <v>55.696663310551202</v>
      </c>
      <c r="CU39" s="256" t="s">
        <v>424</v>
      </c>
    </row>
    <row r="40" spans="1:100" s="458" customFormat="1" ht="18" x14ac:dyDescent="0.25"/>
    <row r="41" spans="1:100" s="458" customFormat="1" ht="18" x14ac:dyDescent="0.25"/>
    <row r="42" spans="1:100" s="458" customFormat="1" ht="18" x14ac:dyDescent="0.25"/>
    <row r="43" spans="1:100" s="458" customFormat="1" ht="18" x14ac:dyDescent="0.25"/>
    <row r="44" spans="1:100" s="458" customFormat="1" ht="18" x14ac:dyDescent="0.25"/>
    <row r="45" spans="1:100" s="458" customFormat="1" ht="18" x14ac:dyDescent="0.25"/>
    <row r="46" spans="1:100" s="458" customFormat="1" ht="18" x14ac:dyDescent="0.25"/>
    <row r="47" spans="1:100" s="458" customFormat="1" ht="18" x14ac:dyDescent="0.25"/>
    <row r="48" spans="1:100" s="458" customFormat="1" ht="18" x14ac:dyDescent="0.25"/>
    <row r="49" s="458" customFormat="1" ht="18" x14ac:dyDescent="0.25"/>
    <row r="50" s="458" customFormat="1" ht="18" x14ac:dyDescent="0.25"/>
    <row r="51" s="458" customFormat="1" ht="18" x14ac:dyDescent="0.25"/>
    <row r="52" s="458" customFormat="1" ht="18" x14ac:dyDescent="0.25"/>
    <row r="53" s="458" customFormat="1" ht="18" x14ac:dyDescent="0.25"/>
    <row r="54" s="458" customFormat="1" ht="18" x14ac:dyDescent="0.25"/>
    <row r="55" s="458" customFormat="1" ht="18" x14ac:dyDescent="0.25"/>
    <row r="56" s="458" customFormat="1" ht="18" x14ac:dyDescent="0.25"/>
    <row r="57" s="458" customFormat="1" ht="18" x14ac:dyDescent="0.25"/>
    <row r="58" s="458" customFormat="1" ht="18" x14ac:dyDescent="0.25"/>
    <row r="59" s="458" customFormat="1" ht="18" x14ac:dyDescent="0.25"/>
    <row r="60" s="458" customFormat="1" ht="18" x14ac:dyDescent="0.25"/>
    <row r="61" s="458" customFormat="1" ht="18" x14ac:dyDescent="0.25"/>
    <row r="62" s="458" customFormat="1" ht="18" x14ac:dyDescent="0.25"/>
    <row r="63" s="458" customFormat="1" ht="18" x14ac:dyDescent="0.25"/>
    <row r="64" s="458" customFormat="1" ht="18" x14ac:dyDescent="0.25"/>
    <row r="65" s="458" customFormat="1" ht="18" x14ac:dyDescent="0.25"/>
    <row r="66" s="458" customFormat="1" ht="18" x14ac:dyDescent="0.25"/>
    <row r="67" s="458" customFormat="1" ht="18" x14ac:dyDescent="0.25"/>
    <row r="68" s="458" customFormat="1" ht="18" x14ac:dyDescent="0.25"/>
    <row r="69" s="458" customFormat="1" ht="18" x14ac:dyDescent="0.25"/>
    <row r="70" s="458" customFormat="1" ht="18" x14ac:dyDescent="0.25"/>
    <row r="71" s="458" customFormat="1" ht="18" x14ac:dyDescent="0.25"/>
    <row r="72" s="458" customFormat="1" ht="18" x14ac:dyDescent="0.25"/>
    <row r="73" s="458" customFormat="1" ht="18" x14ac:dyDescent="0.25"/>
    <row r="74" s="458" customFormat="1" ht="18" x14ac:dyDescent="0.25"/>
    <row r="75" s="458" customFormat="1" ht="18" x14ac:dyDescent="0.25"/>
    <row r="76" s="458" customFormat="1" ht="18" x14ac:dyDescent="0.25"/>
    <row r="77" s="458" customFormat="1" ht="18" x14ac:dyDescent="0.25"/>
    <row r="78" s="458" customFormat="1" ht="18" x14ac:dyDescent="0.25"/>
    <row r="79" s="458" customFormat="1" ht="18" x14ac:dyDescent="0.25"/>
    <row r="80" s="458" customFormat="1" ht="18" x14ac:dyDescent="0.25"/>
    <row r="81" s="458" customFormat="1" ht="18" x14ac:dyDescent="0.25"/>
    <row r="82" s="458" customFormat="1" ht="18" x14ac:dyDescent="0.25"/>
    <row r="83" s="458" customFormat="1" ht="18" x14ac:dyDescent="0.25"/>
    <row r="84" s="458" customFormat="1" ht="18" x14ac:dyDescent="0.25"/>
    <row r="85" s="458" customFormat="1" ht="18" x14ac:dyDescent="0.25"/>
    <row r="86" s="458" customFormat="1" ht="18" x14ac:dyDescent="0.25"/>
    <row r="87" s="458" customFormat="1" ht="18" x14ac:dyDescent="0.25"/>
    <row r="88" s="458" customFormat="1" ht="18" x14ac:dyDescent="0.25"/>
    <row r="89" s="458" customFormat="1" ht="18" x14ac:dyDescent="0.25"/>
    <row r="90" s="458" customFormat="1" ht="18" x14ac:dyDescent="0.25"/>
    <row r="91" s="458" customFormat="1" ht="18" x14ac:dyDescent="0.25"/>
    <row r="92" s="458" customFormat="1" ht="18" x14ac:dyDescent="0.25"/>
    <row r="93" s="458" customFormat="1" ht="18" x14ac:dyDescent="0.25"/>
    <row r="94" s="458" customFormat="1" ht="18" x14ac:dyDescent="0.25"/>
    <row r="95" s="458" customFormat="1" ht="18" x14ac:dyDescent="0.25"/>
    <row r="96" s="458" customFormat="1" ht="18" x14ac:dyDescent="0.25"/>
    <row r="97" s="458" customFormat="1" ht="18" x14ac:dyDescent="0.25"/>
    <row r="98" s="458" customFormat="1" ht="18" x14ac:dyDescent="0.25"/>
    <row r="99" s="458" customFormat="1" ht="18" x14ac:dyDescent="0.25"/>
    <row r="100" s="458" customFormat="1" ht="18" x14ac:dyDescent="0.25"/>
    <row r="101" s="458" customFormat="1" ht="18" x14ac:dyDescent="0.25"/>
    <row r="102" s="458" customFormat="1" ht="18" x14ac:dyDescent="0.25"/>
    <row r="103" s="458" customFormat="1" ht="18" x14ac:dyDescent="0.25"/>
    <row r="104" s="458" customFormat="1" ht="18" x14ac:dyDescent="0.25"/>
    <row r="105" s="458" customFormat="1" ht="18" x14ac:dyDescent="0.25"/>
    <row r="106" s="458" customFormat="1" ht="18" x14ac:dyDescent="0.25"/>
    <row r="107" s="458" customFormat="1" ht="18" x14ac:dyDescent="0.25"/>
    <row r="108" s="458" customFormat="1" ht="18" x14ac:dyDescent="0.25"/>
    <row r="109" s="458" customFormat="1" ht="18" x14ac:dyDescent="0.25"/>
    <row r="110" s="458" customFormat="1" ht="18" x14ac:dyDescent="0.25"/>
    <row r="111" s="458" customFormat="1" ht="18" x14ac:dyDescent="0.25"/>
    <row r="112" s="458" customFormat="1" ht="18" x14ac:dyDescent="0.25"/>
    <row r="113" s="458" customFormat="1" ht="18" x14ac:dyDescent="0.25"/>
    <row r="114" s="458" customFormat="1" ht="18" x14ac:dyDescent="0.25"/>
    <row r="115" s="458" customFormat="1" ht="18" x14ac:dyDescent="0.25"/>
    <row r="116" s="458" customFormat="1" ht="18" x14ac:dyDescent="0.25"/>
    <row r="117" s="458" customFormat="1" ht="18" x14ac:dyDescent="0.25"/>
    <row r="118" s="458" customFormat="1" ht="18" x14ac:dyDescent="0.25"/>
    <row r="119" s="458" customFormat="1" ht="18" x14ac:dyDescent="0.25"/>
    <row r="120" s="458" customFormat="1" ht="18" x14ac:dyDescent="0.25"/>
    <row r="121" s="458" customFormat="1" ht="18" x14ac:dyDescent="0.25"/>
    <row r="122" s="458" customFormat="1" ht="18" x14ac:dyDescent="0.25"/>
    <row r="123" s="458" customFormat="1" ht="18" x14ac:dyDescent="0.25"/>
    <row r="124" s="458" customFormat="1" ht="18" x14ac:dyDescent="0.25"/>
    <row r="125" s="458" customFormat="1" ht="18" x14ac:dyDescent="0.25"/>
    <row r="126" s="458" customFormat="1" ht="18" x14ac:dyDescent="0.25"/>
    <row r="127" s="458" customFormat="1" ht="18" x14ac:dyDescent="0.25"/>
    <row r="128" s="458" customFormat="1" ht="18" x14ac:dyDescent="0.25"/>
    <row r="129" s="458" customFormat="1" ht="18" x14ac:dyDescent="0.25"/>
    <row r="130" s="458" customFormat="1" ht="18" x14ac:dyDescent="0.25"/>
    <row r="131" s="458" customFormat="1" ht="18" x14ac:dyDescent="0.25"/>
    <row r="132" s="458" customFormat="1" ht="18" x14ac:dyDescent="0.25"/>
    <row r="133" s="458" customFormat="1" ht="18" x14ac:dyDescent="0.25"/>
    <row r="134" s="458" customFormat="1" ht="18" x14ac:dyDescent="0.25"/>
    <row r="135" s="458" customFormat="1" ht="18" x14ac:dyDescent="0.25"/>
    <row r="136" s="458" customFormat="1" ht="18" x14ac:dyDescent="0.25"/>
    <row r="137" s="458" customFormat="1" ht="18" x14ac:dyDescent="0.25"/>
    <row r="138" s="458" customFormat="1" ht="18" x14ac:dyDescent="0.25"/>
    <row r="139" s="458" customFormat="1" ht="18" x14ac:dyDescent="0.25"/>
    <row r="140" s="458" customFormat="1" ht="18" x14ac:dyDescent="0.25"/>
    <row r="141" s="458" customFormat="1" ht="18" x14ac:dyDescent="0.25"/>
    <row r="142" s="458" customFormat="1" ht="18" x14ac:dyDescent="0.25"/>
    <row r="143" s="458" customFormat="1" ht="18" x14ac:dyDescent="0.25"/>
    <row r="144" s="458" customFormat="1" ht="18" x14ac:dyDescent="0.25"/>
    <row r="145" s="458" customFormat="1" ht="18" x14ac:dyDescent="0.25"/>
    <row r="146" s="458" customFormat="1" ht="18" x14ac:dyDescent="0.25"/>
    <row r="147" s="458" customFormat="1" ht="18" x14ac:dyDescent="0.25"/>
    <row r="148" s="458" customFormat="1" ht="18" x14ac:dyDescent="0.25"/>
    <row r="149" s="458" customFormat="1" ht="18" x14ac:dyDescent="0.25"/>
    <row r="150" s="458" customFormat="1" ht="18" x14ac:dyDescent="0.25"/>
    <row r="151" s="458" customFormat="1" ht="18" x14ac:dyDescent="0.25"/>
    <row r="152" s="458" customFormat="1" ht="18" x14ac:dyDescent="0.25"/>
    <row r="153" s="458" customFormat="1" ht="18" x14ac:dyDescent="0.25"/>
    <row r="154" s="458" customFormat="1" ht="18" x14ac:dyDescent="0.25"/>
    <row r="155" s="458" customFormat="1" ht="18" x14ac:dyDescent="0.25"/>
    <row r="156" s="458" customFormat="1" ht="18" x14ac:dyDescent="0.25"/>
    <row r="157" s="458" customFormat="1" ht="18" x14ac:dyDescent="0.25"/>
    <row r="158" s="458" customFormat="1" ht="18" x14ac:dyDescent="0.25"/>
    <row r="159" s="458" customFormat="1" ht="18" x14ac:dyDescent="0.25"/>
    <row r="160" s="458" customFormat="1" ht="18" x14ac:dyDescent="0.25"/>
    <row r="161" s="458" customFormat="1" ht="18" x14ac:dyDescent="0.25"/>
    <row r="162" s="458" customFormat="1" ht="18" x14ac:dyDescent="0.25"/>
    <row r="163" s="458" customFormat="1" ht="18" x14ac:dyDescent="0.25"/>
    <row r="164" s="458" customFormat="1" ht="18" x14ac:dyDescent="0.25"/>
    <row r="165" s="458" customFormat="1" ht="18" x14ac:dyDescent="0.25"/>
    <row r="166" s="458" customFormat="1" ht="18" x14ac:dyDescent="0.25"/>
    <row r="167" s="458" customFormat="1" ht="18" x14ac:dyDescent="0.25"/>
    <row r="168" s="458" customFormat="1" ht="18" x14ac:dyDescent="0.25"/>
    <row r="169" s="458" customFormat="1" ht="18" x14ac:dyDescent="0.25"/>
    <row r="170" s="458" customFormat="1" ht="18" x14ac:dyDescent="0.25"/>
    <row r="171" s="458" customFormat="1" ht="18" x14ac:dyDescent="0.25"/>
    <row r="172" s="458" customFormat="1" ht="18" x14ac:dyDescent="0.25"/>
    <row r="173" s="458" customFormat="1" ht="18" x14ac:dyDescent="0.25"/>
    <row r="174" s="458" customFormat="1" ht="18" x14ac:dyDescent="0.25"/>
    <row r="175" s="458" customFormat="1" ht="18" x14ac:dyDescent="0.25"/>
    <row r="176" s="458" customFormat="1" ht="18" x14ac:dyDescent="0.25"/>
    <row r="177" s="458" customFormat="1" ht="18" x14ac:dyDescent="0.25"/>
    <row r="178" s="458" customFormat="1" ht="18" x14ac:dyDescent="0.25"/>
    <row r="179" s="458" customFormat="1" ht="18" x14ac:dyDescent="0.25"/>
    <row r="180" s="458" customFormat="1" ht="18" x14ac:dyDescent="0.25"/>
    <row r="181" s="458" customFormat="1" ht="18" x14ac:dyDescent="0.25"/>
    <row r="182" s="458" customFormat="1" ht="18" x14ac:dyDescent="0.25"/>
    <row r="183" s="458" customFormat="1" ht="18" x14ac:dyDescent="0.25"/>
    <row r="184" s="458" customFormat="1" ht="18" x14ac:dyDescent="0.25"/>
    <row r="185" s="458" customFormat="1" ht="18" x14ac:dyDescent="0.25"/>
    <row r="186" s="458" customFormat="1" ht="18" x14ac:dyDescent="0.25"/>
    <row r="187" s="458" customFormat="1" ht="18" x14ac:dyDescent="0.25"/>
    <row r="188" s="458" customFormat="1" ht="18" x14ac:dyDescent="0.25"/>
    <row r="189" s="458" customFormat="1" ht="18" x14ac:dyDescent="0.25"/>
    <row r="190" s="458" customFormat="1" ht="18" x14ac:dyDescent="0.25"/>
    <row r="191" s="458" customFormat="1" ht="18" x14ac:dyDescent="0.25"/>
    <row r="192" s="458" customFormat="1" ht="18" x14ac:dyDescent="0.25"/>
    <row r="193" s="458" customFormat="1" ht="18" x14ac:dyDescent="0.25"/>
    <row r="194" s="458" customFormat="1" ht="18" x14ac:dyDescent="0.25"/>
    <row r="195" s="458" customFormat="1" ht="18" x14ac:dyDescent="0.25"/>
    <row r="196" s="458" customFormat="1" ht="18" x14ac:dyDescent="0.25"/>
    <row r="197" s="458" customFormat="1" ht="18" x14ac:dyDescent="0.25"/>
    <row r="198" s="458" customFormat="1" ht="18" x14ac:dyDescent="0.25"/>
    <row r="199" s="458" customFormat="1" ht="18" x14ac:dyDescent="0.25"/>
    <row r="200" s="458" customFormat="1" ht="18" x14ac:dyDescent="0.25"/>
    <row r="201" s="458" customFormat="1" ht="18" x14ac:dyDescent="0.25"/>
    <row r="202" s="458" customFormat="1" ht="18" x14ac:dyDescent="0.25"/>
    <row r="203" s="458" customFormat="1" ht="18" x14ac:dyDescent="0.25"/>
    <row r="204" s="458" customFormat="1" ht="18" x14ac:dyDescent="0.25"/>
    <row r="205" s="458" customFormat="1" ht="18" x14ac:dyDescent="0.25"/>
    <row r="206" s="458" customFormat="1" ht="18" x14ac:dyDescent="0.25"/>
    <row r="207" s="458" customFormat="1" ht="18" x14ac:dyDescent="0.25"/>
    <row r="208" s="458" customFormat="1" ht="18" x14ac:dyDescent="0.25"/>
    <row r="209" s="458" customFormat="1" ht="18" x14ac:dyDescent="0.25"/>
    <row r="210" s="458" customFormat="1" ht="18" x14ac:dyDescent="0.25"/>
    <row r="211" s="458" customFormat="1" ht="18" x14ac:dyDescent="0.25"/>
    <row r="212" s="458" customFormat="1" ht="18" x14ac:dyDescent="0.25"/>
    <row r="213" s="458" customFormat="1" ht="18" x14ac:dyDescent="0.25"/>
    <row r="214" s="458" customFormat="1" ht="18" x14ac:dyDescent="0.25"/>
    <row r="215" s="458" customFormat="1" ht="18" x14ac:dyDescent="0.25"/>
    <row r="216" s="458" customFormat="1" ht="18" x14ac:dyDescent="0.25"/>
    <row r="217" s="458" customFormat="1" ht="18" x14ac:dyDescent="0.25"/>
    <row r="218" s="458" customFormat="1" ht="18" x14ac:dyDescent="0.25"/>
    <row r="219" s="458" customFormat="1" ht="18" x14ac:dyDescent="0.25"/>
    <row r="220" s="458" customFormat="1" ht="18" x14ac:dyDescent="0.25"/>
    <row r="221" s="458" customFormat="1" ht="18" x14ac:dyDescent="0.25"/>
    <row r="222" s="458" customFormat="1" ht="18" x14ac:dyDescent="0.25"/>
    <row r="223" s="458" customFormat="1" ht="18" x14ac:dyDescent="0.25"/>
    <row r="224" s="458" customFormat="1" ht="18" x14ac:dyDescent="0.25"/>
    <row r="225" s="458" customFormat="1" ht="18" x14ac:dyDescent="0.25"/>
    <row r="226" s="458" customFormat="1" ht="18" x14ac:dyDescent="0.25"/>
    <row r="227" s="458" customFormat="1" ht="18" x14ac:dyDescent="0.25"/>
    <row r="228" s="458" customFormat="1" ht="18" x14ac:dyDescent="0.25"/>
    <row r="229" s="458" customFormat="1" ht="18" x14ac:dyDescent="0.25"/>
    <row r="230" s="458" customFormat="1" ht="18" x14ac:dyDescent="0.25"/>
    <row r="231" s="458" customFormat="1" ht="18" x14ac:dyDescent="0.25"/>
    <row r="232" s="458" customFormat="1" ht="18" x14ac:dyDescent="0.25"/>
    <row r="233" s="458" customFormat="1" ht="18" x14ac:dyDescent="0.25"/>
    <row r="234" s="458" customFormat="1" ht="18" x14ac:dyDescent="0.25"/>
    <row r="235" s="458" customFormat="1" ht="18" x14ac:dyDescent="0.25"/>
    <row r="236" s="458" customFormat="1" ht="18" x14ac:dyDescent="0.25"/>
    <row r="237" s="458" customFormat="1" ht="18" x14ac:dyDescent="0.25"/>
    <row r="238" s="458" customFormat="1" ht="18" x14ac:dyDescent="0.25"/>
    <row r="239" s="458" customFormat="1" ht="18" x14ac:dyDescent="0.25"/>
    <row r="240" s="458" customFormat="1" ht="18" x14ac:dyDescent="0.25"/>
    <row r="241" s="458" customFormat="1" ht="18" x14ac:dyDescent="0.25"/>
    <row r="242" s="458" customFormat="1" ht="18" x14ac:dyDescent="0.25"/>
    <row r="243" s="458" customFormat="1" ht="18" x14ac:dyDescent="0.25"/>
    <row r="244" s="458" customFormat="1" ht="18" x14ac:dyDescent="0.25"/>
    <row r="245" s="458" customFormat="1" ht="18" x14ac:dyDescent="0.25"/>
    <row r="246" s="458" customFormat="1" ht="18" x14ac:dyDescent="0.25"/>
    <row r="247" s="458" customFormat="1" ht="18" x14ac:dyDescent="0.25"/>
    <row r="248" s="458" customFormat="1" ht="18" x14ac:dyDescent="0.25"/>
    <row r="249" s="458" customFormat="1" ht="18" x14ac:dyDescent="0.25"/>
    <row r="250" s="458" customFormat="1" ht="18" x14ac:dyDescent="0.25"/>
    <row r="251" s="458" customFormat="1" ht="18" x14ac:dyDescent="0.25"/>
    <row r="252" s="458" customFormat="1" ht="18" x14ac:dyDescent="0.25"/>
    <row r="253" s="458" customFormat="1" ht="18" x14ac:dyDescent="0.25"/>
    <row r="254" s="458" customFormat="1" ht="18" x14ac:dyDescent="0.25"/>
    <row r="255" s="458" customFormat="1" ht="18" x14ac:dyDescent="0.25"/>
    <row r="256" s="458" customFormat="1" ht="18" x14ac:dyDescent="0.25"/>
    <row r="257" s="458" customFormat="1" ht="18" x14ac:dyDescent="0.25"/>
    <row r="258" s="458" customFormat="1" ht="18" x14ac:dyDescent="0.25"/>
    <row r="259" s="458" customFormat="1" ht="18" x14ac:dyDescent="0.25"/>
    <row r="260" s="458" customFormat="1" ht="18" x14ac:dyDescent="0.25"/>
    <row r="261" s="458" customFormat="1" ht="18" x14ac:dyDescent="0.25"/>
    <row r="262" s="458" customFormat="1" ht="18" x14ac:dyDescent="0.25"/>
    <row r="263" s="458" customFormat="1" ht="18" x14ac:dyDescent="0.25"/>
    <row r="264" s="458" customFormat="1" ht="18" x14ac:dyDescent="0.25"/>
    <row r="265" s="458" customFormat="1" ht="18" x14ac:dyDescent="0.25"/>
    <row r="266" s="458" customFormat="1" ht="18" x14ac:dyDescent="0.25"/>
    <row r="267" s="458" customFormat="1" ht="18" x14ac:dyDescent="0.25"/>
    <row r="268" s="458" customFormat="1" ht="18" x14ac:dyDescent="0.25"/>
    <row r="269" s="458" customFormat="1" ht="18" x14ac:dyDescent="0.25"/>
    <row r="270" s="458" customFormat="1" ht="18" x14ac:dyDescent="0.25"/>
    <row r="271" s="458" customFormat="1" ht="18" x14ac:dyDescent="0.25"/>
    <row r="272" s="458" customFormat="1" ht="18" x14ac:dyDescent="0.25"/>
    <row r="273" s="458" customFormat="1" ht="18" x14ac:dyDescent="0.25"/>
    <row r="274" s="458" customFormat="1" ht="18" x14ac:dyDescent="0.25"/>
    <row r="275" s="458" customFormat="1" ht="18" x14ac:dyDescent="0.25"/>
    <row r="276" s="458" customFormat="1" ht="18" x14ac:dyDescent="0.25"/>
    <row r="277" s="458" customFormat="1" ht="18" x14ac:dyDescent="0.25"/>
    <row r="278" s="458" customFormat="1" ht="18" x14ac:dyDescent="0.25"/>
    <row r="279" s="458" customFormat="1" ht="18" x14ac:dyDescent="0.25"/>
    <row r="280" s="458" customFormat="1" ht="18" x14ac:dyDescent="0.25"/>
    <row r="281" s="458" customFormat="1" ht="18" x14ac:dyDescent="0.25"/>
    <row r="282" s="458" customFormat="1" ht="18" x14ac:dyDescent="0.25"/>
    <row r="283" s="458" customFormat="1" ht="18" x14ac:dyDescent="0.25"/>
    <row r="284" s="458" customFormat="1" ht="18" x14ac:dyDescent="0.25"/>
    <row r="285" s="458" customFormat="1" ht="18" x14ac:dyDescent="0.25"/>
    <row r="286" s="458" customFormat="1" ht="18" x14ac:dyDescent="0.25"/>
    <row r="287" s="458" customFormat="1" ht="18" x14ac:dyDescent="0.25"/>
    <row r="288" s="458" customFormat="1" ht="18" x14ac:dyDescent="0.25"/>
    <row r="289" s="458" customFormat="1" ht="18" x14ac:dyDescent="0.25"/>
    <row r="290" s="458" customFormat="1" ht="18" x14ac:dyDescent="0.25"/>
    <row r="291" s="458" customFormat="1" ht="18" x14ac:dyDescent="0.25"/>
    <row r="292" s="458" customFormat="1" ht="18" x14ac:dyDescent="0.25"/>
    <row r="293" s="458" customFormat="1" ht="18" x14ac:dyDescent="0.25"/>
    <row r="294" s="458" customFormat="1" ht="18" x14ac:dyDescent="0.25"/>
    <row r="295" s="458" customFormat="1" ht="18" x14ac:dyDescent="0.25"/>
    <row r="296" s="458" customFormat="1" ht="18" x14ac:dyDescent="0.25"/>
    <row r="297" s="458" customFormat="1" ht="18" x14ac:dyDescent="0.25"/>
    <row r="298" s="458" customFormat="1" ht="18" x14ac:dyDescent="0.25"/>
    <row r="299" s="458" customFormat="1" ht="18" x14ac:dyDescent="0.25"/>
    <row r="300" s="458" customFormat="1" ht="18" x14ac:dyDescent="0.25"/>
    <row r="301" s="458" customFormat="1" ht="18" x14ac:dyDescent="0.25"/>
    <row r="302" s="458" customFormat="1" ht="18" x14ac:dyDescent="0.25"/>
    <row r="303" s="458" customFormat="1" ht="18" x14ac:dyDescent="0.25"/>
    <row r="304" s="458" customFormat="1" ht="18" x14ac:dyDescent="0.25"/>
    <row r="305" s="458" customFormat="1" ht="18" x14ac:dyDescent="0.25"/>
    <row r="306" s="458" customFormat="1" ht="18" x14ac:dyDescent="0.25"/>
    <row r="307" s="458" customFormat="1" ht="18" x14ac:dyDescent="0.25"/>
    <row r="308" s="458" customFormat="1" ht="18" x14ac:dyDescent="0.25"/>
    <row r="309" s="458" customFormat="1" ht="18" x14ac:dyDescent="0.25"/>
    <row r="310" s="458" customFormat="1" ht="18" x14ac:dyDescent="0.25"/>
    <row r="311" s="458" customFormat="1" ht="18" x14ac:dyDescent="0.25"/>
    <row r="312" s="458" customFormat="1" ht="18" x14ac:dyDescent="0.25"/>
    <row r="313" s="458" customFormat="1" ht="18" x14ac:dyDescent="0.25"/>
    <row r="314" s="458" customFormat="1" ht="18" x14ac:dyDescent="0.25"/>
    <row r="315" s="458" customFormat="1" ht="18" x14ac:dyDescent="0.25"/>
    <row r="316" s="458" customFormat="1" ht="18" x14ac:dyDescent="0.25"/>
    <row r="317" s="458" customFormat="1" ht="18" x14ac:dyDescent="0.25"/>
    <row r="318" s="458" customFormat="1" ht="18" x14ac:dyDescent="0.25"/>
    <row r="319" s="458" customFormat="1" ht="18" x14ac:dyDescent="0.25"/>
    <row r="320" s="458" customFormat="1" ht="18" x14ac:dyDescent="0.25"/>
    <row r="321" s="458" customFormat="1" ht="18" x14ac:dyDescent="0.25"/>
    <row r="322" s="458" customFormat="1" ht="18" x14ac:dyDescent="0.25"/>
    <row r="323" s="458" customFormat="1" ht="18" x14ac:dyDescent="0.25"/>
    <row r="324" s="458" customFormat="1" ht="18" x14ac:dyDescent="0.25"/>
    <row r="325" s="458" customFormat="1" ht="18" x14ac:dyDescent="0.25"/>
    <row r="326" s="458" customFormat="1" ht="18" x14ac:dyDescent="0.25"/>
    <row r="327" s="458" customFormat="1" ht="18" x14ac:dyDescent="0.25"/>
    <row r="328" s="458" customFormat="1" ht="18" x14ac:dyDescent="0.25"/>
    <row r="329" s="458" customFormat="1" ht="18" x14ac:dyDescent="0.25"/>
    <row r="330" s="458" customFormat="1" ht="18" x14ac:dyDescent="0.25"/>
    <row r="331" s="458" customFormat="1" ht="18" x14ac:dyDescent="0.25"/>
    <row r="332" s="458" customFormat="1" ht="18" x14ac:dyDescent="0.25"/>
    <row r="333" s="458" customFormat="1" ht="18" x14ac:dyDescent="0.25"/>
    <row r="334" s="458" customFormat="1" ht="18" x14ac:dyDescent="0.25"/>
    <row r="335" s="458" customFormat="1" ht="18" x14ac:dyDescent="0.25"/>
    <row r="336" s="458" customFormat="1" ht="18" x14ac:dyDescent="0.25"/>
    <row r="337" s="458" customFormat="1" ht="18" x14ac:dyDescent="0.25"/>
    <row r="338" s="458" customFormat="1" ht="18" x14ac:dyDescent="0.25"/>
    <row r="339" s="458" customFormat="1" ht="18" x14ac:dyDescent="0.25"/>
    <row r="340" s="458" customFormat="1" ht="18" x14ac:dyDescent="0.25"/>
    <row r="341" s="458" customFormat="1" ht="18" x14ac:dyDescent="0.25"/>
    <row r="342" s="458" customFormat="1" ht="18" x14ac:dyDescent="0.25"/>
    <row r="343" s="458" customFormat="1" ht="18" x14ac:dyDescent="0.25"/>
    <row r="344" s="458" customFormat="1" ht="18" x14ac:dyDescent="0.25"/>
    <row r="345" s="458" customFormat="1" ht="18" x14ac:dyDescent="0.25"/>
    <row r="346" s="458" customFormat="1" ht="18" x14ac:dyDescent="0.25"/>
    <row r="347" s="458" customFormat="1" ht="18" x14ac:dyDescent="0.25"/>
    <row r="348" s="458" customFormat="1" ht="18" x14ac:dyDescent="0.25"/>
    <row r="349" s="458" customFormat="1" ht="18" x14ac:dyDescent="0.25"/>
    <row r="350" s="458" customFormat="1" ht="18" x14ac:dyDescent="0.25"/>
    <row r="351" s="458" customFormat="1" ht="18" x14ac:dyDescent="0.25"/>
    <row r="352" s="458" customFormat="1" ht="18" x14ac:dyDescent="0.25"/>
    <row r="353" s="458" customFormat="1" ht="18" x14ac:dyDescent="0.25"/>
    <row r="354" s="458" customFormat="1" ht="18" x14ac:dyDescent="0.25"/>
    <row r="355" s="458" customFormat="1" ht="18" x14ac:dyDescent="0.25"/>
    <row r="356" s="458" customFormat="1" ht="18" x14ac:dyDescent="0.25"/>
    <row r="357" s="458" customFormat="1" ht="18" x14ac:dyDescent="0.25"/>
    <row r="358" s="458" customFormat="1" ht="18" x14ac:dyDescent="0.25"/>
    <row r="359" s="458" customFormat="1" ht="18" x14ac:dyDescent="0.25"/>
    <row r="360" s="458" customFormat="1" ht="18" x14ac:dyDescent="0.25"/>
    <row r="361" s="458" customFormat="1" ht="18" x14ac:dyDescent="0.25"/>
    <row r="362" s="458" customFormat="1" ht="18" x14ac:dyDescent="0.25"/>
    <row r="363" s="458" customFormat="1" ht="18" x14ac:dyDescent="0.25"/>
    <row r="364" s="458" customFormat="1" ht="18" x14ac:dyDescent="0.25"/>
    <row r="365" s="458" customFormat="1" ht="18" x14ac:dyDescent="0.25"/>
    <row r="366" s="458" customFormat="1" ht="18" x14ac:dyDescent="0.25"/>
    <row r="367" s="458" customFormat="1" ht="18" x14ac:dyDescent="0.25"/>
    <row r="368" s="458" customFormat="1" ht="18" x14ac:dyDescent="0.25"/>
    <row r="369" s="458" customFormat="1" ht="18" x14ac:dyDescent="0.25"/>
    <row r="370" s="458" customFormat="1" ht="18" x14ac:dyDescent="0.25"/>
    <row r="371" s="458" customFormat="1" ht="18" x14ac:dyDescent="0.25"/>
    <row r="372" s="458" customFormat="1" ht="18" x14ac:dyDescent="0.25"/>
    <row r="373" s="458" customFormat="1" ht="18" x14ac:dyDescent="0.25"/>
    <row r="374" s="458" customFormat="1" ht="18" x14ac:dyDescent="0.25"/>
    <row r="375" s="458" customFormat="1" ht="18" x14ac:dyDescent="0.25"/>
    <row r="376" s="458" customFormat="1" ht="18" x14ac:dyDescent="0.25"/>
    <row r="377" s="458" customFormat="1" ht="18" x14ac:dyDescent="0.25"/>
    <row r="378" s="458" customFormat="1" ht="18" x14ac:dyDescent="0.25"/>
    <row r="379" s="458" customFormat="1" ht="18" x14ac:dyDescent="0.25"/>
    <row r="380" s="458" customFormat="1" ht="18" x14ac:dyDescent="0.25"/>
    <row r="381" s="458" customFormat="1" ht="18" x14ac:dyDescent="0.25"/>
    <row r="382" s="458" customFormat="1" ht="18" x14ac:dyDescent="0.25"/>
    <row r="383" s="458" customFormat="1" ht="18" x14ac:dyDescent="0.25"/>
    <row r="384" s="458" customFormat="1" ht="18" x14ac:dyDescent="0.25"/>
    <row r="385" s="458" customFormat="1" ht="18" x14ac:dyDescent="0.25"/>
    <row r="386" s="458" customFormat="1" ht="18" x14ac:dyDescent="0.25"/>
    <row r="387" s="458" customFormat="1" ht="18" x14ac:dyDescent="0.25"/>
    <row r="388" s="458" customFormat="1" ht="18" x14ac:dyDescent="0.25"/>
    <row r="389" s="458" customFormat="1" ht="18" x14ac:dyDescent="0.25"/>
    <row r="390" s="458" customFormat="1" ht="18" x14ac:dyDescent="0.25"/>
    <row r="391" s="458" customFormat="1" ht="18" x14ac:dyDescent="0.25"/>
    <row r="392" s="458" customFormat="1" ht="18" x14ac:dyDescent="0.25"/>
    <row r="393" s="458" customFormat="1" ht="18" x14ac:dyDescent="0.25"/>
    <row r="394" s="458" customFormat="1" ht="18" x14ac:dyDescent="0.25"/>
    <row r="395" s="458" customFormat="1" ht="18" x14ac:dyDescent="0.25"/>
    <row r="396" s="458" customFormat="1" ht="18" x14ac:dyDescent="0.25"/>
    <row r="397" s="458" customFormat="1" ht="18" x14ac:dyDescent="0.25"/>
    <row r="398" s="458" customFormat="1" ht="18" x14ac:dyDescent="0.25"/>
    <row r="399" s="458" customFormat="1" ht="18" x14ac:dyDescent="0.25"/>
    <row r="400" s="458" customFormat="1" ht="18" x14ac:dyDescent="0.25"/>
    <row r="401" s="458" customFormat="1" ht="18" x14ac:dyDescent="0.25"/>
    <row r="402" s="458" customFormat="1" ht="18" x14ac:dyDescent="0.25"/>
    <row r="403" s="458" customFormat="1" ht="18" x14ac:dyDescent="0.25"/>
    <row r="404" s="458" customFormat="1" ht="18" x14ac:dyDescent="0.25"/>
    <row r="405" s="458" customFormat="1" ht="18" x14ac:dyDescent="0.25"/>
    <row r="406" s="458" customFormat="1" ht="18" x14ac:dyDescent="0.25"/>
    <row r="407" s="458" customFormat="1" ht="18" x14ac:dyDescent="0.25"/>
    <row r="408" s="458" customFormat="1" ht="18" x14ac:dyDescent="0.25"/>
    <row r="409" s="458" customFormat="1" ht="18" x14ac:dyDescent="0.25"/>
    <row r="410" s="458" customFormat="1" ht="18" x14ac:dyDescent="0.25"/>
    <row r="411" s="458" customFormat="1" ht="18" x14ac:dyDescent="0.25"/>
    <row r="412" s="458" customFormat="1" ht="18" x14ac:dyDescent="0.25"/>
    <row r="413" s="458" customFormat="1" ht="18" x14ac:dyDescent="0.25"/>
    <row r="414" s="458" customFormat="1" ht="18" x14ac:dyDescent="0.25"/>
    <row r="415" s="458" customFormat="1" ht="18" x14ac:dyDescent="0.25"/>
    <row r="416" s="458" customFormat="1" ht="18" x14ac:dyDescent="0.25"/>
    <row r="417" s="458" customFormat="1" ht="18" x14ac:dyDescent="0.25"/>
    <row r="418" s="458" customFormat="1" ht="18" x14ac:dyDescent="0.25"/>
    <row r="419" s="458" customFormat="1" ht="18" x14ac:dyDescent="0.25"/>
    <row r="420" s="458" customFormat="1" ht="18" x14ac:dyDescent="0.25"/>
    <row r="421" s="458" customFormat="1" ht="18" x14ac:dyDescent="0.25"/>
    <row r="422" s="458" customFormat="1" ht="18" x14ac:dyDescent="0.25"/>
    <row r="423" s="458" customFormat="1" ht="18" x14ac:dyDescent="0.25"/>
    <row r="424" s="458" customFormat="1" ht="18" x14ac:dyDescent="0.25"/>
    <row r="425" s="458" customFormat="1" ht="18" x14ac:dyDescent="0.25"/>
    <row r="426" s="458" customFormat="1" ht="18" x14ac:dyDescent="0.25"/>
    <row r="427" s="458" customFormat="1" ht="18" x14ac:dyDescent="0.25"/>
    <row r="428" s="458" customFormat="1" ht="18" x14ac:dyDescent="0.25"/>
    <row r="429" s="458" customFormat="1" ht="18" x14ac:dyDescent="0.25"/>
    <row r="430" s="458" customFormat="1" ht="18" x14ac:dyDescent="0.25"/>
    <row r="431" s="458" customFormat="1" ht="18" x14ac:dyDescent="0.25"/>
    <row r="432" s="458" customFormat="1" ht="18" x14ac:dyDescent="0.25"/>
    <row r="433" s="458" customFormat="1" ht="18" x14ac:dyDescent="0.25"/>
    <row r="434" s="458" customFormat="1" ht="18" x14ac:dyDescent="0.25"/>
    <row r="435" s="458" customFormat="1" ht="18" x14ac:dyDescent="0.25"/>
    <row r="436" s="458" customFormat="1" ht="18" x14ac:dyDescent="0.25"/>
    <row r="437" s="458" customFormat="1" ht="18" x14ac:dyDescent="0.25"/>
    <row r="438" s="458" customFormat="1" ht="18" x14ac:dyDescent="0.25"/>
    <row r="439" s="458" customFormat="1" ht="18" x14ac:dyDescent="0.25"/>
    <row r="440" s="458" customFormat="1" ht="18" x14ac:dyDescent="0.25"/>
    <row r="441" s="458" customFormat="1" ht="18" x14ac:dyDescent="0.25"/>
    <row r="442" s="458" customFormat="1" ht="18" x14ac:dyDescent="0.25"/>
    <row r="443" s="458" customFormat="1" ht="18" x14ac:dyDescent="0.25"/>
    <row r="444" s="458" customFormat="1" ht="18" x14ac:dyDescent="0.25"/>
    <row r="445" s="458" customFormat="1" ht="18" x14ac:dyDescent="0.25"/>
    <row r="446" s="458" customFormat="1" ht="18" x14ac:dyDescent="0.25"/>
    <row r="447" s="458" customFormat="1" ht="18" x14ac:dyDescent="0.25"/>
    <row r="448" s="458" customFormat="1" ht="18" x14ac:dyDescent="0.25"/>
    <row r="449" s="458" customFormat="1" ht="18" x14ac:dyDescent="0.25"/>
    <row r="450" s="458" customFormat="1" ht="18" x14ac:dyDescent="0.25"/>
    <row r="451" s="458" customFormat="1" ht="18" x14ac:dyDescent="0.25"/>
    <row r="452" s="458" customFormat="1" ht="18" x14ac:dyDescent="0.25"/>
    <row r="453" s="458" customFormat="1" ht="18" x14ac:dyDescent="0.25"/>
    <row r="454" s="458" customFormat="1" ht="18" x14ac:dyDescent="0.25"/>
    <row r="455" s="458" customFormat="1" ht="18" x14ac:dyDescent="0.25"/>
    <row r="456" s="458" customFormat="1" ht="18" x14ac:dyDescent="0.25"/>
    <row r="457" s="458" customFormat="1" ht="18" x14ac:dyDescent="0.25"/>
    <row r="458" s="458" customFormat="1" ht="18" x14ac:dyDescent="0.25"/>
    <row r="459" s="458" customFormat="1" ht="18" x14ac:dyDescent="0.25"/>
    <row r="460" s="458" customFormat="1" ht="18" x14ac:dyDescent="0.25"/>
    <row r="461" s="458" customFormat="1" ht="18" x14ac:dyDescent="0.25"/>
    <row r="462" s="458" customFormat="1" ht="18" x14ac:dyDescent="0.25"/>
    <row r="463" s="458" customFormat="1" ht="18" x14ac:dyDescent="0.25"/>
    <row r="464" s="458" customFormat="1" ht="18" x14ac:dyDescent="0.25"/>
    <row r="465" s="458" customFormat="1" ht="18" x14ac:dyDescent="0.25"/>
    <row r="466" s="458" customFormat="1" ht="18" x14ac:dyDescent="0.25"/>
    <row r="467" s="458" customFormat="1" ht="18" x14ac:dyDescent="0.25"/>
    <row r="468" s="458" customFormat="1" ht="18" x14ac:dyDescent="0.25"/>
    <row r="469" s="458" customFormat="1" ht="18" x14ac:dyDescent="0.25"/>
    <row r="470" s="458" customFormat="1" ht="18" x14ac:dyDescent="0.25"/>
    <row r="471" s="458" customFormat="1" ht="18" x14ac:dyDescent="0.25"/>
    <row r="472" s="458" customFormat="1" ht="18" x14ac:dyDescent="0.25"/>
    <row r="473" s="458" customFormat="1" ht="18" x14ac:dyDescent="0.25"/>
    <row r="474" s="458" customFormat="1" ht="18" x14ac:dyDescent="0.25"/>
    <row r="475" s="458" customFormat="1" ht="18" x14ac:dyDescent="0.25"/>
    <row r="476" s="458" customFormat="1" ht="18" x14ac:dyDescent="0.25"/>
    <row r="477" s="458" customFormat="1" ht="18" x14ac:dyDescent="0.25"/>
    <row r="478" s="458" customFormat="1" ht="18" x14ac:dyDescent="0.25"/>
    <row r="479" s="458" customFormat="1" ht="18" x14ac:dyDescent="0.25"/>
    <row r="480" s="458" customFormat="1" ht="18" x14ac:dyDescent="0.25"/>
    <row r="481" s="458" customFormat="1" ht="18" x14ac:dyDescent="0.25"/>
    <row r="482" s="458" customFormat="1" ht="18" x14ac:dyDescent="0.25"/>
    <row r="483" s="458" customFormat="1" ht="18" x14ac:dyDescent="0.25"/>
    <row r="484" s="458" customFormat="1" ht="18" x14ac:dyDescent="0.25"/>
    <row r="485" s="458" customFormat="1" ht="18" x14ac:dyDescent="0.25"/>
    <row r="486" s="458" customFormat="1" ht="18" x14ac:dyDescent="0.25"/>
    <row r="487" s="458" customFormat="1" ht="18" x14ac:dyDescent="0.25"/>
    <row r="488" s="458" customFormat="1" ht="18" x14ac:dyDescent="0.25"/>
    <row r="489" s="458" customFormat="1" ht="18" x14ac:dyDescent="0.25"/>
    <row r="490" s="458" customFormat="1" ht="18" x14ac:dyDescent="0.25"/>
    <row r="491" s="458" customFormat="1" ht="18" x14ac:dyDescent="0.25"/>
    <row r="492" s="458" customFormat="1" ht="18" x14ac:dyDescent="0.25"/>
    <row r="493" s="458" customFormat="1" ht="18" x14ac:dyDescent="0.25"/>
    <row r="494" s="458" customFormat="1" ht="18" x14ac:dyDescent="0.25"/>
    <row r="495" s="458" customFormat="1" ht="18" x14ac:dyDescent="0.25"/>
    <row r="496" s="458" customFormat="1" ht="18" x14ac:dyDescent="0.25"/>
    <row r="497" s="458" customFormat="1" ht="18" x14ac:dyDescent="0.25"/>
    <row r="498" s="458" customFormat="1" ht="18" x14ac:dyDescent="0.25"/>
    <row r="499" s="458" customFormat="1" ht="18" x14ac:dyDescent="0.25"/>
    <row r="500" s="458" customFormat="1" ht="18" x14ac:dyDescent="0.25"/>
    <row r="501" s="458" customFormat="1" ht="18" x14ac:dyDescent="0.25"/>
    <row r="502" s="458" customFormat="1" ht="18" x14ac:dyDescent="0.25"/>
    <row r="503" s="458" customFormat="1" ht="18" x14ac:dyDescent="0.25"/>
    <row r="504" s="458" customFormat="1" ht="18" x14ac:dyDescent="0.25"/>
    <row r="505" s="458" customFormat="1" ht="18" x14ac:dyDescent="0.25"/>
    <row r="506" s="458" customFormat="1" ht="18" x14ac:dyDescent="0.25"/>
    <row r="507" s="458" customFormat="1" ht="18" x14ac:dyDescent="0.25"/>
    <row r="508" s="458" customFormat="1" ht="18" x14ac:dyDescent="0.25"/>
    <row r="509" s="458" customFormat="1" ht="18" x14ac:dyDescent="0.25"/>
    <row r="510" s="458" customFormat="1" ht="18" x14ac:dyDescent="0.25"/>
    <row r="511" s="458" customFormat="1" ht="18" x14ac:dyDescent="0.25"/>
    <row r="512" s="458" customFormat="1" ht="18" x14ac:dyDescent="0.25"/>
    <row r="513" s="458" customFormat="1" ht="18" x14ac:dyDescent="0.25"/>
    <row r="514" s="458" customFormat="1" ht="18" x14ac:dyDescent="0.25"/>
    <row r="515" s="458" customFormat="1" ht="18" x14ac:dyDescent="0.25"/>
    <row r="516" s="458" customFormat="1" ht="18" x14ac:dyDescent="0.25"/>
    <row r="517" s="458" customFormat="1" ht="18" x14ac:dyDescent="0.25"/>
    <row r="518" s="458" customFormat="1" ht="18" x14ac:dyDescent="0.25"/>
    <row r="519" s="458" customFormat="1" ht="18" x14ac:dyDescent="0.25"/>
    <row r="520" s="458" customFormat="1" ht="18" x14ac:dyDescent="0.25"/>
    <row r="521" s="458" customFormat="1" ht="18" x14ac:dyDescent="0.25"/>
    <row r="522" s="458" customFormat="1" ht="18" x14ac:dyDescent="0.25"/>
    <row r="523" s="458" customFormat="1" ht="18" x14ac:dyDescent="0.25"/>
    <row r="524" s="458" customFormat="1" ht="18" x14ac:dyDescent="0.25"/>
    <row r="525" s="458" customFormat="1" ht="18" x14ac:dyDescent="0.25"/>
    <row r="526" s="458" customFormat="1" ht="18" x14ac:dyDescent="0.25"/>
    <row r="527" s="458" customFormat="1" ht="18" x14ac:dyDescent="0.25"/>
    <row r="528" s="458" customFormat="1" ht="18" x14ac:dyDescent="0.25"/>
    <row r="529" s="458" customFormat="1" ht="18" x14ac:dyDescent="0.25"/>
    <row r="530" s="458" customFormat="1" ht="18" x14ac:dyDescent="0.25"/>
    <row r="531" s="458" customFormat="1" ht="18" x14ac:dyDescent="0.25"/>
    <row r="532" s="458" customFormat="1" ht="18" x14ac:dyDescent="0.25"/>
    <row r="533" s="458" customFormat="1" ht="18" x14ac:dyDescent="0.25"/>
    <row r="534" s="458" customFormat="1" ht="18" x14ac:dyDescent="0.25"/>
    <row r="535" s="458" customFormat="1" ht="18" x14ac:dyDescent="0.25"/>
    <row r="536" s="458" customFormat="1" ht="18" x14ac:dyDescent="0.25"/>
    <row r="537" s="458" customFormat="1" ht="18" x14ac:dyDescent="0.25"/>
    <row r="538" s="458" customFormat="1" ht="18" x14ac:dyDescent="0.25"/>
    <row r="539" s="458" customFormat="1" ht="18" x14ac:dyDescent="0.25"/>
    <row r="540" s="458" customFormat="1" ht="18" x14ac:dyDescent="0.25"/>
    <row r="541" s="458" customFormat="1" ht="18" x14ac:dyDescent="0.25"/>
    <row r="542" s="458" customFormat="1" ht="18" x14ac:dyDescent="0.25"/>
    <row r="543" s="458" customFormat="1" ht="18" x14ac:dyDescent="0.25"/>
    <row r="544" s="458" customFormat="1" ht="18" x14ac:dyDescent="0.25"/>
    <row r="545" s="458" customFormat="1" ht="18" x14ac:dyDescent="0.25"/>
    <row r="546" s="458" customFormat="1" ht="18" x14ac:dyDescent="0.25"/>
    <row r="547" s="458" customFormat="1" ht="18" x14ac:dyDescent="0.25"/>
    <row r="548" s="458" customFormat="1" ht="18" x14ac:dyDescent="0.25"/>
    <row r="549" s="458" customFormat="1" ht="18" x14ac:dyDescent="0.25"/>
    <row r="550" s="458" customFormat="1" ht="18" x14ac:dyDescent="0.25"/>
    <row r="551" s="458" customFormat="1" ht="18" x14ac:dyDescent="0.25"/>
    <row r="552" s="458" customFormat="1" ht="18" x14ac:dyDescent="0.25"/>
    <row r="553" s="458" customFormat="1" ht="18" x14ac:dyDescent="0.25"/>
    <row r="554" s="458" customFormat="1" ht="18" x14ac:dyDescent="0.25"/>
    <row r="555" s="458" customFormat="1" ht="18" x14ac:dyDescent="0.25"/>
    <row r="556" s="458" customFormat="1" ht="18" x14ac:dyDescent="0.25"/>
    <row r="557" s="458" customFormat="1" ht="18" x14ac:dyDescent="0.25"/>
    <row r="558" s="458" customFormat="1" ht="18" x14ac:dyDescent="0.25"/>
    <row r="559" s="458" customFormat="1" ht="18" x14ac:dyDescent="0.25"/>
    <row r="560" s="458" customFormat="1" ht="18" x14ac:dyDescent="0.25"/>
    <row r="561" s="458" customFormat="1" ht="18" x14ac:dyDescent="0.25"/>
    <row r="562" s="458" customFormat="1" ht="18" x14ac:dyDescent="0.25"/>
    <row r="563" s="458" customFormat="1" ht="18" x14ac:dyDescent="0.25"/>
    <row r="564" s="458" customFormat="1" ht="18" x14ac:dyDescent="0.25"/>
    <row r="565" s="458" customFormat="1" ht="18" x14ac:dyDescent="0.25"/>
    <row r="566" s="458" customFormat="1" ht="18" x14ac:dyDescent="0.25"/>
    <row r="567" s="458" customFormat="1" ht="18" x14ac:dyDescent="0.25"/>
    <row r="568" s="458" customFormat="1" ht="18" x14ac:dyDescent="0.25"/>
    <row r="569" s="458" customFormat="1" ht="18" x14ac:dyDescent="0.25"/>
    <row r="570" s="458" customFormat="1" ht="18" x14ac:dyDescent="0.25"/>
    <row r="571" s="458" customFormat="1" ht="18" x14ac:dyDescent="0.25"/>
    <row r="572" s="458" customFormat="1" ht="18" x14ac:dyDescent="0.25"/>
    <row r="573" s="458" customFormat="1" ht="18" x14ac:dyDescent="0.25"/>
    <row r="574" s="458" customFormat="1" ht="18" x14ac:dyDescent="0.25"/>
    <row r="575" s="458" customFormat="1" ht="18" x14ac:dyDescent="0.25"/>
    <row r="576" s="458" customFormat="1" ht="18" x14ac:dyDescent="0.25"/>
    <row r="577" s="458" customFormat="1" ht="18" x14ac:dyDescent="0.25"/>
    <row r="578" s="458" customFormat="1" ht="18" x14ac:dyDescent="0.25"/>
    <row r="579" s="458" customFormat="1" ht="18" x14ac:dyDescent="0.25"/>
    <row r="580" s="458" customFormat="1" ht="18" x14ac:dyDescent="0.25"/>
    <row r="581" s="458" customFormat="1" ht="18" x14ac:dyDescent="0.25"/>
    <row r="582" s="458" customFormat="1" ht="18" x14ac:dyDescent="0.25"/>
    <row r="583" s="458" customFormat="1" ht="18" x14ac:dyDescent="0.25"/>
    <row r="584" s="458" customFormat="1" ht="18" x14ac:dyDescent="0.25"/>
    <row r="585" s="458" customFormat="1" ht="18" x14ac:dyDescent="0.25"/>
    <row r="586" s="458" customFormat="1" ht="18" x14ac:dyDescent="0.25"/>
    <row r="587" s="458" customFormat="1" ht="18" x14ac:dyDescent="0.25"/>
    <row r="588" s="458" customFormat="1" ht="18" x14ac:dyDescent="0.25"/>
    <row r="589" s="458" customFormat="1" ht="18" x14ac:dyDescent="0.25"/>
    <row r="590" s="458" customFormat="1" ht="18" x14ac:dyDescent="0.25"/>
    <row r="591" s="458" customFormat="1" ht="18" x14ac:dyDescent="0.25"/>
    <row r="592" s="458" customFormat="1" ht="18" x14ac:dyDescent="0.25"/>
    <row r="593" s="458" customFormat="1" ht="18" x14ac:dyDescent="0.25"/>
    <row r="594" s="458" customFormat="1" ht="18" x14ac:dyDescent="0.25"/>
    <row r="595" s="458" customFormat="1" ht="18" x14ac:dyDescent="0.25"/>
    <row r="596" s="458" customFormat="1" ht="18" x14ac:dyDescent="0.25"/>
    <row r="597" s="458" customFormat="1" ht="18" x14ac:dyDescent="0.25"/>
    <row r="598" s="458" customFormat="1" ht="18" x14ac:dyDescent="0.25"/>
    <row r="599" s="458" customFormat="1" ht="18" x14ac:dyDescent="0.25"/>
    <row r="600" s="458" customFormat="1" ht="18" x14ac:dyDescent="0.25"/>
    <row r="601" s="458" customFormat="1" ht="18" x14ac:dyDescent="0.25"/>
    <row r="602" s="458" customFormat="1" ht="18" x14ac:dyDescent="0.25"/>
    <row r="603" s="458" customFormat="1" ht="18" x14ac:dyDescent="0.25"/>
    <row r="604" s="458" customFormat="1" ht="18" x14ac:dyDescent="0.25"/>
    <row r="605" s="458" customFormat="1" ht="18" x14ac:dyDescent="0.25"/>
    <row r="606" s="458" customFormat="1" ht="18" x14ac:dyDescent="0.25"/>
    <row r="607" s="458" customFormat="1" ht="18" x14ac:dyDescent="0.25"/>
    <row r="608" s="458" customFormat="1" ht="18" x14ac:dyDescent="0.25"/>
    <row r="609" s="458" customFormat="1" ht="18" x14ac:dyDescent="0.25"/>
    <row r="610" s="458" customFormat="1" ht="18" x14ac:dyDescent="0.25"/>
    <row r="611" s="458" customFormat="1" ht="18" x14ac:dyDescent="0.25"/>
    <row r="612" s="458" customFormat="1" ht="18" x14ac:dyDescent="0.25"/>
    <row r="613" s="458" customFormat="1" ht="18" x14ac:dyDescent="0.25"/>
    <row r="614" s="458" customFormat="1" ht="18" x14ac:dyDescent="0.25"/>
    <row r="615" s="458" customFormat="1" ht="18" x14ac:dyDescent="0.25"/>
    <row r="616" s="458" customFormat="1" ht="18" x14ac:dyDescent="0.25"/>
    <row r="617" s="458" customFormat="1" ht="18" x14ac:dyDescent="0.25"/>
    <row r="618" s="458" customFormat="1" ht="18" x14ac:dyDescent="0.25"/>
    <row r="619" s="458" customFormat="1" ht="18" x14ac:dyDescent="0.25"/>
    <row r="620" s="458" customFormat="1" ht="18" x14ac:dyDescent="0.25"/>
    <row r="621" s="458" customFormat="1" ht="18" x14ac:dyDescent="0.25"/>
    <row r="622" s="458" customFormat="1" ht="18" x14ac:dyDescent="0.25"/>
    <row r="623" s="458" customFormat="1" ht="18" x14ac:dyDescent="0.25"/>
    <row r="624" s="458" customFormat="1" ht="18" x14ac:dyDescent="0.25"/>
    <row r="625" s="458" customFormat="1" ht="18" x14ac:dyDescent="0.25"/>
    <row r="626" s="458" customFormat="1" ht="18" x14ac:dyDescent="0.25"/>
    <row r="627" s="458" customFormat="1" ht="18" x14ac:dyDescent="0.25"/>
    <row r="628" s="458" customFormat="1" ht="18" x14ac:dyDescent="0.25"/>
    <row r="629" s="458" customFormat="1" ht="18" x14ac:dyDescent="0.25"/>
    <row r="630" s="458" customFormat="1" ht="18" x14ac:dyDescent="0.25"/>
    <row r="631" s="458" customFormat="1" ht="18" x14ac:dyDescent="0.25"/>
    <row r="632" s="458" customFormat="1" ht="18" x14ac:dyDescent="0.25"/>
    <row r="633" s="458" customFormat="1" ht="18" x14ac:dyDescent="0.25"/>
    <row r="634" s="458" customFormat="1" ht="18" x14ac:dyDescent="0.25"/>
    <row r="635" s="458" customFormat="1" ht="18" x14ac:dyDescent="0.25"/>
    <row r="636" s="458" customFormat="1" ht="18" x14ac:dyDescent="0.25"/>
    <row r="637" s="458" customFormat="1" ht="18" x14ac:dyDescent="0.25"/>
    <row r="638" s="458" customFormat="1" ht="18" x14ac:dyDescent="0.25"/>
    <row r="639" s="458" customFormat="1" ht="18" x14ac:dyDescent="0.25"/>
    <row r="640" s="458" customFormat="1" ht="18" x14ac:dyDescent="0.25"/>
    <row r="641" s="458" customFormat="1" ht="18" x14ac:dyDescent="0.25"/>
    <row r="642" s="458" customFormat="1" ht="18" x14ac:dyDescent="0.25"/>
    <row r="643" s="458" customFormat="1" ht="18" x14ac:dyDescent="0.25"/>
    <row r="644" s="458" customFormat="1" ht="18" x14ac:dyDescent="0.25"/>
    <row r="645" s="458" customFormat="1" ht="18" x14ac:dyDescent="0.25"/>
    <row r="646" s="458" customFormat="1" ht="18" x14ac:dyDescent="0.25"/>
    <row r="647" s="458" customFormat="1" ht="18" x14ac:dyDescent="0.25"/>
    <row r="648" s="458" customFormat="1" ht="18" x14ac:dyDescent="0.25"/>
    <row r="649" s="458" customFormat="1" ht="18" x14ac:dyDescent="0.25"/>
    <row r="650" s="458" customFormat="1" ht="18" x14ac:dyDescent="0.25"/>
    <row r="651" s="458" customFormat="1" ht="18" x14ac:dyDescent="0.25"/>
    <row r="652" s="458" customFormat="1" ht="18" x14ac:dyDescent="0.25"/>
    <row r="653" s="458" customFormat="1" ht="18" x14ac:dyDescent="0.25"/>
    <row r="654" s="458" customFormat="1" ht="18" x14ac:dyDescent="0.25"/>
    <row r="655" s="458" customFormat="1" ht="18" x14ac:dyDescent="0.25"/>
    <row r="656" s="458" customFormat="1" ht="18" x14ac:dyDescent="0.25"/>
    <row r="657" s="458" customFormat="1" ht="18" x14ac:dyDescent="0.25"/>
    <row r="658" s="458" customFormat="1" ht="18" x14ac:dyDescent="0.25"/>
    <row r="659" s="458" customFormat="1" ht="18" x14ac:dyDescent="0.25"/>
    <row r="660" s="458" customFormat="1" ht="18" x14ac:dyDescent="0.25"/>
    <row r="661" s="458" customFormat="1" ht="18" x14ac:dyDescent="0.25"/>
    <row r="662" s="458" customFormat="1" ht="18" x14ac:dyDescent="0.25"/>
    <row r="663" s="458" customFormat="1" ht="18" x14ac:dyDescent="0.25"/>
    <row r="664" s="458" customFormat="1" ht="18" x14ac:dyDescent="0.25"/>
    <row r="665" s="458" customFormat="1" ht="18" x14ac:dyDescent="0.25"/>
    <row r="666" s="458" customFormat="1" ht="18" x14ac:dyDescent="0.25"/>
    <row r="667" s="458" customFormat="1" ht="18" x14ac:dyDescent="0.25"/>
    <row r="668" s="458" customFormat="1" ht="18" x14ac:dyDescent="0.25"/>
    <row r="669" s="458" customFormat="1" ht="18" x14ac:dyDescent="0.25"/>
    <row r="670" s="458" customFormat="1" ht="18" x14ac:dyDescent="0.25"/>
    <row r="671" s="458" customFormat="1" ht="18" x14ac:dyDescent="0.25"/>
    <row r="672" s="458" customFormat="1" ht="18" x14ac:dyDescent="0.25"/>
    <row r="673" s="458" customFormat="1" ht="18" x14ac:dyDescent="0.25"/>
    <row r="674" s="458" customFormat="1" ht="18" x14ac:dyDescent="0.25"/>
    <row r="675" s="458" customFormat="1" ht="18" x14ac:dyDescent="0.25"/>
    <row r="676" s="458" customFormat="1" ht="18" x14ac:dyDescent="0.25"/>
    <row r="677" s="458" customFormat="1" ht="18" x14ac:dyDescent="0.25"/>
    <row r="678" s="458" customFormat="1" ht="18" x14ac:dyDescent="0.25"/>
    <row r="679" s="458" customFormat="1" ht="18" x14ac:dyDescent="0.25"/>
    <row r="680" s="458" customFormat="1" ht="18" x14ac:dyDescent="0.25"/>
    <row r="681" s="458" customFormat="1" ht="18" x14ac:dyDescent="0.25"/>
    <row r="682" s="458" customFormat="1" ht="18" x14ac:dyDescent="0.25"/>
    <row r="683" s="458" customFormat="1" ht="18" x14ac:dyDescent="0.25"/>
    <row r="684" s="458" customFormat="1" ht="18" x14ac:dyDescent="0.25"/>
    <row r="685" s="458" customFormat="1" ht="18" x14ac:dyDescent="0.25"/>
    <row r="686" s="458" customFormat="1" ht="18" x14ac:dyDescent="0.25"/>
    <row r="687" s="458" customFormat="1" ht="18" x14ac:dyDescent="0.25"/>
    <row r="688" s="458" customFormat="1" ht="18" x14ac:dyDescent="0.25"/>
    <row r="689" s="458" customFormat="1" ht="18" x14ac:dyDescent="0.25"/>
    <row r="690" s="458" customFormat="1" ht="18" x14ac:dyDescent="0.25"/>
    <row r="691" s="458" customFormat="1" ht="18" x14ac:dyDescent="0.25"/>
    <row r="692" s="458" customFormat="1" ht="18" x14ac:dyDescent="0.25"/>
    <row r="693" s="458" customFormat="1" ht="18" x14ac:dyDescent="0.25"/>
    <row r="694" s="458" customFormat="1" ht="18" x14ac:dyDescent="0.25"/>
    <row r="695" s="458" customFormat="1" ht="18" x14ac:dyDescent="0.25"/>
    <row r="696" s="458" customFormat="1" ht="18" x14ac:dyDescent="0.25"/>
    <row r="697" s="458" customFormat="1" ht="18" x14ac:dyDescent="0.25"/>
    <row r="698" s="458" customFormat="1" ht="18" x14ac:dyDescent="0.25"/>
    <row r="699" s="458" customFormat="1" ht="18" x14ac:dyDescent="0.25"/>
    <row r="700" s="458" customFormat="1" ht="18" x14ac:dyDescent="0.25"/>
    <row r="701" s="458" customFormat="1" ht="18" x14ac:dyDescent="0.25"/>
    <row r="702" s="458" customFormat="1" ht="18" x14ac:dyDescent="0.25"/>
    <row r="703" s="458" customFormat="1" ht="18" x14ac:dyDescent="0.25"/>
    <row r="704" s="458" customFormat="1" ht="18" x14ac:dyDescent="0.25"/>
    <row r="705" s="458" customFormat="1" ht="18" x14ac:dyDescent="0.25"/>
    <row r="706" s="458" customFormat="1" ht="18" x14ac:dyDescent="0.25"/>
    <row r="707" s="458" customFormat="1" ht="18" x14ac:dyDescent="0.25"/>
    <row r="708" s="458" customFormat="1" ht="18" x14ac:dyDescent="0.25"/>
    <row r="709" s="458" customFormat="1" ht="18" x14ac:dyDescent="0.25"/>
    <row r="710" s="458" customFormat="1" ht="18" x14ac:dyDescent="0.25"/>
    <row r="711" s="458" customFormat="1" ht="18" x14ac:dyDescent="0.25"/>
    <row r="712" s="458" customFormat="1" ht="18" x14ac:dyDescent="0.25"/>
    <row r="713" s="458" customFormat="1" ht="18" x14ac:dyDescent="0.25"/>
    <row r="714" s="458" customFormat="1" ht="18" x14ac:dyDescent="0.25"/>
    <row r="715" s="458" customFormat="1" ht="18" x14ac:dyDescent="0.25"/>
    <row r="716" s="458" customFormat="1" ht="18" x14ac:dyDescent="0.25"/>
    <row r="717" s="458" customFormat="1" ht="18" x14ac:dyDescent="0.25"/>
    <row r="718" s="458" customFormat="1" ht="18" x14ac:dyDescent="0.25"/>
    <row r="719" s="458" customFormat="1" ht="18" x14ac:dyDescent="0.25"/>
    <row r="720" s="458" customFormat="1" ht="18" x14ac:dyDescent="0.25"/>
    <row r="721" s="458" customFormat="1" ht="18" x14ac:dyDescent="0.25"/>
    <row r="722" s="458" customFormat="1" ht="18" x14ac:dyDescent="0.25"/>
    <row r="723" s="458" customFormat="1" ht="18" x14ac:dyDescent="0.25"/>
    <row r="724" s="458" customFormat="1" ht="18" x14ac:dyDescent="0.25"/>
    <row r="725" s="458" customFormat="1" ht="18" x14ac:dyDescent="0.25"/>
    <row r="726" s="458" customFormat="1" ht="18" x14ac:dyDescent="0.25"/>
    <row r="727" s="458" customFormat="1" ht="18" x14ac:dyDescent="0.25"/>
    <row r="728" s="458" customFormat="1" ht="18" x14ac:dyDescent="0.25"/>
    <row r="729" s="458" customFormat="1" ht="18" x14ac:dyDescent="0.25"/>
    <row r="730" s="458" customFormat="1" ht="18" x14ac:dyDescent="0.25"/>
    <row r="731" s="458" customFormat="1" ht="18" x14ac:dyDescent="0.25"/>
    <row r="732" s="458" customFormat="1" ht="18" x14ac:dyDescent="0.25"/>
    <row r="733" s="458" customFormat="1" ht="18" x14ac:dyDescent="0.25"/>
    <row r="734" s="458" customFormat="1" ht="18" x14ac:dyDescent="0.25"/>
    <row r="735" s="458" customFormat="1" ht="18" x14ac:dyDescent="0.25"/>
    <row r="736" s="458" customFormat="1" ht="18" x14ac:dyDescent="0.25"/>
    <row r="737" s="458" customFormat="1" ht="18" x14ac:dyDescent="0.25"/>
    <row r="738" s="458" customFormat="1" ht="18" x14ac:dyDescent="0.25"/>
    <row r="739" s="458" customFormat="1" ht="18" x14ac:dyDescent="0.25"/>
    <row r="740" s="458" customFormat="1" ht="18" x14ac:dyDescent="0.25"/>
    <row r="741" s="458" customFormat="1" ht="18" x14ac:dyDescent="0.25"/>
    <row r="742" s="458" customFormat="1" ht="18" x14ac:dyDescent="0.25"/>
    <row r="743" s="458" customFormat="1" ht="18" x14ac:dyDescent="0.25"/>
    <row r="744" s="458" customFormat="1" ht="18" x14ac:dyDescent="0.25"/>
    <row r="745" s="458" customFormat="1" ht="18" x14ac:dyDescent="0.25"/>
    <row r="746" s="458" customFormat="1" ht="18" x14ac:dyDescent="0.25"/>
    <row r="747" s="458" customFormat="1" ht="18" x14ac:dyDescent="0.25"/>
    <row r="748" s="458" customFormat="1" ht="18" x14ac:dyDescent="0.25"/>
    <row r="749" s="458" customFormat="1" ht="18" x14ac:dyDescent="0.25"/>
    <row r="750" s="458" customFormat="1" ht="18" x14ac:dyDescent="0.25"/>
    <row r="751" s="458" customFormat="1" ht="18" x14ac:dyDescent="0.25"/>
    <row r="752" s="458" customFormat="1" ht="18" x14ac:dyDescent="0.25"/>
    <row r="753" s="458" customFormat="1" ht="18" x14ac:dyDescent="0.25"/>
    <row r="754" s="458" customFormat="1" ht="18" x14ac:dyDescent="0.25"/>
    <row r="755" s="458" customFormat="1" ht="18" x14ac:dyDescent="0.25"/>
    <row r="756" s="458" customFormat="1" ht="18" x14ac:dyDescent="0.25"/>
    <row r="757" s="458" customFormat="1" ht="18" x14ac:dyDescent="0.25"/>
    <row r="758" s="458" customFormat="1" ht="18" x14ac:dyDescent="0.25"/>
    <row r="759" s="458" customFormat="1" ht="18" x14ac:dyDescent="0.25"/>
    <row r="760" s="458" customFormat="1" ht="18" x14ac:dyDescent="0.25"/>
    <row r="761" s="458" customFormat="1" ht="18" x14ac:dyDescent="0.25"/>
    <row r="762" s="458" customFormat="1" ht="18" x14ac:dyDescent="0.25"/>
    <row r="763" s="458" customFormat="1" ht="18" x14ac:dyDescent="0.25"/>
    <row r="764" s="458" customFormat="1" ht="18" x14ac:dyDescent="0.25"/>
    <row r="765" s="458" customFormat="1" ht="18" x14ac:dyDescent="0.25"/>
    <row r="766" s="458" customFormat="1" ht="18" x14ac:dyDescent="0.25"/>
    <row r="767" s="458" customFormat="1" ht="18" x14ac:dyDescent="0.25"/>
    <row r="768" s="458" customFormat="1" ht="18" x14ac:dyDescent="0.25"/>
    <row r="769" s="458" customFormat="1" ht="18" x14ac:dyDescent="0.25"/>
    <row r="770" s="458" customFormat="1" ht="18" x14ac:dyDescent="0.25"/>
    <row r="771" s="458" customFormat="1" ht="18" x14ac:dyDescent="0.25"/>
    <row r="772" s="458" customFormat="1" ht="18" x14ac:dyDescent="0.25"/>
    <row r="773" s="458" customFormat="1" ht="18" x14ac:dyDescent="0.25"/>
    <row r="774" s="458" customFormat="1" ht="18" x14ac:dyDescent="0.25"/>
    <row r="775" s="458" customFormat="1" ht="18" x14ac:dyDescent="0.25"/>
    <row r="776" s="458" customFormat="1" ht="18" x14ac:dyDescent="0.25"/>
    <row r="777" s="458" customFormat="1" ht="18" x14ac:dyDescent="0.25"/>
    <row r="778" s="458" customFormat="1" ht="18" x14ac:dyDescent="0.25"/>
    <row r="779" s="458" customFormat="1" ht="18" x14ac:dyDescent="0.25"/>
    <row r="780" s="458" customFormat="1" ht="18" x14ac:dyDescent="0.25"/>
    <row r="781" s="458" customFormat="1" ht="18" x14ac:dyDescent="0.25"/>
    <row r="782" s="458" customFormat="1" ht="18" x14ac:dyDescent="0.25"/>
    <row r="783" s="458" customFormat="1" ht="18" x14ac:dyDescent="0.25"/>
    <row r="784" s="458" customFormat="1" ht="18" x14ac:dyDescent="0.25"/>
    <row r="785" s="458" customFormat="1" ht="18" x14ac:dyDescent="0.25"/>
    <row r="786" s="458" customFormat="1" ht="18" x14ac:dyDescent="0.25"/>
    <row r="787" s="458" customFormat="1" ht="18" x14ac:dyDescent="0.25"/>
    <row r="788" s="458" customFormat="1" ht="18" x14ac:dyDescent="0.25"/>
    <row r="789" s="458" customFormat="1" ht="18" x14ac:dyDescent="0.25"/>
    <row r="790" s="458" customFormat="1" ht="18" x14ac:dyDescent="0.25"/>
    <row r="791" s="458" customFormat="1" ht="18" x14ac:dyDescent="0.25"/>
    <row r="792" s="458" customFormat="1" ht="18" x14ac:dyDescent="0.25"/>
    <row r="793" s="458" customFormat="1" ht="18" x14ac:dyDescent="0.25"/>
    <row r="794" s="458" customFormat="1" ht="18" x14ac:dyDescent="0.25"/>
    <row r="795" s="458" customFormat="1" ht="18" x14ac:dyDescent="0.25"/>
    <row r="796" s="458" customFormat="1" ht="18" x14ac:dyDescent="0.25"/>
    <row r="797" s="458" customFormat="1" ht="18" x14ac:dyDescent="0.25"/>
    <row r="798" s="458" customFormat="1" ht="18" x14ac:dyDescent="0.25"/>
    <row r="799" s="458" customFormat="1" ht="18" x14ac:dyDescent="0.25"/>
    <row r="800" s="458" customFormat="1" ht="18" x14ac:dyDescent="0.25"/>
    <row r="801" s="458" customFormat="1" ht="18" x14ac:dyDescent="0.25"/>
    <row r="802" s="458" customFormat="1" ht="18" x14ac:dyDescent="0.25"/>
    <row r="803" s="458" customFormat="1" ht="18" x14ac:dyDescent="0.25"/>
    <row r="804" s="458" customFormat="1" ht="18" x14ac:dyDescent="0.25"/>
    <row r="805" s="458" customFormat="1" ht="18" x14ac:dyDescent="0.25"/>
    <row r="806" s="458" customFormat="1" ht="18" x14ac:dyDescent="0.25"/>
    <row r="807" s="458" customFormat="1" ht="18" x14ac:dyDescent="0.25"/>
    <row r="808" s="458" customFormat="1" ht="18" x14ac:dyDescent="0.25"/>
    <row r="809" s="458" customFormat="1" ht="18" x14ac:dyDescent="0.25"/>
    <row r="810" s="458" customFormat="1" ht="18" x14ac:dyDescent="0.25"/>
    <row r="811" s="458" customFormat="1" ht="18" x14ac:dyDescent="0.25"/>
    <row r="812" s="458" customFormat="1" ht="18" x14ac:dyDescent="0.25"/>
    <row r="813" s="458" customFormat="1" ht="18" x14ac:dyDescent="0.25"/>
    <row r="814" s="458" customFormat="1" ht="18" x14ac:dyDescent="0.25"/>
    <row r="815" s="458" customFormat="1" ht="18" x14ac:dyDescent="0.25"/>
    <row r="816" s="458" customFormat="1" ht="18" x14ac:dyDescent="0.25"/>
    <row r="817" s="458" customFormat="1" ht="18" x14ac:dyDescent="0.25"/>
    <row r="818" s="458" customFormat="1" ht="18" x14ac:dyDescent="0.25"/>
    <row r="819" s="458" customFormat="1" ht="18" x14ac:dyDescent="0.25"/>
    <row r="820" s="458" customFormat="1" ht="18" x14ac:dyDescent="0.25"/>
    <row r="821" s="458" customFormat="1" ht="18" x14ac:dyDescent="0.25"/>
    <row r="822" s="458" customFormat="1" ht="18" x14ac:dyDescent="0.25"/>
    <row r="823" s="458" customFormat="1" ht="18" x14ac:dyDescent="0.25"/>
    <row r="824" s="458" customFormat="1" ht="18" x14ac:dyDescent="0.25"/>
    <row r="825" s="458" customFormat="1" ht="18" x14ac:dyDescent="0.25"/>
    <row r="826" s="458" customFormat="1" ht="18" x14ac:dyDescent="0.25"/>
    <row r="827" s="458" customFormat="1" ht="18" x14ac:dyDescent="0.25"/>
    <row r="828" s="458" customFormat="1" ht="18" x14ac:dyDescent="0.25"/>
    <row r="829" s="458" customFormat="1" ht="18" x14ac:dyDescent="0.25"/>
    <row r="830" s="458" customFormat="1" ht="18" x14ac:dyDescent="0.25"/>
    <row r="831" s="458" customFormat="1" ht="18" x14ac:dyDescent="0.25"/>
    <row r="832" s="458" customFormat="1" ht="18" x14ac:dyDescent="0.25"/>
    <row r="833" s="458" customFormat="1" ht="18" x14ac:dyDescent="0.25"/>
    <row r="834" s="458" customFormat="1" ht="18" x14ac:dyDescent="0.25"/>
    <row r="835" s="458" customFormat="1" ht="18" x14ac:dyDescent="0.25"/>
    <row r="836" s="458" customFormat="1" ht="18" x14ac:dyDescent="0.25"/>
    <row r="837" s="458" customFormat="1" ht="18" x14ac:dyDescent="0.25"/>
    <row r="838" s="458" customFormat="1" ht="18" x14ac:dyDescent="0.25"/>
    <row r="839" s="458" customFormat="1" ht="18" x14ac:dyDescent="0.25"/>
    <row r="840" s="458" customFormat="1" ht="18" x14ac:dyDescent="0.25"/>
    <row r="841" s="458" customFormat="1" ht="18" x14ac:dyDescent="0.25"/>
    <row r="842" s="458" customFormat="1" ht="18" x14ac:dyDescent="0.25"/>
    <row r="843" s="458" customFormat="1" ht="18" x14ac:dyDescent="0.25"/>
    <row r="844" s="458" customFormat="1" ht="18" x14ac:dyDescent="0.25"/>
    <row r="845" s="458" customFormat="1" ht="18" x14ac:dyDescent="0.25"/>
    <row r="846" s="458" customFormat="1" ht="18" x14ac:dyDescent="0.25"/>
    <row r="847" s="458" customFormat="1" ht="18" x14ac:dyDescent="0.25"/>
    <row r="848" s="458" customFormat="1" ht="18" x14ac:dyDescent="0.25"/>
    <row r="849" s="458" customFormat="1" ht="18" x14ac:dyDescent="0.25"/>
    <row r="850" s="458" customFormat="1" ht="18" x14ac:dyDescent="0.25"/>
    <row r="851" s="458" customFormat="1" ht="18" x14ac:dyDescent="0.25"/>
    <row r="852" s="458" customFormat="1" ht="18" x14ac:dyDescent="0.25"/>
    <row r="853" s="458" customFormat="1" ht="18" x14ac:dyDescent="0.25"/>
    <row r="854" s="458" customFormat="1" ht="18" x14ac:dyDescent="0.25"/>
    <row r="855" s="458" customFormat="1" ht="18" x14ac:dyDescent="0.25"/>
    <row r="856" s="458" customFormat="1" ht="18" x14ac:dyDescent="0.25"/>
    <row r="857" s="458" customFormat="1" ht="18" x14ac:dyDescent="0.25"/>
    <row r="858" s="458" customFormat="1" ht="18" x14ac:dyDescent="0.25"/>
    <row r="859" s="458" customFormat="1" ht="18" x14ac:dyDescent="0.25"/>
    <row r="860" s="458" customFormat="1" ht="18" x14ac:dyDescent="0.25"/>
    <row r="861" s="458" customFormat="1" ht="18" x14ac:dyDescent="0.25"/>
    <row r="862" s="458" customFormat="1" ht="18" x14ac:dyDescent="0.25"/>
    <row r="863" s="458" customFormat="1" ht="18" x14ac:dyDescent="0.25"/>
    <row r="864" s="458" customFormat="1" ht="18" x14ac:dyDescent="0.25"/>
    <row r="865" s="458" customFormat="1" ht="18" x14ac:dyDescent="0.25"/>
    <row r="866" s="458" customFormat="1" ht="18" x14ac:dyDescent="0.25"/>
    <row r="867" s="458" customFormat="1" ht="18" x14ac:dyDescent="0.25"/>
    <row r="868" s="458" customFormat="1" ht="18" x14ac:dyDescent="0.25"/>
    <row r="869" s="458" customFormat="1" ht="18" x14ac:dyDescent="0.25"/>
    <row r="870" s="458" customFormat="1" ht="18" x14ac:dyDescent="0.25"/>
    <row r="871" s="458" customFormat="1" ht="18" x14ac:dyDescent="0.25"/>
    <row r="872" s="458" customFormat="1" ht="18" x14ac:dyDescent="0.25"/>
    <row r="873" s="458" customFormat="1" ht="18" x14ac:dyDescent="0.25"/>
    <row r="874" s="458" customFormat="1" ht="18" x14ac:dyDescent="0.25"/>
    <row r="875" s="458" customFormat="1" ht="18" x14ac:dyDescent="0.25"/>
    <row r="876" s="458" customFormat="1" ht="18" x14ac:dyDescent="0.25"/>
    <row r="877" s="458" customFormat="1" ht="18" x14ac:dyDescent="0.25"/>
    <row r="878" s="458" customFormat="1" ht="18" x14ac:dyDescent="0.25"/>
    <row r="879" s="458" customFormat="1" ht="18" x14ac:dyDescent="0.25"/>
    <row r="880" s="458" customFormat="1" ht="18" x14ac:dyDescent="0.25"/>
    <row r="881" s="458" customFormat="1" ht="18" x14ac:dyDescent="0.25"/>
    <row r="882" s="458" customFormat="1" ht="18" x14ac:dyDescent="0.25"/>
    <row r="883" s="458" customFormat="1" ht="18" x14ac:dyDescent="0.25"/>
    <row r="884" s="458" customFormat="1" ht="18" x14ac:dyDescent="0.25"/>
    <row r="885" s="458" customFormat="1" ht="18" x14ac:dyDescent="0.25"/>
    <row r="886" s="458" customFormat="1" ht="18" x14ac:dyDescent="0.25"/>
    <row r="887" s="458" customFormat="1" ht="18" x14ac:dyDescent="0.25"/>
    <row r="888" s="458" customFormat="1" ht="18" x14ac:dyDescent="0.25"/>
    <row r="889" s="458" customFormat="1" ht="18" x14ac:dyDescent="0.25"/>
    <row r="890" s="458" customFormat="1" ht="18" x14ac:dyDescent="0.25"/>
    <row r="891" s="458" customFormat="1" ht="18" x14ac:dyDescent="0.25"/>
    <row r="892" s="458" customFormat="1" ht="18" x14ac:dyDescent="0.25"/>
    <row r="893" s="458" customFormat="1" ht="18" x14ac:dyDescent="0.25"/>
    <row r="894" s="458" customFormat="1" ht="18" x14ac:dyDescent="0.25"/>
    <row r="895" s="458" customFormat="1" ht="18" x14ac:dyDescent="0.25"/>
    <row r="896" s="458" customFormat="1" ht="18" x14ac:dyDescent="0.25"/>
    <row r="897" s="458" customFormat="1" ht="18" x14ac:dyDescent="0.25"/>
    <row r="898" s="458" customFormat="1" ht="18" x14ac:dyDescent="0.25"/>
    <row r="899" s="458" customFormat="1" ht="18" x14ac:dyDescent="0.25"/>
    <row r="900" s="458" customFormat="1" ht="18" x14ac:dyDescent="0.25"/>
    <row r="901" s="458" customFormat="1" ht="18" x14ac:dyDescent="0.25"/>
    <row r="902" s="458" customFormat="1" ht="18" x14ac:dyDescent="0.25"/>
    <row r="903" s="458" customFormat="1" ht="18" x14ac:dyDescent="0.25"/>
    <row r="904" s="458" customFormat="1" ht="18" x14ac:dyDescent="0.25"/>
    <row r="905" s="458" customFormat="1" ht="18" x14ac:dyDescent="0.25"/>
    <row r="906" s="458" customFormat="1" ht="18" x14ac:dyDescent="0.25"/>
    <row r="907" s="458" customFormat="1" ht="18" x14ac:dyDescent="0.25"/>
    <row r="908" s="458" customFormat="1" ht="18" x14ac:dyDescent="0.25"/>
    <row r="909" s="458" customFormat="1" ht="18" x14ac:dyDescent="0.25"/>
    <row r="910" s="458" customFormat="1" ht="18" x14ac:dyDescent="0.25"/>
    <row r="911" s="458" customFormat="1" ht="18" x14ac:dyDescent="0.25"/>
    <row r="912" s="458" customFormat="1" ht="18" x14ac:dyDescent="0.25"/>
    <row r="913" s="458" customFormat="1" ht="18" x14ac:dyDescent="0.25"/>
    <row r="914" s="458" customFormat="1" ht="18" x14ac:dyDescent="0.25"/>
    <row r="915" s="458" customFormat="1" ht="18" x14ac:dyDescent="0.25"/>
    <row r="916" s="458" customFormat="1" ht="18" x14ac:dyDescent="0.25"/>
    <row r="917" s="458" customFormat="1" ht="18" x14ac:dyDescent="0.25"/>
    <row r="918" s="458" customFormat="1" ht="18" x14ac:dyDescent="0.25"/>
    <row r="919" s="458" customFormat="1" ht="18" x14ac:dyDescent="0.25"/>
    <row r="920" s="458" customFormat="1" ht="18" x14ac:dyDescent="0.25"/>
    <row r="921" s="458" customFormat="1" ht="18" x14ac:dyDescent="0.25"/>
    <row r="922" s="458" customFormat="1" ht="18" x14ac:dyDescent="0.25"/>
    <row r="923" s="458" customFormat="1" ht="18" x14ac:dyDescent="0.25"/>
    <row r="924" s="458" customFormat="1" ht="18" x14ac:dyDescent="0.25"/>
    <row r="925" s="458" customFormat="1" ht="18" x14ac:dyDescent="0.25"/>
    <row r="926" s="458" customFormat="1" ht="18" x14ac:dyDescent="0.25"/>
    <row r="927" s="458" customFormat="1" ht="18" x14ac:dyDescent="0.25"/>
    <row r="928" s="458" customFormat="1" ht="18" x14ac:dyDescent="0.25"/>
    <row r="929" s="458" customFormat="1" ht="18" x14ac:dyDescent="0.25"/>
    <row r="930" s="458" customFormat="1" ht="18" x14ac:dyDescent="0.25"/>
    <row r="931" s="458" customFormat="1" ht="18" x14ac:dyDescent="0.25"/>
    <row r="932" s="458" customFormat="1" ht="18" x14ac:dyDescent="0.25"/>
    <row r="933" s="458" customFormat="1" ht="18" x14ac:dyDescent="0.25"/>
    <row r="934" s="458" customFormat="1" ht="18" x14ac:dyDescent="0.25"/>
    <row r="935" s="458" customFormat="1" ht="18" x14ac:dyDescent="0.25"/>
    <row r="936" s="458" customFormat="1" ht="18" x14ac:dyDescent="0.25"/>
    <row r="937" s="458" customFormat="1" ht="18" x14ac:dyDescent="0.25"/>
    <row r="938" s="458" customFormat="1" ht="18" x14ac:dyDescent="0.25"/>
    <row r="939" s="458" customFormat="1" ht="18" x14ac:dyDescent="0.25"/>
    <row r="940" s="458" customFormat="1" ht="18" x14ac:dyDescent="0.25"/>
    <row r="941" s="458" customFormat="1" ht="18" x14ac:dyDescent="0.25"/>
    <row r="942" s="458" customFormat="1" ht="18" x14ac:dyDescent="0.25"/>
    <row r="943" s="458" customFormat="1" ht="18" x14ac:dyDescent="0.25"/>
    <row r="944" s="458" customFormat="1" ht="18" x14ac:dyDescent="0.25"/>
    <row r="945" s="458" customFormat="1" ht="18" x14ac:dyDescent="0.25"/>
    <row r="946" s="458" customFormat="1" ht="18" x14ac:dyDescent="0.25"/>
    <row r="947" s="458" customFormat="1" ht="18" x14ac:dyDescent="0.25"/>
    <row r="948" s="458" customFormat="1" ht="18" x14ac:dyDescent="0.25"/>
    <row r="949" s="458" customFormat="1" ht="18" x14ac:dyDescent="0.25"/>
    <row r="950" s="458" customFormat="1" ht="18" x14ac:dyDescent="0.25"/>
    <row r="951" s="458" customFormat="1" ht="18" x14ac:dyDescent="0.25"/>
    <row r="952" s="458" customFormat="1" ht="18" x14ac:dyDescent="0.25"/>
    <row r="953" s="458" customFormat="1" ht="18" x14ac:dyDescent="0.25"/>
    <row r="954" s="458" customFormat="1" ht="18" x14ac:dyDescent="0.25"/>
    <row r="955" s="458" customFormat="1" ht="18" x14ac:dyDescent="0.25"/>
    <row r="956" s="458" customFormat="1" ht="18" x14ac:dyDescent="0.25"/>
    <row r="957" s="458" customFormat="1" ht="18" x14ac:dyDescent="0.25"/>
    <row r="958" s="458" customFormat="1" ht="18" x14ac:dyDescent="0.25"/>
    <row r="959" s="458" customFormat="1" ht="18" x14ac:dyDescent="0.25"/>
    <row r="960" s="458" customFormat="1" ht="18" x14ac:dyDescent="0.25"/>
    <row r="961" s="458" customFormat="1" ht="18" x14ac:dyDescent="0.25"/>
    <row r="962" s="458" customFormat="1" ht="18" x14ac:dyDescent="0.25"/>
    <row r="963" s="458" customFormat="1" ht="18" x14ac:dyDescent="0.25"/>
    <row r="964" s="458" customFormat="1" ht="18" x14ac:dyDescent="0.25"/>
    <row r="965" s="458" customFormat="1" ht="18" x14ac:dyDescent="0.25"/>
    <row r="966" s="458" customFormat="1" ht="18" x14ac:dyDescent="0.25"/>
    <row r="967" s="458" customFormat="1" ht="18" x14ac:dyDescent="0.25"/>
    <row r="968" s="458" customFormat="1" ht="18" x14ac:dyDescent="0.25"/>
    <row r="969" s="458" customFormat="1" ht="18" x14ac:dyDescent="0.25"/>
    <row r="970" s="458" customFormat="1" ht="18" x14ac:dyDescent="0.25"/>
    <row r="971" s="458" customFormat="1" ht="18" x14ac:dyDescent="0.25"/>
    <row r="972" s="458" customFormat="1" ht="18" x14ac:dyDescent="0.25"/>
    <row r="973" s="458" customFormat="1" ht="18" x14ac:dyDescent="0.25"/>
    <row r="974" s="458" customFormat="1" ht="18" x14ac:dyDescent="0.25"/>
    <row r="975" s="458" customFormat="1" ht="18" x14ac:dyDescent="0.25"/>
    <row r="976" s="458" customFormat="1" ht="18" x14ac:dyDescent="0.25"/>
    <row r="977" s="458" customFormat="1" ht="18" x14ac:dyDescent="0.25"/>
    <row r="978" s="458" customFormat="1" ht="18" x14ac:dyDescent="0.25"/>
    <row r="979" s="458" customFormat="1" ht="18" x14ac:dyDescent="0.25"/>
    <row r="980" s="458" customFormat="1" ht="18" x14ac:dyDescent="0.25"/>
    <row r="981" s="458" customFormat="1" ht="18" x14ac:dyDescent="0.25"/>
    <row r="982" s="458" customFormat="1" ht="18" x14ac:dyDescent="0.25"/>
    <row r="983" s="458" customFormat="1" ht="18" x14ac:dyDescent="0.25"/>
    <row r="984" s="458" customFormat="1" ht="18" x14ac:dyDescent="0.25"/>
    <row r="985" s="458" customFormat="1" ht="18" x14ac:dyDescent="0.25"/>
    <row r="986" s="458" customFormat="1" ht="18" x14ac:dyDescent="0.25"/>
    <row r="987" s="458" customFormat="1" ht="18" x14ac:dyDescent="0.25"/>
    <row r="988" s="458" customFormat="1" ht="18" x14ac:dyDescent="0.25"/>
    <row r="989" s="458" customFormat="1" ht="18" x14ac:dyDescent="0.25"/>
    <row r="990" s="458" customFormat="1" ht="18" x14ac:dyDescent="0.25"/>
    <row r="991" s="458" customFormat="1" ht="18" x14ac:dyDescent="0.25"/>
    <row r="992" s="458" customFormat="1" ht="18" x14ac:dyDescent="0.25"/>
    <row r="993" s="458" customFormat="1" ht="18" x14ac:dyDescent="0.25"/>
    <row r="994" s="458" customFormat="1" ht="18" x14ac:dyDescent="0.25"/>
    <row r="995" s="458" customFormat="1" ht="18" x14ac:dyDescent="0.25"/>
    <row r="996" s="458" customFormat="1" ht="18" x14ac:dyDescent="0.25"/>
    <row r="997" s="458" customFormat="1" ht="18" x14ac:dyDescent="0.25"/>
    <row r="998" s="458" customFormat="1" ht="18" x14ac:dyDescent="0.25"/>
    <row r="999" s="458" customFormat="1" ht="18" x14ac:dyDescent="0.25"/>
    <row r="1000" s="458" customFormat="1" ht="18" x14ac:dyDescent="0.25"/>
    <row r="1001" s="458" customFormat="1" ht="18" x14ac:dyDescent="0.25"/>
    <row r="1002" s="458" customFormat="1" ht="18" x14ac:dyDescent="0.25"/>
    <row r="1003" s="458" customFormat="1" ht="18" x14ac:dyDescent="0.25"/>
    <row r="1004" s="458" customFormat="1" ht="18" x14ac:dyDescent="0.25"/>
    <row r="1005" s="458" customFormat="1" ht="18" x14ac:dyDescent="0.25"/>
    <row r="1006" s="458" customFormat="1" ht="18" x14ac:dyDescent="0.25"/>
    <row r="1007" s="458" customFormat="1" ht="18" x14ac:dyDescent="0.25"/>
    <row r="1008" s="458" customFormat="1" ht="18" x14ac:dyDescent="0.25"/>
    <row r="1009" s="458" customFormat="1" ht="18" x14ac:dyDescent="0.25"/>
    <row r="1010" s="458" customFormat="1" ht="18" x14ac:dyDescent="0.25"/>
    <row r="1011" s="458" customFormat="1" ht="18" x14ac:dyDescent="0.25"/>
    <row r="1012" s="458" customFormat="1" ht="18" x14ac:dyDescent="0.25"/>
    <row r="1013" s="458" customFormat="1" ht="18" x14ac:dyDescent="0.25"/>
    <row r="1014" s="458" customFormat="1" ht="18" x14ac:dyDescent="0.25"/>
    <row r="1015" s="458" customFormat="1" ht="18" x14ac:dyDescent="0.25"/>
    <row r="1016" s="458" customFormat="1" ht="18" x14ac:dyDescent="0.25"/>
    <row r="1017" s="458" customFormat="1" ht="18" x14ac:dyDescent="0.25"/>
    <row r="1018" s="458" customFormat="1" ht="18" x14ac:dyDescent="0.25"/>
    <row r="1019" s="458" customFormat="1" ht="18" x14ac:dyDescent="0.25"/>
    <row r="1020" s="458" customFormat="1" ht="18" x14ac:dyDescent="0.25"/>
    <row r="1021" s="458" customFormat="1" ht="18" x14ac:dyDescent="0.25"/>
    <row r="1022" s="458" customFormat="1" ht="18" x14ac:dyDescent="0.25"/>
    <row r="1023" s="458" customFormat="1" ht="18" x14ac:dyDescent="0.25"/>
    <row r="1024" s="458" customFormat="1" ht="18" x14ac:dyDescent="0.25"/>
    <row r="1025" s="458" customFormat="1" ht="18" x14ac:dyDescent="0.25"/>
    <row r="1026" s="458" customFormat="1" ht="18" x14ac:dyDescent="0.25"/>
    <row r="1027" s="458" customFormat="1" ht="18" x14ac:dyDescent="0.25"/>
    <row r="1028" s="458" customFormat="1" ht="18" x14ac:dyDescent="0.25"/>
    <row r="1029" s="458" customFormat="1" ht="18" x14ac:dyDescent="0.25"/>
    <row r="1030" s="458" customFormat="1" ht="18" x14ac:dyDescent="0.25"/>
    <row r="1031" s="458" customFormat="1" ht="18" x14ac:dyDescent="0.25"/>
    <row r="1032" s="458" customFormat="1" ht="18" x14ac:dyDescent="0.25"/>
    <row r="1033" s="458" customFormat="1" ht="18" x14ac:dyDescent="0.25"/>
    <row r="1034" s="458" customFormat="1" ht="18" x14ac:dyDescent="0.25"/>
    <row r="1035" s="458" customFormat="1" ht="18" x14ac:dyDescent="0.25"/>
    <row r="1036" s="458" customFormat="1" ht="18" x14ac:dyDescent="0.25"/>
    <row r="1037" s="458" customFormat="1" ht="18" x14ac:dyDescent="0.25"/>
    <row r="1038" s="458" customFormat="1" ht="18" x14ac:dyDescent="0.25"/>
    <row r="1039" s="458" customFormat="1" ht="18" x14ac:dyDescent="0.25"/>
    <row r="1040" s="458" customFormat="1" ht="18" x14ac:dyDescent="0.25"/>
    <row r="1041" s="458" customFormat="1" ht="18" x14ac:dyDescent="0.25"/>
    <row r="1042" s="458" customFormat="1" ht="18" x14ac:dyDescent="0.25"/>
    <row r="1043" s="458" customFormat="1" ht="18" x14ac:dyDescent="0.25"/>
    <row r="1044" s="458" customFormat="1" ht="18" x14ac:dyDescent="0.25"/>
    <row r="1045" s="458" customFormat="1" ht="18" x14ac:dyDescent="0.25"/>
    <row r="1046" s="458" customFormat="1" ht="18" x14ac:dyDescent="0.25"/>
    <row r="1047" s="458" customFormat="1" ht="18" x14ac:dyDescent="0.25"/>
    <row r="1048" s="458" customFormat="1" ht="18" x14ac:dyDescent="0.25"/>
    <row r="1049" s="458" customFormat="1" ht="18" x14ac:dyDescent="0.25"/>
    <row r="1050" s="458" customFormat="1" ht="18" x14ac:dyDescent="0.25"/>
    <row r="1051" s="458" customFormat="1" ht="18" x14ac:dyDescent="0.25"/>
    <row r="1052" s="458" customFormat="1" ht="18" x14ac:dyDescent="0.25"/>
    <row r="1053" s="458" customFormat="1" ht="18" x14ac:dyDescent="0.25"/>
    <row r="1054" s="458" customFormat="1" ht="18" x14ac:dyDescent="0.25"/>
    <row r="1055" s="458" customFormat="1" ht="18" x14ac:dyDescent="0.25"/>
    <row r="1056" s="458" customFormat="1" ht="18" x14ac:dyDescent="0.25"/>
    <row r="1057" s="458" customFormat="1" ht="18" x14ac:dyDescent="0.25"/>
    <row r="1058" s="458" customFormat="1" ht="18" x14ac:dyDescent="0.25"/>
    <row r="1059" s="458" customFormat="1" ht="18" x14ac:dyDescent="0.25"/>
    <row r="1060" s="458" customFormat="1" ht="18" x14ac:dyDescent="0.25"/>
    <row r="1061" s="458" customFormat="1" ht="18" x14ac:dyDescent="0.25"/>
    <row r="1062" s="458" customFormat="1" ht="18" x14ac:dyDescent="0.25"/>
    <row r="1063" s="458" customFormat="1" ht="18" x14ac:dyDescent="0.25"/>
    <row r="1064" s="458" customFormat="1" ht="18" x14ac:dyDescent="0.25"/>
    <row r="1065" s="458" customFormat="1" ht="18" x14ac:dyDescent="0.25"/>
    <row r="1066" s="458" customFormat="1" ht="18" x14ac:dyDescent="0.25"/>
    <row r="1067" s="458" customFormat="1" ht="18" x14ac:dyDescent="0.25"/>
    <row r="1068" s="458" customFormat="1" ht="18" x14ac:dyDescent="0.25"/>
    <row r="1069" s="458" customFormat="1" ht="18" x14ac:dyDescent="0.25"/>
    <row r="1070" s="458" customFormat="1" ht="18" x14ac:dyDescent="0.25"/>
    <row r="1071" s="458" customFormat="1" ht="18" x14ac:dyDescent="0.25"/>
    <row r="1072" s="458" customFormat="1" ht="18" x14ac:dyDescent="0.25"/>
    <row r="1073" s="458" customFormat="1" ht="18" x14ac:dyDescent="0.25"/>
    <row r="1074" s="458" customFormat="1" ht="18" x14ac:dyDescent="0.25"/>
    <row r="1075" s="458" customFormat="1" ht="18" x14ac:dyDescent="0.25"/>
    <row r="1076" s="458" customFormat="1" ht="18" x14ac:dyDescent="0.25"/>
    <row r="1077" s="458" customFormat="1" ht="18" x14ac:dyDescent="0.25"/>
    <row r="1078" s="458" customFormat="1" ht="18" x14ac:dyDescent="0.25"/>
    <row r="1079" s="458" customFormat="1" ht="18" x14ac:dyDescent="0.25"/>
    <row r="1080" s="458" customFormat="1" ht="18" x14ac:dyDescent="0.25"/>
    <row r="1081" s="458" customFormat="1" ht="18" x14ac:dyDescent="0.25"/>
    <row r="1082" s="458" customFormat="1" ht="18" x14ac:dyDescent="0.25"/>
    <row r="1083" s="458" customFormat="1" ht="18" x14ac:dyDescent="0.25"/>
    <row r="1084" s="458" customFormat="1" ht="18" x14ac:dyDescent="0.25"/>
    <row r="1085" s="458" customFormat="1" ht="18" x14ac:dyDescent="0.25"/>
    <row r="1086" s="458" customFormat="1" ht="18" x14ac:dyDescent="0.25"/>
    <row r="1087" s="458" customFormat="1" ht="18" x14ac:dyDescent="0.25"/>
    <row r="1088" s="458" customFormat="1" ht="18" x14ac:dyDescent="0.25"/>
    <row r="1089" s="458" customFormat="1" ht="18" x14ac:dyDescent="0.25"/>
    <row r="1090" s="458" customFormat="1" ht="18" x14ac:dyDescent="0.25"/>
    <row r="1091" s="458" customFormat="1" ht="18" x14ac:dyDescent="0.25"/>
    <row r="1092" s="458" customFormat="1" ht="18" x14ac:dyDescent="0.25"/>
    <row r="1093" s="458" customFormat="1" ht="18" x14ac:dyDescent="0.25"/>
    <row r="1094" s="458" customFormat="1" ht="18" x14ac:dyDescent="0.25"/>
    <row r="1095" s="458" customFormat="1" ht="18" x14ac:dyDescent="0.25"/>
    <row r="1096" s="458" customFormat="1" ht="18" x14ac:dyDescent="0.25"/>
    <row r="1097" s="458" customFormat="1" ht="18" x14ac:dyDescent="0.25"/>
    <row r="1098" s="458" customFormat="1" ht="18" x14ac:dyDescent="0.25"/>
    <row r="1099" s="458" customFormat="1" ht="18" x14ac:dyDescent="0.25"/>
    <row r="1100" s="458" customFormat="1" ht="18" x14ac:dyDescent="0.25"/>
    <row r="1101" s="458" customFormat="1" ht="18" x14ac:dyDescent="0.25"/>
    <row r="1102" s="458" customFormat="1" ht="18" x14ac:dyDescent="0.25"/>
    <row r="1103" s="458" customFormat="1" ht="18" x14ac:dyDescent="0.25"/>
    <row r="1104" s="458" customFormat="1" ht="18" x14ac:dyDescent="0.25"/>
    <row r="1105" s="458" customFormat="1" ht="18" x14ac:dyDescent="0.25"/>
    <row r="1106" s="458" customFormat="1" ht="18" x14ac:dyDescent="0.25"/>
    <row r="1107" s="458" customFormat="1" ht="18" x14ac:dyDescent="0.25"/>
    <row r="1108" s="458" customFormat="1" ht="18" x14ac:dyDescent="0.25"/>
    <row r="1109" s="458" customFormat="1" ht="18" x14ac:dyDescent="0.25"/>
    <row r="1110" s="458" customFormat="1" ht="18" x14ac:dyDescent="0.25"/>
    <row r="1111" s="458" customFormat="1" ht="18" x14ac:dyDescent="0.25"/>
    <row r="1112" s="458" customFormat="1" ht="18" x14ac:dyDescent="0.25"/>
    <row r="1113" s="458" customFormat="1" ht="18" x14ac:dyDescent="0.25"/>
    <row r="1114" s="458" customFormat="1" ht="18" x14ac:dyDescent="0.25"/>
    <row r="1115" s="458" customFormat="1" ht="18" x14ac:dyDescent="0.25"/>
    <row r="1116" s="458" customFormat="1" ht="18" x14ac:dyDescent="0.25"/>
    <row r="1117" s="458" customFormat="1" ht="18" x14ac:dyDescent="0.25"/>
    <row r="1118" s="458" customFormat="1" ht="18" x14ac:dyDescent="0.25"/>
    <row r="1119" s="458" customFormat="1" ht="18" x14ac:dyDescent="0.25"/>
    <row r="1120" s="458" customFormat="1" ht="18" x14ac:dyDescent="0.25"/>
    <row r="1121" s="458" customFormat="1" ht="18" x14ac:dyDescent="0.25"/>
    <row r="1122" s="458" customFormat="1" ht="18" x14ac:dyDescent="0.25"/>
    <row r="1123" s="458" customFormat="1" ht="18" x14ac:dyDescent="0.25"/>
    <row r="1124" s="458" customFormat="1" ht="18" x14ac:dyDescent="0.25"/>
    <row r="1125" s="458" customFormat="1" ht="18" x14ac:dyDescent="0.25"/>
    <row r="1126" s="458" customFormat="1" ht="18" x14ac:dyDescent="0.25"/>
    <row r="1127" s="458" customFormat="1" ht="18" x14ac:dyDescent="0.25"/>
    <row r="1128" s="458" customFormat="1" ht="18" x14ac:dyDescent="0.25"/>
    <row r="1129" s="458" customFormat="1" ht="18" x14ac:dyDescent="0.25"/>
    <row r="1130" s="458" customFormat="1" ht="18" x14ac:dyDescent="0.25"/>
    <row r="1131" s="458" customFormat="1" ht="18" x14ac:dyDescent="0.25"/>
    <row r="1132" s="458" customFormat="1" ht="18" x14ac:dyDescent="0.25"/>
    <row r="1133" s="458" customFormat="1" ht="18" x14ac:dyDescent="0.25"/>
    <row r="1134" s="458" customFormat="1" ht="18" x14ac:dyDescent="0.25"/>
    <row r="1135" s="458" customFormat="1" ht="18" x14ac:dyDescent="0.25"/>
    <row r="1136" s="458" customFormat="1" ht="18" x14ac:dyDescent="0.25"/>
    <row r="1137" s="458" customFormat="1" ht="18" x14ac:dyDescent="0.25"/>
    <row r="1138" s="458" customFormat="1" ht="18" x14ac:dyDescent="0.25"/>
    <row r="1139" s="458" customFormat="1" ht="18" x14ac:dyDescent="0.25"/>
    <row r="1140" s="458" customFormat="1" ht="18" x14ac:dyDescent="0.25"/>
    <row r="1141" s="458" customFormat="1" ht="18" x14ac:dyDescent="0.25"/>
    <row r="1142" s="458" customFormat="1" ht="18" x14ac:dyDescent="0.25"/>
    <row r="1143" s="458" customFormat="1" ht="18" x14ac:dyDescent="0.25"/>
    <row r="1144" s="458" customFormat="1" ht="18" x14ac:dyDescent="0.25"/>
    <row r="1145" s="458" customFormat="1" ht="18" x14ac:dyDescent="0.25"/>
    <row r="1146" s="458" customFormat="1" ht="18" x14ac:dyDescent="0.25"/>
    <row r="1147" s="458" customFormat="1" ht="18" x14ac:dyDescent="0.25"/>
    <row r="1148" s="458" customFormat="1" ht="18" x14ac:dyDescent="0.25"/>
    <row r="1149" s="458" customFormat="1" ht="18" x14ac:dyDescent="0.25"/>
    <row r="1150" s="458" customFormat="1" ht="18" x14ac:dyDescent="0.25"/>
    <row r="1151" s="458" customFormat="1" ht="18" x14ac:dyDescent="0.25"/>
    <row r="1152" s="458" customFormat="1" ht="18" x14ac:dyDescent="0.25"/>
    <row r="1153" s="458" customFormat="1" ht="18" x14ac:dyDescent="0.25"/>
    <row r="1154" s="458" customFormat="1" ht="18" x14ac:dyDescent="0.25"/>
    <row r="1155" s="458" customFormat="1" ht="18" x14ac:dyDescent="0.25"/>
    <row r="1156" s="458" customFormat="1" ht="18" x14ac:dyDescent="0.25"/>
    <row r="1157" s="458" customFormat="1" ht="18" x14ac:dyDescent="0.25"/>
    <row r="1158" s="458" customFormat="1" ht="18" x14ac:dyDescent="0.25"/>
    <row r="1159" s="458" customFormat="1" ht="18" x14ac:dyDescent="0.25"/>
    <row r="1160" s="458" customFormat="1" ht="18" x14ac:dyDescent="0.25"/>
    <row r="1161" s="458" customFormat="1" ht="18" x14ac:dyDescent="0.25"/>
    <row r="1162" s="458" customFormat="1" ht="18" x14ac:dyDescent="0.25"/>
    <row r="1163" s="458" customFormat="1" ht="18" x14ac:dyDescent="0.25"/>
    <row r="1164" s="458" customFormat="1" ht="18" x14ac:dyDescent="0.25"/>
    <row r="1165" s="458" customFormat="1" ht="18" x14ac:dyDescent="0.25"/>
    <row r="1166" s="458" customFormat="1" ht="18" x14ac:dyDescent="0.25"/>
    <row r="1167" s="458" customFormat="1" ht="18" x14ac:dyDescent="0.25"/>
    <row r="1168" s="458" customFormat="1" ht="18" x14ac:dyDescent="0.25"/>
    <row r="1169" s="458" customFormat="1" ht="18" x14ac:dyDescent="0.25"/>
    <row r="1170" s="458" customFormat="1" ht="18" x14ac:dyDescent="0.25"/>
    <row r="1171" s="458" customFormat="1" ht="18" x14ac:dyDescent="0.25"/>
    <row r="1172" s="458" customFormat="1" ht="18" x14ac:dyDescent="0.25"/>
    <row r="1173" s="458" customFormat="1" ht="18" x14ac:dyDescent="0.25"/>
    <row r="1174" s="458" customFormat="1" ht="18" x14ac:dyDescent="0.25"/>
    <row r="1175" s="458" customFormat="1" ht="18" x14ac:dyDescent="0.25"/>
    <row r="1176" s="458" customFormat="1" ht="18" x14ac:dyDescent="0.25"/>
    <row r="1177" s="458" customFormat="1" ht="18" x14ac:dyDescent="0.25"/>
    <row r="1178" s="458" customFormat="1" ht="18" x14ac:dyDescent="0.25"/>
    <row r="1179" s="458" customFormat="1" ht="18" x14ac:dyDescent="0.25"/>
    <row r="1180" s="458" customFormat="1" ht="18" x14ac:dyDescent="0.25"/>
    <row r="1181" s="458" customFormat="1" ht="18" x14ac:dyDescent="0.25"/>
    <row r="1182" s="458" customFormat="1" ht="18" x14ac:dyDescent="0.25"/>
    <row r="1183" s="458" customFormat="1" ht="18" x14ac:dyDescent="0.25"/>
    <row r="1184" s="458" customFormat="1" ht="18" x14ac:dyDescent="0.25"/>
    <row r="1185" s="458" customFormat="1" ht="18" x14ac:dyDescent="0.25"/>
    <row r="1186" s="458" customFormat="1" ht="18" x14ac:dyDescent="0.25"/>
    <row r="1187" s="458" customFormat="1" ht="18" x14ac:dyDescent="0.25"/>
    <row r="1188" s="458" customFormat="1" ht="18" x14ac:dyDescent="0.25"/>
    <row r="1189" s="458" customFormat="1" ht="18" x14ac:dyDescent="0.25"/>
    <row r="1190" s="458" customFormat="1" ht="18" x14ac:dyDescent="0.25"/>
    <row r="1191" s="458" customFormat="1" ht="18" x14ac:dyDescent="0.25"/>
    <row r="1192" s="458" customFormat="1" ht="18" x14ac:dyDescent="0.25"/>
    <row r="1193" s="458" customFormat="1" ht="18" x14ac:dyDescent="0.25"/>
    <row r="1194" s="458" customFormat="1" ht="18" x14ac:dyDescent="0.25"/>
    <row r="1195" s="458" customFormat="1" ht="18" x14ac:dyDescent="0.25"/>
    <row r="1196" s="458" customFormat="1" ht="18" x14ac:dyDescent="0.25"/>
    <row r="1197" s="458" customFormat="1" ht="18" x14ac:dyDescent="0.25"/>
    <row r="1198" s="458" customFormat="1" ht="18" x14ac:dyDescent="0.25"/>
    <row r="1199" s="458" customFormat="1" ht="18" x14ac:dyDescent="0.25"/>
    <row r="1200" s="458" customFormat="1" ht="18" x14ac:dyDescent="0.25"/>
    <row r="1201" s="458" customFormat="1" ht="18" x14ac:dyDescent="0.25"/>
    <row r="1202" s="458" customFormat="1" ht="18" x14ac:dyDescent="0.25"/>
    <row r="1203" s="458" customFormat="1" ht="18" x14ac:dyDescent="0.25"/>
    <row r="1204" s="458" customFormat="1" ht="18" x14ac:dyDescent="0.25"/>
    <row r="1205" s="458" customFormat="1" ht="18" x14ac:dyDescent="0.25"/>
    <row r="1206" s="458" customFormat="1" ht="18" x14ac:dyDescent="0.25"/>
    <row r="1207" s="458" customFormat="1" ht="18" x14ac:dyDescent="0.25"/>
    <row r="1208" s="458" customFormat="1" ht="18" x14ac:dyDescent="0.25"/>
    <row r="1209" s="458" customFormat="1" ht="18" x14ac:dyDescent="0.25"/>
    <row r="1210" s="458" customFormat="1" ht="18" x14ac:dyDescent="0.25"/>
    <row r="1211" s="458" customFormat="1" ht="18" x14ac:dyDescent="0.25"/>
    <row r="1212" s="458" customFormat="1" ht="18" x14ac:dyDescent="0.25"/>
    <row r="1213" s="458" customFormat="1" ht="18" x14ac:dyDescent="0.25"/>
    <row r="1214" s="458" customFormat="1" ht="18" x14ac:dyDescent="0.25"/>
    <row r="1215" s="458" customFormat="1" ht="18" x14ac:dyDescent="0.25"/>
    <row r="1216" s="458" customFormat="1" ht="18" x14ac:dyDescent="0.25"/>
    <row r="1217" s="458" customFormat="1" ht="18" x14ac:dyDescent="0.25"/>
    <row r="1218" s="458" customFormat="1" ht="18" x14ac:dyDescent="0.25"/>
    <row r="1219" s="458" customFormat="1" ht="18" x14ac:dyDescent="0.25"/>
    <row r="1220" s="458" customFormat="1" ht="18" x14ac:dyDescent="0.25"/>
    <row r="1221" s="458" customFormat="1" ht="18" x14ac:dyDescent="0.25"/>
    <row r="1222" s="458" customFormat="1" ht="18" x14ac:dyDescent="0.25"/>
    <row r="1223" s="458" customFormat="1" ht="18" x14ac:dyDescent="0.25"/>
    <row r="1224" s="458" customFormat="1" ht="18" x14ac:dyDescent="0.25"/>
    <row r="1225" s="458" customFormat="1" ht="18" x14ac:dyDescent="0.25"/>
    <row r="1226" s="458" customFormat="1" ht="18" x14ac:dyDescent="0.25"/>
    <row r="1227" s="458" customFormat="1" ht="18" x14ac:dyDescent="0.25"/>
    <row r="1228" s="458" customFormat="1" ht="18" x14ac:dyDescent="0.25"/>
    <row r="1229" s="458" customFormat="1" ht="18" x14ac:dyDescent="0.25"/>
    <row r="1230" s="458" customFormat="1" ht="18" x14ac:dyDescent="0.25"/>
    <row r="1231" s="458" customFormat="1" ht="18" x14ac:dyDescent="0.25"/>
    <row r="1232" s="458" customFormat="1" ht="18" x14ac:dyDescent="0.25"/>
    <row r="1233" s="458" customFormat="1" ht="18" x14ac:dyDescent="0.25"/>
    <row r="1234" s="458" customFormat="1" ht="18" x14ac:dyDescent="0.25"/>
    <row r="1235" s="458" customFormat="1" ht="18" x14ac:dyDescent="0.25"/>
    <row r="1236" s="458" customFormat="1" ht="18" x14ac:dyDescent="0.25"/>
    <row r="1237" s="458" customFormat="1" ht="18" x14ac:dyDescent="0.25"/>
    <row r="1238" s="458" customFormat="1" ht="18" x14ac:dyDescent="0.25"/>
    <row r="1239" s="458" customFormat="1" ht="18" x14ac:dyDescent="0.25"/>
    <row r="1240" s="458" customFormat="1" ht="18" x14ac:dyDescent="0.25"/>
    <row r="1241" s="458" customFormat="1" ht="18" x14ac:dyDescent="0.25"/>
    <row r="1242" s="458" customFormat="1" ht="18" x14ac:dyDescent="0.25"/>
    <row r="1243" s="458" customFormat="1" ht="18" x14ac:dyDescent="0.25"/>
    <row r="1244" s="458" customFormat="1" ht="18" x14ac:dyDescent="0.25"/>
    <row r="1245" s="458" customFormat="1" ht="18" x14ac:dyDescent="0.25"/>
    <row r="1246" s="458" customFormat="1" ht="18" x14ac:dyDescent="0.25"/>
    <row r="1247" s="458" customFormat="1" ht="18" x14ac:dyDescent="0.25"/>
    <row r="1248" s="458" customFormat="1" ht="18" x14ac:dyDescent="0.25"/>
    <row r="1249" s="458" customFormat="1" ht="18" x14ac:dyDescent="0.25"/>
    <row r="1250" s="458" customFormat="1" ht="18" x14ac:dyDescent="0.25"/>
    <row r="1251" s="458" customFormat="1" ht="18" x14ac:dyDescent="0.25"/>
    <row r="1252" s="458" customFormat="1" ht="18" x14ac:dyDescent="0.25"/>
    <row r="1253" s="458" customFormat="1" ht="18" x14ac:dyDescent="0.25"/>
    <row r="1254" s="458" customFormat="1" ht="18" x14ac:dyDescent="0.25"/>
    <row r="1255" s="458" customFormat="1" ht="18" x14ac:dyDescent="0.25"/>
    <row r="1256" s="458" customFormat="1" ht="18" x14ac:dyDescent="0.25"/>
    <row r="1257" s="458" customFormat="1" ht="18" x14ac:dyDescent="0.25"/>
    <row r="1258" s="458" customFormat="1" ht="18" x14ac:dyDescent="0.25"/>
    <row r="1259" s="458" customFormat="1" ht="18" x14ac:dyDescent="0.25"/>
    <row r="1260" s="458" customFormat="1" ht="18" x14ac:dyDescent="0.25"/>
    <row r="1261" s="458" customFormat="1" ht="18" x14ac:dyDescent="0.25"/>
    <row r="1262" s="458" customFormat="1" ht="18" x14ac:dyDescent="0.25"/>
    <row r="1263" s="458" customFormat="1" ht="18" x14ac:dyDescent="0.25"/>
    <row r="1264" s="458" customFormat="1" ht="18" x14ac:dyDescent="0.25"/>
    <row r="1265" s="458" customFormat="1" ht="18" x14ac:dyDescent="0.25"/>
    <row r="1266" s="458" customFormat="1" ht="18" x14ac:dyDescent="0.25"/>
    <row r="1267" s="458" customFormat="1" ht="18" x14ac:dyDescent="0.25"/>
    <row r="1268" s="458" customFormat="1" ht="18" x14ac:dyDescent="0.25"/>
    <row r="1269" s="458" customFormat="1" ht="18" x14ac:dyDescent="0.25"/>
    <row r="1270" s="458" customFormat="1" ht="18" x14ac:dyDescent="0.25"/>
    <row r="1271" s="458" customFormat="1" ht="18" x14ac:dyDescent="0.25"/>
    <row r="1272" s="458" customFormat="1" ht="18" x14ac:dyDescent="0.25"/>
    <row r="1273" s="458" customFormat="1" ht="18" x14ac:dyDescent="0.25"/>
    <row r="1274" s="458" customFormat="1" ht="18" x14ac:dyDescent="0.25"/>
    <row r="1275" s="458" customFormat="1" ht="18" x14ac:dyDescent="0.25"/>
    <row r="1276" s="458" customFormat="1" ht="18" x14ac:dyDescent="0.25"/>
    <row r="1277" s="458" customFormat="1" ht="18" x14ac:dyDescent="0.25"/>
    <row r="1278" s="458" customFormat="1" ht="18" x14ac:dyDescent="0.25"/>
    <row r="1279" s="458" customFormat="1" ht="18" x14ac:dyDescent="0.25"/>
    <row r="1280" s="458" customFormat="1" ht="18" x14ac:dyDescent="0.25"/>
    <row r="1281" s="458" customFormat="1" ht="18" x14ac:dyDescent="0.25"/>
    <row r="1282" s="458" customFormat="1" ht="18" x14ac:dyDescent="0.25"/>
    <row r="1283" s="458" customFormat="1" ht="18" x14ac:dyDescent="0.25"/>
    <row r="1284" s="458" customFormat="1" ht="18" x14ac:dyDescent="0.25"/>
    <row r="1285" s="458" customFormat="1" ht="18" x14ac:dyDescent="0.25"/>
    <row r="1286" s="458" customFormat="1" ht="18" x14ac:dyDescent="0.25"/>
    <row r="1287" s="458" customFormat="1" ht="18" x14ac:dyDescent="0.25"/>
    <row r="1288" s="458" customFormat="1" ht="18" x14ac:dyDescent="0.25"/>
    <row r="1289" s="458" customFormat="1" ht="18" x14ac:dyDescent="0.25"/>
    <row r="1290" s="458" customFormat="1" ht="18" x14ac:dyDescent="0.25"/>
    <row r="1291" s="458" customFormat="1" ht="18" x14ac:dyDescent="0.25"/>
    <row r="1292" s="458" customFormat="1" ht="18" x14ac:dyDescent="0.25"/>
    <row r="1293" s="458" customFormat="1" ht="18" x14ac:dyDescent="0.25"/>
    <row r="1294" s="458" customFormat="1" ht="18" x14ac:dyDescent="0.25"/>
    <row r="1295" s="458" customFormat="1" ht="18" x14ac:dyDescent="0.25"/>
    <row r="1296" s="458" customFormat="1" ht="18" x14ac:dyDescent="0.25"/>
    <row r="1297" s="458" customFormat="1" ht="18" x14ac:dyDescent="0.25"/>
    <row r="1298" s="458" customFormat="1" ht="18" x14ac:dyDescent="0.25"/>
    <row r="1299" s="458" customFormat="1" ht="18" x14ac:dyDescent="0.25"/>
    <row r="1300" s="458" customFormat="1" ht="18" x14ac:dyDescent="0.25"/>
    <row r="1301" s="458" customFormat="1" ht="18" x14ac:dyDescent="0.25"/>
    <row r="1302" s="458" customFormat="1" ht="18" x14ac:dyDescent="0.25"/>
    <row r="1303" s="458" customFormat="1" ht="18" x14ac:dyDescent="0.25"/>
    <row r="1304" s="458" customFormat="1" ht="18" x14ac:dyDescent="0.25"/>
    <row r="1305" s="458" customFormat="1" ht="18" x14ac:dyDescent="0.25"/>
    <row r="1306" s="458" customFormat="1" ht="18" x14ac:dyDescent="0.25"/>
    <row r="1307" s="458" customFormat="1" ht="18" x14ac:dyDescent="0.25"/>
    <row r="1308" s="458" customFormat="1" ht="18" x14ac:dyDescent="0.25"/>
    <row r="1309" s="458" customFormat="1" ht="18" x14ac:dyDescent="0.25"/>
    <row r="1310" s="458" customFormat="1" ht="18" x14ac:dyDescent="0.25"/>
    <row r="1311" s="458" customFormat="1" ht="18" x14ac:dyDescent="0.25"/>
    <row r="1312" s="458" customFormat="1" ht="18" x14ac:dyDescent="0.25"/>
    <row r="1313" s="458" customFormat="1" ht="18" x14ac:dyDescent="0.25"/>
    <row r="1314" s="458" customFormat="1" ht="18" x14ac:dyDescent="0.25"/>
    <row r="1315" s="458" customFormat="1" ht="18" x14ac:dyDescent="0.25"/>
    <row r="1316" s="458" customFormat="1" ht="18" x14ac:dyDescent="0.25"/>
    <row r="1317" s="458" customFormat="1" ht="18" x14ac:dyDescent="0.25"/>
    <row r="1318" s="458" customFormat="1" ht="18" x14ac:dyDescent="0.25"/>
    <row r="1319" s="458" customFormat="1" ht="18" x14ac:dyDescent="0.25"/>
    <row r="1320" s="458" customFormat="1" ht="18" x14ac:dyDescent="0.25"/>
    <row r="1321" s="458" customFormat="1" ht="18" x14ac:dyDescent="0.25"/>
    <row r="1322" s="458" customFormat="1" ht="18" x14ac:dyDescent="0.25"/>
    <row r="1323" s="458" customFormat="1" ht="18" x14ac:dyDescent="0.25"/>
    <row r="1324" s="458" customFormat="1" ht="18" x14ac:dyDescent="0.25"/>
    <row r="1325" s="458" customFormat="1" ht="18" x14ac:dyDescent="0.25"/>
    <row r="1326" s="458" customFormat="1" ht="18" x14ac:dyDescent="0.25"/>
    <row r="1327" s="458" customFormat="1" ht="18" x14ac:dyDescent="0.25"/>
    <row r="1328" s="458" customFormat="1" ht="18" x14ac:dyDescent="0.25"/>
    <row r="1329" s="458" customFormat="1" ht="18" x14ac:dyDescent="0.25"/>
    <row r="1330" s="458" customFormat="1" ht="18" x14ac:dyDescent="0.25"/>
    <row r="1331" s="458" customFormat="1" ht="18" x14ac:dyDescent="0.25"/>
    <row r="1332" s="458" customFormat="1" ht="18" x14ac:dyDescent="0.25"/>
    <row r="1333" s="458" customFormat="1" ht="18" x14ac:dyDescent="0.25"/>
    <row r="1334" s="458" customFormat="1" ht="18" x14ac:dyDescent="0.25"/>
    <row r="1335" s="458" customFormat="1" ht="18" x14ac:dyDescent="0.25"/>
    <row r="1336" s="458" customFormat="1" ht="18" x14ac:dyDescent="0.25"/>
    <row r="1337" s="458" customFormat="1" ht="18" x14ac:dyDescent="0.25"/>
    <row r="1338" s="458" customFormat="1" ht="18" x14ac:dyDescent="0.25"/>
    <row r="1339" s="458" customFormat="1" ht="18" x14ac:dyDescent="0.25"/>
    <row r="1340" s="458" customFormat="1" ht="18" x14ac:dyDescent="0.25"/>
    <row r="1341" s="458" customFormat="1" ht="18" x14ac:dyDescent="0.25"/>
    <row r="1342" s="458" customFormat="1" ht="18" x14ac:dyDescent="0.25"/>
    <row r="1343" s="458" customFormat="1" ht="18" x14ac:dyDescent="0.25"/>
    <row r="1344" s="458" customFormat="1" ht="18" x14ac:dyDescent="0.25"/>
    <row r="1345" s="458" customFormat="1" ht="18" x14ac:dyDescent="0.25"/>
    <row r="1346" s="458" customFormat="1" ht="18" x14ac:dyDescent="0.25"/>
    <row r="1347" s="458" customFormat="1" ht="18" x14ac:dyDescent="0.25"/>
    <row r="1348" s="458" customFormat="1" ht="18" x14ac:dyDescent="0.25"/>
    <row r="1349" s="458" customFormat="1" ht="18" x14ac:dyDescent="0.25"/>
    <row r="1350" s="458" customFormat="1" ht="18" x14ac:dyDescent="0.25"/>
    <row r="1351" s="458" customFormat="1" ht="18" x14ac:dyDescent="0.25"/>
    <row r="1352" s="458" customFormat="1" ht="18" x14ac:dyDescent="0.25"/>
    <row r="1353" s="458" customFormat="1" ht="18" x14ac:dyDescent="0.25"/>
    <row r="1354" s="458" customFormat="1" ht="18" x14ac:dyDescent="0.25"/>
    <row r="1355" s="458" customFormat="1" ht="18" x14ac:dyDescent="0.25"/>
    <row r="1356" s="458" customFormat="1" ht="18" x14ac:dyDescent="0.25"/>
    <row r="1357" s="458" customFormat="1" ht="18" x14ac:dyDescent="0.25"/>
    <row r="1358" s="458" customFormat="1" ht="18" x14ac:dyDescent="0.25"/>
    <row r="1359" s="458" customFormat="1" ht="18" x14ac:dyDescent="0.25"/>
    <row r="1360" s="458" customFormat="1" ht="18" x14ac:dyDescent="0.25"/>
    <row r="1361" s="458" customFormat="1" ht="18" x14ac:dyDescent="0.25"/>
    <row r="1362" s="458" customFormat="1" ht="18" x14ac:dyDescent="0.25"/>
    <row r="1363" s="458" customFormat="1" ht="18" x14ac:dyDescent="0.25"/>
    <row r="1364" s="458" customFormat="1" ht="18" x14ac:dyDescent="0.25"/>
    <row r="1365" s="458" customFormat="1" ht="18" x14ac:dyDescent="0.25"/>
    <row r="1366" s="458" customFormat="1" ht="18" x14ac:dyDescent="0.25"/>
    <row r="1367" s="458" customFormat="1" ht="18" x14ac:dyDescent="0.25"/>
    <row r="1368" s="458" customFormat="1" ht="18" x14ac:dyDescent="0.25"/>
    <row r="1369" s="458" customFormat="1" ht="18" x14ac:dyDescent="0.25"/>
    <row r="1370" s="458" customFormat="1" ht="18" x14ac:dyDescent="0.25"/>
    <row r="1371" s="458" customFormat="1" ht="18" x14ac:dyDescent="0.25"/>
    <row r="1372" s="458" customFormat="1" ht="18" x14ac:dyDescent="0.25"/>
    <row r="1373" s="458" customFormat="1" ht="18" x14ac:dyDescent="0.25"/>
    <row r="1374" s="458" customFormat="1" ht="18" x14ac:dyDescent="0.25"/>
    <row r="1375" s="458" customFormat="1" ht="18" x14ac:dyDescent="0.25"/>
    <row r="1376" s="458" customFormat="1" ht="18" x14ac:dyDescent="0.25"/>
    <row r="1377" s="458" customFormat="1" ht="18" x14ac:dyDescent="0.25"/>
    <row r="1378" s="458" customFormat="1" ht="18" x14ac:dyDescent="0.25"/>
    <row r="1379" s="458" customFormat="1" ht="18" x14ac:dyDescent="0.25"/>
    <row r="1380" s="458" customFormat="1" ht="18" x14ac:dyDescent="0.25"/>
    <row r="1381" s="458" customFormat="1" ht="18" x14ac:dyDescent="0.25"/>
    <row r="1382" s="458" customFormat="1" ht="18" x14ac:dyDescent="0.25"/>
    <row r="1383" s="458" customFormat="1" ht="18" x14ac:dyDescent="0.25"/>
    <row r="1384" s="458" customFormat="1" ht="18" x14ac:dyDescent="0.25"/>
    <row r="1385" s="458" customFormat="1" ht="18" x14ac:dyDescent="0.25"/>
    <row r="1386" s="458" customFormat="1" ht="18" x14ac:dyDescent="0.25"/>
    <row r="1387" s="458" customFormat="1" ht="18" x14ac:dyDescent="0.25"/>
    <row r="1388" s="458" customFormat="1" ht="18" x14ac:dyDescent="0.25"/>
    <row r="1389" s="458" customFormat="1" ht="18" x14ac:dyDescent="0.25"/>
    <row r="1390" s="458" customFormat="1" ht="18" x14ac:dyDescent="0.25"/>
    <row r="1391" s="458" customFormat="1" ht="18" x14ac:dyDescent="0.25"/>
    <row r="1392" s="458" customFormat="1" ht="18" x14ac:dyDescent="0.25"/>
    <row r="1393" s="458" customFormat="1" ht="18" x14ac:dyDescent="0.25"/>
    <row r="1394" s="458" customFormat="1" ht="18" x14ac:dyDescent="0.25"/>
    <row r="1395" s="458" customFormat="1" ht="18" x14ac:dyDescent="0.25"/>
    <row r="1396" s="458" customFormat="1" ht="18" x14ac:dyDescent="0.25"/>
    <row r="1397" s="458" customFormat="1" ht="18" x14ac:dyDescent="0.25"/>
    <row r="1398" s="458" customFormat="1" ht="18" x14ac:dyDescent="0.25"/>
    <row r="1399" s="458" customFormat="1" ht="18" x14ac:dyDescent="0.25"/>
    <row r="1400" s="458" customFormat="1" ht="18" x14ac:dyDescent="0.25"/>
    <row r="1401" s="458" customFormat="1" ht="18" x14ac:dyDescent="0.25"/>
    <row r="1402" s="458" customFormat="1" ht="18" x14ac:dyDescent="0.25"/>
    <row r="1403" s="458" customFormat="1" ht="18" x14ac:dyDescent="0.25"/>
    <row r="1404" s="458" customFormat="1" ht="18" x14ac:dyDescent="0.25"/>
    <row r="1405" s="458" customFormat="1" ht="18" x14ac:dyDescent="0.25"/>
    <row r="1406" s="458" customFormat="1" ht="18" x14ac:dyDescent="0.25"/>
    <row r="1407" s="458" customFormat="1" ht="18" x14ac:dyDescent="0.25"/>
    <row r="1408" s="458" customFormat="1" ht="18" x14ac:dyDescent="0.25"/>
    <row r="1409" s="458" customFormat="1" ht="18" x14ac:dyDescent="0.25"/>
    <row r="1410" s="458" customFormat="1" ht="18" x14ac:dyDescent="0.25"/>
    <row r="1411" s="458" customFormat="1" ht="18" x14ac:dyDescent="0.25"/>
    <row r="1412" s="458" customFormat="1" ht="18" x14ac:dyDescent="0.25"/>
    <row r="1413" s="458" customFormat="1" ht="18" x14ac:dyDescent="0.25"/>
    <row r="1414" s="458" customFormat="1" ht="18" x14ac:dyDescent="0.25"/>
    <row r="1415" s="458" customFormat="1" ht="18" x14ac:dyDescent="0.25"/>
    <row r="1416" s="458" customFormat="1" ht="18" x14ac:dyDescent="0.25"/>
    <row r="1417" s="458" customFormat="1" ht="18" x14ac:dyDescent="0.25"/>
    <row r="1418" s="458" customFormat="1" ht="18" x14ac:dyDescent="0.25"/>
    <row r="1419" s="458" customFormat="1" ht="18" x14ac:dyDescent="0.25"/>
    <row r="1420" s="458" customFormat="1" ht="18" x14ac:dyDescent="0.25"/>
    <row r="1421" s="458" customFormat="1" ht="18" x14ac:dyDescent="0.25"/>
    <row r="1422" s="458" customFormat="1" ht="18" x14ac:dyDescent="0.25"/>
    <row r="1423" s="458" customFormat="1" ht="18" x14ac:dyDescent="0.25"/>
    <row r="1424" s="458" customFormat="1" ht="18" x14ac:dyDescent="0.25"/>
    <row r="1425" s="458" customFormat="1" ht="18" x14ac:dyDescent="0.25"/>
    <row r="1426" s="458" customFormat="1" ht="18" x14ac:dyDescent="0.25"/>
    <row r="1427" s="458" customFormat="1" ht="18" x14ac:dyDescent="0.25"/>
    <row r="1428" s="458" customFormat="1" ht="18" x14ac:dyDescent="0.25"/>
    <row r="1429" s="458" customFormat="1" ht="18" x14ac:dyDescent="0.25"/>
    <row r="1430" s="458" customFormat="1" ht="18" x14ac:dyDescent="0.25"/>
    <row r="1431" s="458" customFormat="1" ht="18" x14ac:dyDescent="0.25"/>
    <row r="1432" s="458" customFormat="1" ht="18" x14ac:dyDescent="0.25"/>
    <row r="1433" s="458" customFormat="1" ht="18" x14ac:dyDescent="0.25"/>
    <row r="1434" s="458" customFormat="1" ht="18" x14ac:dyDescent="0.25"/>
    <row r="1435" s="458" customFormat="1" ht="18" x14ac:dyDescent="0.25"/>
    <row r="1436" s="458" customFormat="1" ht="18" x14ac:dyDescent="0.25"/>
    <row r="1437" s="458" customFormat="1" ht="18" x14ac:dyDescent="0.25"/>
    <row r="1438" s="458" customFormat="1" ht="18" x14ac:dyDescent="0.25"/>
    <row r="1439" s="458" customFormat="1" ht="18" x14ac:dyDescent="0.25"/>
    <row r="1440" s="458" customFormat="1" ht="18" x14ac:dyDescent="0.25"/>
    <row r="1441" s="458" customFormat="1" ht="18" x14ac:dyDescent="0.25"/>
    <row r="1442" s="458" customFormat="1" ht="18" x14ac:dyDescent="0.25"/>
    <row r="1443" s="458" customFormat="1" ht="18" x14ac:dyDescent="0.25"/>
    <row r="1444" s="458" customFormat="1" ht="18" x14ac:dyDescent="0.25"/>
    <row r="1445" s="458" customFormat="1" ht="18" x14ac:dyDescent="0.25"/>
    <row r="1446" s="458" customFormat="1" ht="18" x14ac:dyDescent="0.25"/>
    <row r="1447" s="458" customFormat="1" ht="18" x14ac:dyDescent="0.25"/>
    <row r="1448" s="458" customFormat="1" ht="18" x14ac:dyDescent="0.25"/>
    <row r="1449" s="458" customFormat="1" ht="18" x14ac:dyDescent="0.25"/>
    <row r="1450" s="458" customFormat="1" ht="18" x14ac:dyDescent="0.25"/>
    <row r="1451" s="458" customFormat="1" ht="18" x14ac:dyDescent="0.25"/>
    <row r="1452" s="458" customFormat="1" ht="18" x14ac:dyDescent="0.25"/>
    <row r="1453" s="458" customFormat="1" ht="18" x14ac:dyDescent="0.25"/>
    <row r="1454" s="458" customFormat="1" ht="18" x14ac:dyDescent="0.25"/>
    <row r="1455" s="458" customFormat="1" ht="18" x14ac:dyDescent="0.25"/>
    <row r="1456" s="458" customFormat="1" ht="18" x14ac:dyDescent="0.25"/>
    <row r="1457" s="458" customFormat="1" ht="18" x14ac:dyDescent="0.25"/>
    <row r="1458" s="458" customFormat="1" ht="18" x14ac:dyDescent="0.25"/>
    <row r="1459" s="458" customFormat="1" ht="18" x14ac:dyDescent="0.25"/>
    <row r="1460" s="458" customFormat="1" ht="18" x14ac:dyDescent="0.25"/>
    <row r="1461" s="458" customFormat="1" ht="18" x14ac:dyDescent="0.25"/>
    <row r="1462" s="458" customFormat="1" ht="18" x14ac:dyDescent="0.25"/>
    <row r="1463" s="458" customFormat="1" ht="18" x14ac:dyDescent="0.25"/>
    <row r="1464" s="458" customFormat="1" ht="18" x14ac:dyDescent="0.25"/>
    <row r="1465" s="458" customFormat="1" ht="18" x14ac:dyDescent="0.25"/>
    <row r="1466" s="458" customFormat="1" ht="18" x14ac:dyDescent="0.25"/>
    <row r="1467" s="458" customFormat="1" ht="18" x14ac:dyDescent="0.25"/>
    <row r="1468" s="458" customFormat="1" ht="18" x14ac:dyDescent="0.25"/>
    <row r="1469" s="458" customFormat="1" ht="18" x14ac:dyDescent="0.25"/>
    <row r="1470" s="458" customFormat="1" ht="18" x14ac:dyDescent="0.25"/>
    <row r="1471" s="458" customFormat="1" ht="18" x14ac:dyDescent="0.25"/>
    <row r="1472" s="458" customFormat="1" ht="18" x14ac:dyDescent="0.25"/>
    <row r="1473" s="458" customFormat="1" ht="18" x14ac:dyDescent="0.25"/>
    <row r="1474" s="458" customFormat="1" ht="18" x14ac:dyDescent="0.25"/>
    <row r="1475" s="458" customFormat="1" ht="18" x14ac:dyDescent="0.25"/>
    <row r="1476" s="458" customFormat="1" ht="18" x14ac:dyDescent="0.25"/>
    <row r="1477" s="458" customFormat="1" ht="18" x14ac:dyDescent="0.25"/>
    <row r="1478" s="458" customFormat="1" ht="18" x14ac:dyDescent="0.25"/>
    <row r="1479" s="458" customFormat="1" ht="18" x14ac:dyDescent="0.25"/>
    <row r="1480" s="458" customFormat="1" ht="18" x14ac:dyDescent="0.25"/>
    <row r="1481" s="458" customFormat="1" ht="18" x14ac:dyDescent="0.25"/>
    <row r="1482" s="458" customFormat="1" ht="18" x14ac:dyDescent="0.25"/>
    <row r="1483" s="458" customFormat="1" ht="18" x14ac:dyDescent="0.25"/>
    <row r="1484" s="458" customFormat="1" ht="18" x14ac:dyDescent="0.25"/>
    <row r="1485" s="458" customFormat="1" ht="18" x14ac:dyDescent="0.25"/>
    <row r="1486" s="458" customFormat="1" ht="18" x14ac:dyDescent="0.25"/>
    <row r="1487" s="458" customFormat="1" ht="18" x14ac:dyDescent="0.25"/>
    <row r="1488" s="458" customFormat="1" ht="18" x14ac:dyDescent="0.25"/>
    <row r="1489" s="458" customFormat="1" ht="18" x14ac:dyDescent="0.25"/>
    <row r="1490" s="458" customFormat="1" ht="18" x14ac:dyDescent="0.25"/>
    <row r="1491" s="458" customFormat="1" ht="18" x14ac:dyDescent="0.25"/>
    <row r="1492" s="458" customFormat="1" ht="18" x14ac:dyDescent="0.25"/>
    <row r="1493" s="458" customFormat="1" ht="18" x14ac:dyDescent="0.25"/>
    <row r="1494" s="458" customFormat="1" ht="18" x14ac:dyDescent="0.25"/>
    <row r="1495" s="458" customFormat="1" ht="18" x14ac:dyDescent="0.25"/>
    <row r="1496" s="458" customFormat="1" ht="18" x14ac:dyDescent="0.25"/>
    <row r="1497" s="458" customFormat="1" ht="18" x14ac:dyDescent="0.25"/>
    <row r="1498" s="458" customFormat="1" ht="18" x14ac:dyDescent="0.25"/>
    <row r="1499" s="458" customFormat="1" ht="18" x14ac:dyDescent="0.25"/>
    <row r="1500" s="458" customFormat="1" ht="18" x14ac:dyDescent="0.25"/>
    <row r="1501" s="458" customFormat="1" ht="18" x14ac:dyDescent="0.25"/>
    <row r="1502" s="458" customFormat="1" ht="18" x14ac:dyDescent="0.25"/>
    <row r="1503" s="458" customFormat="1" ht="18" x14ac:dyDescent="0.25"/>
    <row r="1504" s="458" customFormat="1" ht="18" x14ac:dyDescent="0.25"/>
    <row r="1505" s="458" customFormat="1" ht="18" x14ac:dyDescent="0.25"/>
    <row r="1506" s="458" customFormat="1" ht="18" x14ac:dyDescent="0.25"/>
    <row r="1507" s="458" customFormat="1" ht="18" x14ac:dyDescent="0.25"/>
    <row r="1508" s="458" customFormat="1" ht="18" x14ac:dyDescent="0.25"/>
    <row r="1509" s="458" customFormat="1" ht="18" x14ac:dyDescent="0.25"/>
    <row r="1510" s="458" customFormat="1" ht="18" x14ac:dyDescent="0.25"/>
    <row r="1511" s="458" customFormat="1" ht="18" x14ac:dyDescent="0.25"/>
    <row r="1512" s="458" customFormat="1" ht="18" x14ac:dyDescent="0.25"/>
    <row r="1513" s="458" customFormat="1" ht="18" x14ac:dyDescent="0.25"/>
    <row r="1514" s="458" customFormat="1" ht="18" x14ac:dyDescent="0.25"/>
    <row r="1515" s="458" customFormat="1" ht="18" x14ac:dyDescent="0.25"/>
    <row r="1516" s="458" customFormat="1" ht="18" x14ac:dyDescent="0.25"/>
    <row r="1517" s="458" customFormat="1" ht="18" x14ac:dyDescent="0.25"/>
    <row r="1518" s="458" customFormat="1" ht="18" x14ac:dyDescent="0.25"/>
    <row r="1519" s="458" customFormat="1" ht="18" x14ac:dyDescent="0.25"/>
    <row r="1520" s="458" customFormat="1" ht="18" x14ac:dyDescent="0.25"/>
    <row r="1521" s="458" customFormat="1" ht="18" x14ac:dyDescent="0.25"/>
    <row r="1522" s="458" customFormat="1" ht="18" x14ac:dyDescent="0.25"/>
    <row r="1523" s="458" customFormat="1" ht="18" x14ac:dyDescent="0.25"/>
    <row r="1524" s="458" customFormat="1" ht="18" x14ac:dyDescent="0.25"/>
    <row r="1525" s="458" customFormat="1" ht="18" x14ac:dyDescent="0.25"/>
    <row r="1526" s="458" customFormat="1" ht="18" x14ac:dyDescent="0.25"/>
    <row r="1527" s="458" customFormat="1" ht="18" x14ac:dyDescent="0.25"/>
    <row r="1528" s="458" customFormat="1" ht="18" x14ac:dyDescent="0.25"/>
    <row r="1529" s="458" customFormat="1" ht="18" x14ac:dyDescent="0.25"/>
    <row r="1530" s="458" customFormat="1" ht="18" x14ac:dyDescent="0.25"/>
    <row r="1531" s="458" customFormat="1" ht="18" x14ac:dyDescent="0.25"/>
    <row r="1532" s="458" customFormat="1" ht="18" x14ac:dyDescent="0.25"/>
    <row r="1533" s="458" customFormat="1" ht="18" x14ac:dyDescent="0.25"/>
    <row r="1534" s="458" customFormat="1" ht="18" x14ac:dyDescent="0.25"/>
    <row r="1535" s="458" customFormat="1" ht="18" x14ac:dyDescent="0.25"/>
    <row r="1536" s="458" customFormat="1" ht="18" x14ac:dyDescent="0.25"/>
    <row r="1537" s="458" customFormat="1" ht="18" x14ac:dyDescent="0.25"/>
    <row r="1538" s="458" customFormat="1" ht="18" x14ac:dyDescent="0.25"/>
    <row r="1539" s="458" customFormat="1" ht="18" x14ac:dyDescent="0.25"/>
    <row r="1540" s="458" customFormat="1" ht="18" x14ac:dyDescent="0.25"/>
    <row r="1541" s="458" customFormat="1" ht="18" x14ac:dyDescent="0.25"/>
    <row r="1542" s="458" customFormat="1" ht="18" x14ac:dyDescent="0.25"/>
    <row r="1543" s="458" customFormat="1" ht="18" x14ac:dyDescent="0.25"/>
    <row r="1544" s="458" customFormat="1" ht="18" x14ac:dyDescent="0.25"/>
    <row r="1545" s="458" customFormat="1" ht="18" x14ac:dyDescent="0.25"/>
    <row r="1546" s="458" customFormat="1" ht="18" x14ac:dyDescent="0.25"/>
    <row r="1547" s="458" customFormat="1" ht="18" x14ac:dyDescent="0.25"/>
    <row r="1548" s="458" customFormat="1" ht="18" x14ac:dyDescent="0.25"/>
    <row r="1549" s="458" customFormat="1" ht="18" x14ac:dyDescent="0.25"/>
    <row r="1550" s="458" customFormat="1" ht="18" x14ac:dyDescent="0.25"/>
    <row r="1551" s="458" customFormat="1" ht="18" x14ac:dyDescent="0.25"/>
    <row r="1552" s="458" customFormat="1" ht="18" x14ac:dyDescent="0.25"/>
    <row r="1553" s="458" customFormat="1" ht="18" x14ac:dyDescent="0.25"/>
    <row r="1554" s="458" customFormat="1" ht="18" x14ac:dyDescent="0.25"/>
    <row r="1555" s="458" customFormat="1" ht="18" x14ac:dyDescent="0.25"/>
    <row r="1556" s="458" customFormat="1" ht="18" x14ac:dyDescent="0.25"/>
    <row r="1557" s="458" customFormat="1" ht="18" x14ac:dyDescent="0.25"/>
    <row r="1558" s="458" customFormat="1" ht="18" x14ac:dyDescent="0.25"/>
    <row r="1559" s="458" customFormat="1" ht="18" x14ac:dyDescent="0.25"/>
    <row r="1560" s="458" customFormat="1" ht="18" x14ac:dyDescent="0.25"/>
    <row r="1561" s="458" customFormat="1" ht="18" x14ac:dyDescent="0.25"/>
    <row r="1562" s="458" customFormat="1" ht="18" x14ac:dyDescent="0.25"/>
    <row r="1563" s="458" customFormat="1" ht="18" x14ac:dyDescent="0.25"/>
    <row r="1564" s="458" customFormat="1" ht="18" x14ac:dyDescent="0.25"/>
    <row r="1565" s="458" customFormat="1" ht="18" x14ac:dyDescent="0.25"/>
    <row r="1566" s="458" customFormat="1" ht="18" x14ac:dyDescent="0.25"/>
    <row r="1567" s="458" customFormat="1" ht="18" x14ac:dyDescent="0.25"/>
    <row r="1568" s="458" customFormat="1" ht="18" x14ac:dyDescent="0.25"/>
    <row r="1569" s="458" customFormat="1" ht="18" x14ac:dyDescent="0.25"/>
    <row r="1570" s="458" customFormat="1" ht="18" x14ac:dyDescent="0.25"/>
    <row r="1571" s="458" customFormat="1" ht="18" x14ac:dyDescent="0.25"/>
    <row r="1572" s="458" customFormat="1" ht="18" x14ac:dyDescent="0.25"/>
    <row r="1573" s="458" customFormat="1" ht="18" x14ac:dyDescent="0.25"/>
    <row r="1574" s="458" customFormat="1" ht="18" x14ac:dyDescent="0.25"/>
    <row r="1575" s="458" customFormat="1" ht="18" x14ac:dyDescent="0.25"/>
    <row r="1576" s="458" customFormat="1" ht="18" x14ac:dyDescent="0.25"/>
    <row r="1577" s="458" customFormat="1" ht="18" x14ac:dyDescent="0.25"/>
    <row r="1578" s="458" customFormat="1" ht="18" x14ac:dyDescent="0.25"/>
    <row r="1579" s="458" customFormat="1" ht="18" x14ac:dyDescent="0.25"/>
    <row r="1580" s="458" customFormat="1" ht="18" x14ac:dyDescent="0.25"/>
    <row r="1581" s="458" customFormat="1" ht="18" x14ac:dyDescent="0.25"/>
    <row r="1582" s="458" customFormat="1" ht="18" x14ac:dyDescent="0.25"/>
    <row r="1583" s="458" customFormat="1" ht="18" x14ac:dyDescent="0.25"/>
    <row r="1584" s="458" customFormat="1" ht="18" x14ac:dyDescent="0.25"/>
    <row r="1585" s="458" customFormat="1" ht="18" x14ac:dyDescent="0.25"/>
    <row r="1586" s="458" customFormat="1" ht="18" x14ac:dyDescent="0.25"/>
    <row r="1587" s="458" customFormat="1" ht="18" x14ac:dyDescent="0.25"/>
    <row r="1588" s="458" customFormat="1" ht="18" x14ac:dyDescent="0.25"/>
    <row r="1589" s="458" customFormat="1" ht="18" x14ac:dyDescent="0.25"/>
    <row r="1590" s="458" customFormat="1" ht="18" x14ac:dyDescent="0.25"/>
    <row r="1591" s="458" customFormat="1" ht="18" x14ac:dyDescent="0.25"/>
    <row r="1592" s="458" customFormat="1" ht="18" x14ac:dyDescent="0.25"/>
    <row r="1593" s="458" customFormat="1" ht="18" x14ac:dyDescent="0.25"/>
    <row r="1594" s="458" customFormat="1" ht="18" x14ac:dyDescent="0.25"/>
    <row r="1595" s="458" customFormat="1" ht="18" x14ac:dyDescent="0.25"/>
    <row r="1596" s="458" customFormat="1" ht="18" x14ac:dyDescent="0.25"/>
    <row r="1597" s="458" customFormat="1" ht="18" x14ac:dyDescent="0.25"/>
    <row r="1598" s="458" customFormat="1" ht="18" x14ac:dyDescent="0.25"/>
    <row r="1599" s="458" customFormat="1" ht="18" x14ac:dyDescent="0.25"/>
    <row r="1600" s="458" customFormat="1" ht="18" x14ac:dyDescent="0.25"/>
    <row r="1601" s="458" customFormat="1" ht="18" x14ac:dyDescent="0.25"/>
    <row r="1602" s="458" customFormat="1" ht="18" x14ac:dyDescent="0.25"/>
    <row r="1603" s="458" customFormat="1" ht="18" x14ac:dyDescent="0.25"/>
    <row r="1604" s="458" customFormat="1" ht="18" x14ac:dyDescent="0.25"/>
    <row r="1605" s="458" customFormat="1" ht="18" x14ac:dyDescent="0.25"/>
    <row r="1606" s="458" customFormat="1" ht="18" x14ac:dyDescent="0.25"/>
    <row r="1607" s="458" customFormat="1" ht="18" x14ac:dyDescent="0.25"/>
    <row r="1608" s="458" customFormat="1" ht="18" x14ac:dyDescent="0.25"/>
    <row r="1609" s="458" customFormat="1" ht="18" x14ac:dyDescent="0.25"/>
    <row r="1610" s="458" customFormat="1" ht="18" x14ac:dyDescent="0.25"/>
    <row r="1611" s="458" customFormat="1" ht="18" x14ac:dyDescent="0.25"/>
    <row r="1612" s="458" customFormat="1" ht="18" x14ac:dyDescent="0.25"/>
    <row r="1613" s="458" customFormat="1" ht="18" x14ac:dyDescent="0.25"/>
    <row r="1614" s="458" customFormat="1" ht="18" x14ac:dyDescent="0.25"/>
    <row r="1615" s="458" customFormat="1" ht="18" x14ac:dyDescent="0.25"/>
    <row r="1616" s="458" customFormat="1" ht="18" x14ac:dyDescent="0.25"/>
    <row r="1617" s="458" customFormat="1" ht="18" x14ac:dyDescent="0.25"/>
    <row r="1618" s="458" customFormat="1" ht="18" x14ac:dyDescent="0.25"/>
    <row r="1619" s="458" customFormat="1" ht="18" x14ac:dyDescent="0.25"/>
    <row r="1620" s="458" customFormat="1" ht="18" x14ac:dyDescent="0.25"/>
    <row r="1621" s="458" customFormat="1" ht="18" x14ac:dyDescent="0.25"/>
    <row r="1622" s="458" customFormat="1" ht="18" x14ac:dyDescent="0.25"/>
    <row r="1623" s="458" customFormat="1" ht="18" x14ac:dyDescent="0.25"/>
    <row r="1624" s="458" customFormat="1" ht="18" x14ac:dyDescent="0.25"/>
    <row r="1625" s="458" customFormat="1" ht="18" x14ac:dyDescent="0.25"/>
    <row r="1626" s="458" customFormat="1" ht="18" x14ac:dyDescent="0.25"/>
    <row r="1627" s="458" customFormat="1" ht="18" x14ac:dyDescent="0.25"/>
    <row r="1628" s="458" customFormat="1" ht="18" x14ac:dyDescent="0.25"/>
    <row r="1629" s="458" customFormat="1" ht="18" x14ac:dyDescent="0.25"/>
    <row r="1630" s="458" customFormat="1" ht="18" x14ac:dyDescent="0.25"/>
    <row r="1631" s="458" customFormat="1" ht="18" x14ac:dyDescent="0.25"/>
    <row r="1632" s="458" customFormat="1" ht="18" x14ac:dyDescent="0.25"/>
    <row r="1633" s="458" customFormat="1" ht="18" x14ac:dyDescent="0.25"/>
    <row r="1634" s="458" customFormat="1" ht="18" x14ac:dyDescent="0.25"/>
    <row r="1635" s="458" customFormat="1" ht="18" x14ac:dyDescent="0.25"/>
    <row r="1636" s="458" customFormat="1" ht="18" x14ac:dyDescent="0.25"/>
    <row r="1637" s="458" customFormat="1" ht="18" x14ac:dyDescent="0.25"/>
    <row r="1638" s="458" customFormat="1" ht="18" x14ac:dyDescent="0.25"/>
    <row r="1639" s="458" customFormat="1" ht="18" x14ac:dyDescent="0.25"/>
    <row r="1640" s="458" customFormat="1" ht="18" x14ac:dyDescent="0.25"/>
    <row r="1641" s="458" customFormat="1" ht="18" x14ac:dyDescent="0.25"/>
    <row r="1642" s="458" customFormat="1" ht="18" x14ac:dyDescent="0.25"/>
    <row r="1643" s="458" customFormat="1" ht="18" x14ac:dyDescent="0.25"/>
    <row r="1644" s="458" customFormat="1" ht="18" x14ac:dyDescent="0.25"/>
    <row r="1645" s="458" customFormat="1" ht="18" x14ac:dyDescent="0.25"/>
    <row r="1646" s="458" customFormat="1" ht="18" x14ac:dyDescent="0.25"/>
    <row r="1647" s="458" customFormat="1" ht="18" x14ac:dyDescent="0.25"/>
    <row r="1648" s="458" customFormat="1" ht="18" x14ac:dyDescent="0.25"/>
    <row r="1649" s="458" customFormat="1" ht="18" x14ac:dyDescent="0.25"/>
    <row r="1650" s="458" customFormat="1" ht="18" x14ac:dyDescent="0.25"/>
    <row r="1651" s="458" customFormat="1" ht="18" x14ac:dyDescent="0.25"/>
    <row r="1652" s="458" customFormat="1" ht="18" x14ac:dyDescent="0.25"/>
    <row r="1653" s="458" customFormat="1" ht="18" x14ac:dyDescent="0.25"/>
    <row r="1654" s="458" customFormat="1" ht="18" x14ac:dyDescent="0.25"/>
    <row r="1655" s="458" customFormat="1" ht="18" x14ac:dyDescent="0.25"/>
    <row r="1656" s="458" customFormat="1" ht="18" x14ac:dyDescent="0.25"/>
    <row r="1657" s="458" customFormat="1" ht="18" x14ac:dyDescent="0.25"/>
    <row r="1658" s="458" customFormat="1" ht="18" x14ac:dyDescent="0.25"/>
    <row r="1659" s="458" customFormat="1" ht="18" x14ac:dyDescent="0.25"/>
    <row r="1660" s="458" customFormat="1" ht="18" x14ac:dyDescent="0.25"/>
    <row r="1661" s="458" customFormat="1" ht="18" x14ac:dyDescent="0.25"/>
    <row r="1662" s="458" customFormat="1" ht="18" x14ac:dyDescent="0.25"/>
    <row r="1663" s="458" customFormat="1" ht="18" x14ac:dyDescent="0.25"/>
    <row r="1664" s="458" customFormat="1" ht="18" x14ac:dyDescent="0.25"/>
    <row r="1665" s="458" customFormat="1" ht="18" x14ac:dyDescent="0.25"/>
    <row r="1666" s="458" customFormat="1" ht="18" x14ac:dyDescent="0.25"/>
    <row r="1667" s="458" customFormat="1" ht="18" x14ac:dyDescent="0.25"/>
    <row r="1668" s="458" customFormat="1" ht="18" x14ac:dyDescent="0.25"/>
    <row r="1669" s="458" customFormat="1" ht="18" x14ac:dyDescent="0.25"/>
    <row r="1670" s="458" customFormat="1" ht="18" x14ac:dyDescent="0.25"/>
    <row r="1671" s="458" customFormat="1" ht="18" x14ac:dyDescent="0.25"/>
    <row r="1672" s="458" customFormat="1" ht="18" x14ac:dyDescent="0.25"/>
    <row r="1673" s="458" customFormat="1" ht="18" x14ac:dyDescent="0.25"/>
    <row r="1674" s="458" customFormat="1" ht="18" x14ac:dyDescent="0.25"/>
    <row r="1675" s="458" customFormat="1" ht="18" x14ac:dyDescent="0.25"/>
    <row r="1676" s="458" customFormat="1" ht="18" x14ac:dyDescent="0.25"/>
    <row r="1677" s="458" customFormat="1" ht="18" x14ac:dyDescent="0.25"/>
    <row r="1678" s="458" customFormat="1" ht="18" x14ac:dyDescent="0.25"/>
    <row r="1679" s="458" customFormat="1" ht="18" x14ac:dyDescent="0.25"/>
    <row r="1680" s="458" customFormat="1" ht="18" x14ac:dyDescent="0.25"/>
    <row r="1681" s="458" customFormat="1" ht="18" x14ac:dyDescent="0.25"/>
    <row r="1682" s="458" customFormat="1" ht="18" x14ac:dyDescent="0.25"/>
    <row r="1683" s="458" customFormat="1" ht="18" x14ac:dyDescent="0.25"/>
    <row r="1684" s="458" customFormat="1" ht="18" x14ac:dyDescent="0.25"/>
    <row r="1685" s="458" customFormat="1" ht="18" x14ac:dyDescent="0.25"/>
    <row r="1686" s="458" customFormat="1" ht="18" x14ac:dyDescent="0.25"/>
    <row r="1687" s="458" customFormat="1" ht="18" x14ac:dyDescent="0.25"/>
    <row r="1688" s="458" customFormat="1" ht="18" x14ac:dyDescent="0.25"/>
    <row r="1689" s="458" customFormat="1" ht="18" x14ac:dyDescent="0.25"/>
    <row r="1690" s="458" customFormat="1" ht="18" x14ac:dyDescent="0.25"/>
    <row r="1691" s="458" customFormat="1" ht="18" x14ac:dyDescent="0.25"/>
    <row r="1692" s="458" customFormat="1" ht="18" x14ac:dyDescent="0.25"/>
    <row r="1693" s="458" customFormat="1" ht="18" x14ac:dyDescent="0.25"/>
    <row r="1694" s="458" customFormat="1" ht="18" x14ac:dyDescent="0.25"/>
    <row r="1695" s="458" customFormat="1" ht="18" x14ac:dyDescent="0.25"/>
    <row r="1696" s="458" customFormat="1" ht="18" x14ac:dyDescent="0.25"/>
    <row r="1697" s="458" customFormat="1" ht="18" x14ac:dyDescent="0.25"/>
    <row r="1698" s="458" customFormat="1" ht="18" x14ac:dyDescent="0.25"/>
    <row r="1699" s="458" customFormat="1" ht="18" x14ac:dyDescent="0.25"/>
    <row r="1700" s="458" customFormat="1" ht="18" x14ac:dyDescent="0.25"/>
    <row r="1701" s="458" customFormat="1" ht="18" x14ac:dyDescent="0.25"/>
    <row r="1702" s="458" customFormat="1" ht="18" x14ac:dyDescent="0.25"/>
    <row r="1703" s="458" customFormat="1" ht="18" x14ac:dyDescent="0.25"/>
    <row r="1704" s="458" customFormat="1" ht="18" x14ac:dyDescent="0.25"/>
    <row r="1705" s="458" customFormat="1" ht="18" x14ac:dyDescent="0.25"/>
    <row r="1706" s="458" customFormat="1" ht="18" x14ac:dyDescent="0.25"/>
    <row r="1707" s="458" customFormat="1" ht="18" x14ac:dyDescent="0.25"/>
    <row r="1708" s="458" customFormat="1" ht="18" x14ac:dyDescent="0.25"/>
    <row r="1709" s="458" customFormat="1" ht="18" x14ac:dyDescent="0.25"/>
    <row r="1710" s="458" customFormat="1" ht="18" x14ac:dyDescent="0.25"/>
    <row r="1711" s="458" customFormat="1" ht="18" x14ac:dyDescent="0.25"/>
    <row r="1712" s="458" customFormat="1" ht="18" x14ac:dyDescent="0.25"/>
    <row r="1713" s="458" customFormat="1" ht="18" x14ac:dyDescent="0.25"/>
    <row r="1714" s="458" customFormat="1" ht="18" x14ac:dyDescent="0.25"/>
    <row r="1715" s="458" customFormat="1" ht="18" x14ac:dyDescent="0.25"/>
    <row r="1716" s="458" customFormat="1" ht="18" x14ac:dyDescent="0.25"/>
    <row r="1717" s="458" customFormat="1" ht="18" x14ac:dyDescent="0.25"/>
    <row r="1718" s="458" customFormat="1" ht="18" x14ac:dyDescent="0.25"/>
    <row r="1719" s="458" customFormat="1" ht="18" x14ac:dyDescent="0.25"/>
    <row r="1720" s="458" customFormat="1" ht="18" x14ac:dyDescent="0.25"/>
    <row r="1721" s="458" customFormat="1" ht="18" x14ac:dyDescent="0.25"/>
    <row r="1722" s="458" customFormat="1" ht="18" x14ac:dyDescent="0.25"/>
    <row r="1723" s="458" customFormat="1" ht="18" x14ac:dyDescent="0.25"/>
    <row r="1724" s="458" customFormat="1" ht="18" x14ac:dyDescent="0.25"/>
    <row r="1725" s="458" customFormat="1" ht="18" x14ac:dyDescent="0.25"/>
    <row r="1726" s="458" customFormat="1" ht="18" x14ac:dyDescent="0.25"/>
    <row r="1727" s="458" customFormat="1" ht="18" x14ac:dyDescent="0.25"/>
    <row r="1728" s="458" customFormat="1" ht="18" x14ac:dyDescent="0.25"/>
    <row r="1729" s="458" customFormat="1" ht="18" x14ac:dyDescent="0.25"/>
    <row r="1730" s="458" customFormat="1" ht="18" x14ac:dyDescent="0.25"/>
    <row r="1731" s="458" customFormat="1" ht="18" x14ac:dyDescent="0.25"/>
    <row r="1732" s="458" customFormat="1" ht="18" x14ac:dyDescent="0.25"/>
    <row r="1733" s="458" customFormat="1" ht="18" x14ac:dyDescent="0.25"/>
    <row r="1734" s="458" customFormat="1" ht="18" x14ac:dyDescent="0.25"/>
    <row r="1735" s="458" customFormat="1" ht="18" x14ac:dyDescent="0.25"/>
    <row r="1736" s="458" customFormat="1" ht="18" x14ac:dyDescent="0.25"/>
    <row r="1737" s="458" customFormat="1" ht="18" x14ac:dyDescent="0.25"/>
    <row r="1738" s="458" customFormat="1" ht="18" x14ac:dyDescent="0.25"/>
    <row r="1739" s="458" customFormat="1" ht="18" x14ac:dyDescent="0.25"/>
    <row r="1740" s="458" customFormat="1" ht="18" x14ac:dyDescent="0.25"/>
    <row r="1741" s="458" customFormat="1" ht="18" x14ac:dyDescent="0.25"/>
    <row r="1742" s="458" customFormat="1" ht="18" x14ac:dyDescent="0.25"/>
    <row r="1743" s="458" customFormat="1" ht="18" x14ac:dyDescent="0.25"/>
    <row r="1744" s="458" customFormat="1" ht="18" x14ac:dyDescent="0.25"/>
    <row r="1745" s="458" customFormat="1" ht="18" x14ac:dyDescent="0.25"/>
    <row r="1746" s="458" customFormat="1" ht="18" x14ac:dyDescent="0.25"/>
    <row r="1747" s="458" customFormat="1" ht="18" x14ac:dyDescent="0.25"/>
    <row r="1748" s="458" customFormat="1" ht="18" x14ac:dyDescent="0.25"/>
    <row r="1749" s="458" customFormat="1" ht="18" x14ac:dyDescent="0.25"/>
    <row r="1750" s="458" customFormat="1" ht="18" x14ac:dyDescent="0.25"/>
    <row r="1751" s="458" customFormat="1" ht="18" x14ac:dyDescent="0.25"/>
    <row r="1752" s="458" customFormat="1" ht="18" x14ac:dyDescent="0.25"/>
    <row r="1753" s="458" customFormat="1" ht="18" x14ac:dyDescent="0.25"/>
    <row r="1754" s="458" customFormat="1" ht="18" x14ac:dyDescent="0.25"/>
    <row r="1755" s="458" customFormat="1" ht="18" x14ac:dyDescent="0.25"/>
    <row r="1756" s="458" customFormat="1" ht="18" x14ac:dyDescent="0.25"/>
    <row r="1757" s="458" customFormat="1" ht="18" x14ac:dyDescent="0.25"/>
    <row r="1758" s="458" customFormat="1" ht="18" x14ac:dyDescent="0.25"/>
    <row r="1759" s="458" customFormat="1" ht="18" x14ac:dyDescent="0.25"/>
    <row r="1760" s="458" customFormat="1" ht="18" x14ac:dyDescent="0.25"/>
    <row r="1761" s="458" customFormat="1" ht="18" x14ac:dyDescent="0.25"/>
    <row r="1762" s="458" customFormat="1" ht="18" x14ac:dyDescent="0.25"/>
    <row r="1763" s="458" customFormat="1" ht="18" x14ac:dyDescent="0.25"/>
    <row r="1764" s="458" customFormat="1" ht="18" x14ac:dyDescent="0.25"/>
    <row r="1765" s="458" customFormat="1" ht="18" x14ac:dyDescent="0.25"/>
    <row r="1766" s="458" customFormat="1" ht="18" x14ac:dyDescent="0.25"/>
    <row r="1767" s="458" customFormat="1" ht="18" x14ac:dyDescent="0.25"/>
    <row r="1768" s="458" customFormat="1" ht="18" x14ac:dyDescent="0.25"/>
    <row r="1769" s="458" customFormat="1" ht="18" x14ac:dyDescent="0.25"/>
    <row r="1770" s="458" customFormat="1" ht="18" x14ac:dyDescent="0.25"/>
    <row r="1771" s="458" customFormat="1" ht="18" x14ac:dyDescent="0.25"/>
    <row r="1772" s="458" customFormat="1" ht="18" x14ac:dyDescent="0.25"/>
    <row r="1773" s="458" customFormat="1" ht="18" x14ac:dyDescent="0.25"/>
    <row r="1774" s="458" customFormat="1" ht="18" x14ac:dyDescent="0.25"/>
    <row r="1775" s="458" customFormat="1" ht="18" x14ac:dyDescent="0.25"/>
    <row r="1776" s="458" customFormat="1" ht="18" x14ac:dyDescent="0.25"/>
    <row r="1777" s="458" customFormat="1" ht="18" x14ac:dyDescent="0.25"/>
    <row r="1778" s="458" customFormat="1" ht="18" x14ac:dyDescent="0.25"/>
    <row r="1779" s="458" customFormat="1" ht="18" x14ac:dyDescent="0.25"/>
    <row r="1780" s="458" customFormat="1" ht="18" x14ac:dyDescent="0.25"/>
    <row r="1781" s="458" customFormat="1" ht="18" x14ac:dyDescent="0.25"/>
    <row r="1782" s="458" customFormat="1" ht="18" x14ac:dyDescent="0.25"/>
    <row r="1783" s="458" customFormat="1" ht="18" x14ac:dyDescent="0.25"/>
    <row r="1784" s="458" customFormat="1" ht="18" x14ac:dyDescent="0.25"/>
    <row r="1785" s="458" customFormat="1" ht="18" x14ac:dyDescent="0.25"/>
    <row r="1786" s="458" customFormat="1" ht="18" x14ac:dyDescent="0.25"/>
    <row r="1787" s="458" customFormat="1" ht="18" x14ac:dyDescent="0.25"/>
    <row r="1788" s="458" customFormat="1" ht="18" x14ac:dyDescent="0.25"/>
    <row r="1789" s="458" customFormat="1" ht="18" x14ac:dyDescent="0.25"/>
    <row r="1790" s="458" customFormat="1" ht="18" x14ac:dyDescent="0.25"/>
    <row r="1791" s="458" customFormat="1" ht="18" x14ac:dyDescent="0.25"/>
    <row r="1792" s="458" customFormat="1" ht="18" x14ac:dyDescent="0.25"/>
    <row r="1793" s="458" customFormat="1" ht="18" x14ac:dyDescent="0.25"/>
    <row r="1794" s="458" customFormat="1" ht="18" x14ac:dyDescent="0.25"/>
    <row r="1795" s="458" customFormat="1" ht="18" x14ac:dyDescent="0.25"/>
    <row r="1796" s="458" customFormat="1" ht="18" x14ac:dyDescent="0.25"/>
    <row r="1797" s="458" customFormat="1" ht="18" x14ac:dyDescent="0.25"/>
    <row r="1798" s="458" customFormat="1" ht="18" x14ac:dyDescent="0.25"/>
    <row r="1799" s="458" customFormat="1" ht="18" x14ac:dyDescent="0.25"/>
    <row r="1800" s="458" customFormat="1" ht="18" x14ac:dyDescent="0.25"/>
    <row r="1801" s="458" customFormat="1" ht="18" x14ac:dyDescent="0.25"/>
    <row r="1802" s="458" customFormat="1" ht="18" x14ac:dyDescent="0.25"/>
    <row r="1803" s="458" customFormat="1" ht="18" x14ac:dyDescent="0.25"/>
    <row r="1804" s="458" customFormat="1" ht="18" x14ac:dyDescent="0.25"/>
    <row r="1805" s="458" customFormat="1" ht="18" x14ac:dyDescent="0.25"/>
    <row r="1806" s="458" customFormat="1" ht="18" x14ac:dyDescent="0.25"/>
    <row r="1807" s="458" customFormat="1" ht="18" x14ac:dyDescent="0.25"/>
    <row r="1808" s="458" customFormat="1" ht="18" x14ac:dyDescent="0.25"/>
    <row r="1809" s="458" customFormat="1" ht="18" x14ac:dyDescent="0.25"/>
    <row r="1810" s="458" customFormat="1" ht="18" x14ac:dyDescent="0.25"/>
    <row r="1811" s="458" customFormat="1" ht="18" x14ac:dyDescent="0.25"/>
    <row r="1812" s="458" customFormat="1" ht="18" x14ac:dyDescent="0.25"/>
    <row r="1813" s="458" customFormat="1" ht="18" x14ac:dyDescent="0.25"/>
    <row r="1814" s="458" customFormat="1" ht="18" x14ac:dyDescent="0.25"/>
    <row r="1815" s="458" customFormat="1" ht="18" x14ac:dyDescent="0.25"/>
    <row r="1816" s="458" customFormat="1" ht="18" x14ac:dyDescent="0.25"/>
    <row r="1817" s="458" customFormat="1" ht="18" x14ac:dyDescent="0.25"/>
    <row r="1818" s="458" customFormat="1" ht="18" x14ac:dyDescent="0.25"/>
    <row r="1819" s="458" customFormat="1" ht="18" x14ac:dyDescent="0.25"/>
    <row r="1820" s="458" customFormat="1" ht="18" x14ac:dyDescent="0.25"/>
    <row r="1821" s="458" customFormat="1" ht="18" x14ac:dyDescent="0.25"/>
    <row r="1822" s="458" customFormat="1" ht="18" x14ac:dyDescent="0.25"/>
    <row r="1823" s="458" customFormat="1" ht="18" x14ac:dyDescent="0.25"/>
    <row r="1824" s="458" customFormat="1" ht="18" x14ac:dyDescent="0.25"/>
    <row r="1825" s="458" customFormat="1" ht="18" x14ac:dyDescent="0.25"/>
    <row r="1826" s="458" customFormat="1" ht="18" x14ac:dyDescent="0.25"/>
    <row r="1827" s="458" customFormat="1" ht="18" x14ac:dyDescent="0.25"/>
    <row r="1828" s="458" customFormat="1" ht="18" x14ac:dyDescent="0.25"/>
    <row r="1829" s="458" customFormat="1" ht="18" x14ac:dyDescent="0.25"/>
    <row r="1830" s="458" customFormat="1" ht="18" x14ac:dyDescent="0.25"/>
    <row r="1831" s="458" customFormat="1" ht="18" x14ac:dyDescent="0.25"/>
    <row r="1832" s="458" customFormat="1" ht="18" x14ac:dyDescent="0.25"/>
    <row r="1833" s="458" customFormat="1" ht="18" x14ac:dyDescent="0.25"/>
    <row r="1834" s="458" customFormat="1" ht="18" x14ac:dyDescent="0.25"/>
    <row r="1835" s="458" customFormat="1" ht="18" x14ac:dyDescent="0.25"/>
    <row r="1836" s="458" customFormat="1" ht="18" x14ac:dyDescent="0.25"/>
    <row r="1837" s="458" customFormat="1" ht="18" x14ac:dyDescent="0.25"/>
    <row r="1838" s="458" customFormat="1" ht="18" x14ac:dyDescent="0.25"/>
    <row r="1839" s="458" customFormat="1" ht="18" x14ac:dyDescent="0.25"/>
    <row r="1840" s="458" customFormat="1" ht="18" x14ac:dyDescent="0.25"/>
    <row r="1841" s="458" customFormat="1" ht="18" x14ac:dyDescent="0.25"/>
    <row r="1842" s="458" customFormat="1" ht="18" x14ac:dyDescent="0.25"/>
    <row r="1843" s="458" customFormat="1" ht="18" x14ac:dyDescent="0.25"/>
    <row r="1844" s="458" customFormat="1" ht="18" x14ac:dyDescent="0.25"/>
    <row r="1845" s="458" customFormat="1" ht="18" x14ac:dyDescent="0.25"/>
    <row r="1846" s="458" customFormat="1" ht="18" x14ac:dyDescent="0.25"/>
    <row r="1847" s="458" customFormat="1" ht="18" x14ac:dyDescent="0.25"/>
    <row r="1848" s="458" customFormat="1" ht="18" x14ac:dyDescent="0.25"/>
    <row r="1849" s="458" customFormat="1" ht="18" x14ac:dyDescent="0.25"/>
    <row r="1850" s="458" customFormat="1" ht="18" x14ac:dyDescent="0.25"/>
    <row r="1851" s="458" customFormat="1" ht="18" x14ac:dyDescent="0.25"/>
    <row r="1852" s="458" customFormat="1" ht="18" x14ac:dyDescent="0.25"/>
    <row r="1853" s="458" customFormat="1" ht="18" x14ac:dyDescent="0.25"/>
    <row r="1854" s="458" customFormat="1" ht="18" x14ac:dyDescent="0.25"/>
    <row r="1855" s="458" customFormat="1" ht="18" x14ac:dyDescent="0.25"/>
    <row r="1856" s="458" customFormat="1" ht="18" x14ac:dyDescent="0.25"/>
    <row r="1857" s="458" customFormat="1" ht="18" x14ac:dyDescent="0.25"/>
    <row r="1858" s="458" customFormat="1" ht="18" x14ac:dyDescent="0.25"/>
    <row r="1859" s="458" customFormat="1" ht="18" x14ac:dyDescent="0.25"/>
    <row r="1860" s="458" customFormat="1" ht="18" x14ac:dyDescent="0.25"/>
    <row r="1861" s="458" customFormat="1" ht="18" x14ac:dyDescent="0.25"/>
    <row r="1862" s="458" customFormat="1" ht="18" x14ac:dyDescent="0.25"/>
    <row r="1863" s="458" customFormat="1" ht="18" x14ac:dyDescent="0.25"/>
    <row r="1864" s="458" customFormat="1" ht="18" x14ac:dyDescent="0.25"/>
    <row r="1865" s="458" customFormat="1" ht="18" x14ac:dyDescent="0.25"/>
    <row r="1866" s="458" customFormat="1" ht="18" x14ac:dyDescent="0.25"/>
    <row r="1867" s="458" customFormat="1" ht="18" x14ac:dyDescent="0.25"/>
    <row r="1868" s="458" customFormat="1" ht="18" x14ac:dyDescent="0.25"/>
    <row r="1869" s="458" customFormat="1" ht="18" x14ac:dyDescent="0.25"/>
    <row r="1870" s="458" customFormat="1" ht="18" x14ac:dyDescent="0.25"/>
    <row r="1871" s="458" customFormat="1" ht="18" x14ac:dyDescent="0.25"/>
    <row r="1872" s="458" customFormat="1" ht="18" x14ac:dyDescent="0.25"/>
    <row r="1873" s="458" customFormat="1" ht="18" x14ac:dyDescent="0.25"/>
    <row r="1874" s="458" customFormat="1" ht="18" x14ac:dyDescent="0.25"/>
    <row r="1875" s="458" customFormat="1" ht="18" x14ac:dyDescent="0.25"/>
    <row r="1876" s="458" customFormat="1" ht="18" x14ac:dyDescent="0.25"/>
    <row r="1877" s="458" customFormat="1" ht="18" x14ac:dyDescent="0.25"/>
    <row r="1878" s="458" customFormat="1" ht="18" x14ac:dyDescent="0.25"/>
    <row r="1879" s="458" customFormat="1" ht="18" x14ac:dyDescent="0.25"/>
    <row r="1880" s="458" customFormat="1" ht="18" x14ac:dyDescent="0.25"/>
    <row r="1881" s="458" customFormat="1" ht="18" x14ac:dyDescent="0.25"/>
    <row r="1882" s="458" customFormat="1" ht="18" x14ac:dyDescent="0.25"/>
    <row r="1883" s="458" customFormat="1" ht="18" x14ac:dyDescent="0.25"/>
    <row r="1884" s="458" customFormat="1" ht="18" x14ac:dyDescent="0.25"/>
    <row r="1885" s="458" customFormat="1" ht="18" x14ac:dyDescent="0.25"/>
    <row r="1886" s="458" customFormat="1" ht="18" x14ac:dyDescent="0.25"/>
    <row r="1887" s="458" customFormat="1" ht="18" x14ac:dyDescent="0.25"/>
    <row r="1888" s="458" customFormat="1" ht="18" x14ac:dyDescent="0.25"/>
    <row r="1889" s="458" customFormat="1" ht="18" x14ac:dyDescent="0.25"/>
    <row r="1890" s="458" customFormat="1" ht="18" x14ac:dyDescent="0.25"/>
    <row r="1891" s="458" customFormat="1" ht="18" x14ac:dyDescent="0.25"/>
    <row r="1892" s="458" customFormat="1" ht="18" x14ac:dyDescent="0.25"/>
    <row r="1893" s="458" customFormat="1" ht="18" x14ac:dyDescent="0.25"/>
    <row r="1894" s="458" customFormat="1" ht="18" x14ac:dyDescent="0.25"/>
    <row r="1895" s="458" customFormat="1" ht="18" x14ac:dyDescent="0.25"/>
    <row r="1896" s="458" customFormat="1" ht="18" x14ac:dyDescent="0.25"/>
    <row r="1897" s="458" customFormat="1" ht="18" x14ac:dyDescent="0.25"/>
    <row r="1898" s="458" customFormat="1" ht="18" x14ac:dyDescent="0.25"/>
    <row r="1899" s="458" customFormat="1" ht="18" x14ac:dyDescent="0.25"/>
    <row r="1900" s="458" customFormat="1" ht="18" x14ac:dyDescent="0.25"/>
    <row r="1901" s="458" customFormat="1" ht="18" x14ac:dyDescent="0.25"/>
    <row r="1902" s="458" customFormat="1" ht="18" x14ac:dyDescent="0.25"/>
    <row r="1903" s="458" customFormat="1" ht="18" x14ac:dyDescent="0.25"/>
    <row r="1904" s="458" customFormat="1" ht="18" x14ac:dyDescent="0.25"/>
    <row r="1905" s="458" customFormat="1" ht="18" x14ac:dyDescent="0.25"/>
    <row r="1906" s="458" customFormat="1" ht="18" x14ac:dyDescent="0.25"/>
    <row r="1907" s="458" customFormat="1" ht="18" x14ac:dyDescent="0.25"/>
    <row r="1908" s="458" customFormat="1" ht="18" x14ac:dyDescent="0.25"/>
    <row r="1909" s="458" customFormat="1" ht="18" x14ac:dyDescent="0.25"/>
    <row r="1910" s="458" customFormat="1" ht="18" x14ac:dyDescent="0.25"/>
    <row r="1911" s="458" customFormat="1" ht="18" x14ac:dyDescent="0.25"/>
    <row r="1912" s="458" customFormat="1" ht="18" x14ac:dyDescent="0.25"/>
    <row r="1913" s="458" customFormat="1" ht="18" x14ac:dyDescent="0.25"/>
    <row r="1914" s="458" customFormat="1" ht="18" x14ac:dyDescent="0.25"/>
    <row r="1915" s="458" customFormat="1" ht="18" x14ac:dyDescent="0.25"/>
    <row r="1916" s="458" customFormat="1" ht="18" x14ac:dyDescent="0.25"/>
    <row r="1917" s="458" customFormat="1" ht="18" x14ac:dyDescent="0.25"/>
    <row r="1918" s="458" customFormat="1" ht="18" x14ac:dyDescent="0.25"/>
    <row r="1919" s="458" customFormat="1" ht="18" x14ac:dyDescent="0.25"/>
    <row r="1920" s="458" customFormat="1" ht="18" x14ac:dyDescent="0.25"/>
    <row r="1921" s="458" customFormat="1" ht="18" x14ac:dyDescent="0.25"/>
    <row r="1922" s="458" customFormat="1" ht="18" x14ac:dyDescent="0.25"/>
    <row r="1923" s="458" customFormat="1" ht="18" x14ac:dyDescent="0.25"/>
    <row r="1924" s="458" customFormat="1" ht="18" x14ac:dyDescent="0.25"/>
    <row r="1925" s="458" customFormat="1" ht="18" x14ac:dyDescent="0.25"/>
    <row r="1926" s="458" customFormat="1" ht="18" x14ac:dyDescent="0.25"/>
    <row r="1927" s="458" customFormat="1" ht="18" x14ac:dyDescent="0.25"/>
    <row r="1928" s="458" customFormat="1" ht="18" x14ac:dyDescent="0.25"/>
    <row r="1929" s="458" customFormat="1" ht="18" x14ac:dyDescent="0.25"/>
    <row r="1930" s="458" customFormat="1" ht="18" x14ac:dyDescent="0.25"/>
    <row r="1931" s="458" customFormat="1" ht="18" x14ac:dyDescent="0.25"/>
    <row r="1932" s="458" customFormat="1" ht="18" x14ac:dyDescent="0.25"/>
    <row r="1933" s="458" customFormat="1" ht="18" x14ac:dyDescent="0.25"/>
    <row r="1934" s="458" customFormat="1" ht="18" x14ac:dyDescent="0.25"/>
    <row r="1935" s="458" customFormat="1" ht="18" x14ac:dyDescent="0.25"/>
    <row r="1936" s="458" customFormat="1" ht="18" x14ac:dyDescent="0.25"/>
    <row r="1937" s="458" customFormat="1" ht="18" x14ac:dyDescent="0.25"/>
    <row r="1938" s="458" customFormat="1" ht="18" x14ac:dyDescent="0.25"/>
    <row r="1939" s="458" customFormat="1" ht="18" x14ac:dyDescent="0.25"/>
    <row r="1940" s="458" customFormat="1" ht="18" x14ac:dyDescent="0.25"/>
    <row r="1941" s="458" customFormat="1" ht="18" x14ac:dyDescent="0.25"/>
    <row r="1942" s="458" customFormat="1" ht="18" x14ac:dyDescent="0.25"/>
    <row r="1943" s="458" customFormat="1" ht="18" x14ac:dyDescent="0.25"/>
    <row r="1944" s="458" customFormat="1" ht="18" x14ac:dyDescent="0.25"/>
    <row r="1945" s="458" customFormat="1" ht="18" x14ac:dyDescent="0.25"/>
    <row r="1946" s="458" customFormat="1" ht="18" x14ac:dyDescent="0.25"/>
    <row r="1947" s="458" customFormat="1" ht="18" x14ac:dyDescent="0.25"/>
    <row r="1948" s="458" customFormat="1" ht="18" x14ac:dyDescent="0.25"/>
    <row r="1949" s="458" customFormat="1" ht="18" x14ac:dyDescent="0.25"/>
    <row r="1950" s="458" customFormat="1" ht="18" x14ac:dyDescent="0.25"/>
    <row r="1951" s="458" customFormat="1" ht="18" x14ac:dyDescent="0.25"/>
    <row r="1952" s="458" customFormat="1" ht="18" x14ac:dyDescent="0.25"/>
    <row r="1953" s="458" customFormat="1" ht="18" x14ac:dyDescent="0.25"/>
    <row r="1954" s="458" customFormat="1" ht="18" x14ac:dyDescent="0.25"/>
    <row r="1955" s="458" customFormat="1" ht="18" x14ac:dyDescent="0.25"/>
    <row r="1956" s="458" customFormat="1" ht="18" x14ac:dyDescent="0.25"/>
    <row r="1957" s="458" customFormat="1" ht="18" x14ac:dyDescent="0.25"/>
    <row r="1958" s="458" customFormat="1" ht="18" x14ac:dyDescent="0.25"/>
    <row r="1959" s="458" customFormat="1" ht="18" x14ac:dyDescent="0.25"/>
    <row r="1960" s="458" customFormat="1" ht="18" x14ac:dyDescent="0.25"/>
    <row r="1961" s="458" customFormat="1" ht="18" x14ac:dyDescent="0.25"/>
    <row r="1962" s="458" customFormat="1" ht="18" x14ac:dyDescent="0.25"/>
    <row r="1963" s="458" customFormat="1" ht="18" x14ac:dyDescent="0.25"/>
    <row r="1964" s="458" customFormat="1" ht="18" x14ac:dyDescent="0.25"/>
    <row r="1965" s="458" customFormat="1" ht="18" x14ac:dyDescent="0.25"/>
    <row r="1966" s="458" customFormat="1" ht="18" x14ac:dyDescent="0.25"/>
    <row r="1967" s="458" customFormat="1" ht="18" x14ac:dyDescent="0.25"/>
    <row r="1968" s="458" customFormat="1" ht="18" x14ac:dyDescent="0.25"/>
    <row r="1969" s="458" customFormat="1" ht="18" x14ac:dyDescent="0.25"/>
    <row r="1970" s="458" customFormat="1" ht="18" x14ac:dyDescent="0.25"/>
    <row r="1971" s="458" customFormat="1" ht="18" x14ac:dyDescent="0.25"/>
    <row r="1972" s="458" customFormat="1" ht="18" x14ac:dyDescent="0.25"/>
    <row r="1973" s="458" customFormat="1" ht="18" x14ac:dyDescent="0.25"/>
    <row r="1974" s="458" customFormat="1" ht="18" x14ac:dyDescent="0.25"/>
    <row r="1975" s="458" customFormat="1" ht="18" x14ac:dyDescent="0.25"/>
    <row r="1976" s="458" customFormat="1" ht="18" x14ac:dyDescent="0.25"/>
    <row r="1977" s="458" customFormat="1" ht="18" x14ac:dyDescent="0.25"/>
    <row r="1978" s="458" customFormat="1" ht="18" x14ac:dyDescent="0.25"/>
    <row r="1979" s="458" customFormat="1" ht="18" x14ac:dyDescent="0.25"/>
    <row r="1980" s="458" customFormat="1" ht="18" x14ac:dyDescent="0.25"/>
    <row r="1981" s="458" customFormat="1" ht="18" x14ac:dyDescent="0.25"/>
    <row r="1982" s="458" customFormat="1" ht="18" x14ac:dyDescent="0.25"/>
    <row r="1983" s="458" customFormat="1" ht="18" x14ac:dyDescent="0.25"/>
    <row r="1984" s="458" customFormat="1" ht="18" x14ac:dyDescent="0.25"/>
    <row r="1985" s="458" customFormat="1" ht="18" x14ac:dyDescent="0.25"/>
    <row r="1986" s="458" customFormat="1" ht="18" x14ac:dyDescent="0.25"/>
    <row r="1987" s="458" customFormat="1" ht="18" x14ac:dyDescent="0.25"/>
    <row r="1988" s="458" customFormat="1" ht="18" x14ac:dyDescent="0.25"/>
    <row r="1989" s="458" customFormat="1" ht="18" x14ac:dyDescent="0.25"/>
    <row r="1990" s="458" customFormat="1" ht="18" x14ac:dyDescent="0.25"/>
    <row r="1991" s="458" customFormat="1" ht="18" x14ac:dyDescent="0.25"/>
    <row r="1992" s="458" customFormat="1" ht="18" x14ac:dyDescent="0.25"/>
    <row r="1993" s="458" customFormat="1" ht="18" x14ac:dyDescent="0.25"/>
    <row r="1994" s="458" customFormat="1" ht="18" x14ac:dyDescent="0.25"/>
    <row r="1995" s="458" customFormat="1" ht="18" x14ac:dyDescent="0.25"/>
    <row r="1996" s="458" customFormat="1" ht="18" x14ac:dyDescent="0.25"/>
    <row r="1997" s="458" customFormat="1" ht="18" x14ac:dyDescent="0.25"/>
    <row r="1998" s="458" customFormat="1" ht="18" x14ac:dyDescent="0.25"/>
    <row r="1999" s="458" customFormat="1" ht="18" x14ac:dyDescent="0.25"/>
    <row r="2000" s="458" customFormat="1" ht="18" x14ac:dyDescent="0.25"/>
    <row r="2001" s="458" customFormat="1" ht="18" x14ac:dyDescent="0.25"/>
    <row r="2002" s="458" customFormat="1" ht="18" x14ac:dyDescent="0.25"/>
    <row r="2003" s="458" customFormat="1" ht="18" x14ac:dyDescent="0.25"/>
    <row r="2004" s="458" customFormat="1" ht="18" x14ac:dyDescent="0.25"/>
    <row r="2005" s="458" customFormat="1" ht="18" x14ac:dyDescent="0.25"/>
    <row r="2006" s="458" customFormat="1" ht="18" x14ac:dyDescent="0.25"/>
    <row r="2007" s="458" customFormat="1" ht="18" x14ac:dyDescent="0.25"/>
    <row r="2008" s="458" customFormat="1" ht="18" x14ac:dyDescent="0.25"/>
    <row r="2009" s="458" customFormat="1" ht="18" x14ac:dyDescent="0.25"/>
    <row r="2010" s="458" customFormat="1" ht="18" x14ac:dyDescent="0.25"/>
    <row r="2011" s="458" customFormat="1" ht="18" x14ac:dyDescent="0.25"/>
    <row r="2012" s="458" customFormat="1" ht="18" x14ac:dyDescent="0.25"/>
    <row r="2013" s="458" customFormat="1" ht="18" x14ac:dyDescent="0.25"/>
    <row r="2014" s="458" customFormat="1" ht="18" x14ac:dyDescent="0.25"/>
    <row r="2015" s="458" customFormat="1" ht="18" x14ac:dyDescent="0.25"/>
    <row r="2016" s="458" customFormat="1" ht="18" x14ac:dyDescent="0.25"/>
    <row r="2017" s="458" customFormat="1" ht="18" x14ac:dyDescent="0.25"/>
    <row r="2018" s="458" customFormat="1" ht="18" x14ac:dyDescent="0.25"/>
    <row r="2019" s="458" customFormat="1" ht="18" x14ac:dyDescent="0.25"/>
    <row r="2020" s="458" customFormat="1" ht="18" x14ac:dyDescent="0.25"/>
    <row r="2021" s="458" customFormat="1" ht="18" x14ac:dyDescent="0.25"/>
    <row r="2022" s="458" customFormat="1" ht="18" x14ac:dyDescent="0.25"/>
    <row r="2023" s="458" customFormat="1" ht="18" x14ac:dyDescent="0.25"/>
    <row r="2024" s="458" customFormat="1" ht="18" x14ac:dyDescent="0.25"/>
    <row r="2025" s="458" customFormat="1" ht="18" x14ac:dyDescent="0.25"/>
    <row r="2026" s="458" customFormat="1" ht="18" x14ac:dyDescent="0.25"/>
    <row r="2027" s="458" customFormat="1" ht="18" x14ac:dyDescent="0.25"/>
    <row r="2028" s="458" customFormat="1" ht="18" x14ac:dyDescent="0.25"/>
    <row r="2029" s="458" customFormat="1" ht="18" x14ac:dyDescent="0.25"/>
    <row r="2030" s="458" customFormat="1" ht="18" x14ac:dyDescent="0.25"/>
    <row r="2031" s="458" customFormat="1" ht="18" x14ac:dyDescent="0.25"/>
    <row r="2032" s="458" customFormat="1" ht="18" x14ac:dyDescent="0.25"/>
    <row r="2033" s="458" customFormat="1" ht="18" x14ac:dyDescent="0.25"/>
    <row r="2034" s="458" customFormat="1" ht="18" x14ac:dyDescent="0.25"/>
    <row r="2035" s="458" customFormat="1" ht="18" x14ac:dyDescent="0.25"/>
    <row r="2036" s="458" customFormat="1" ht="18" x14ac:dyDescent="0.25"/>
    <row r="2037" s="458" customFormat="1" ht="18" x14ac:dyDescent="0.25"/>
    <row r="2038" s="458" customFormat="1" ht="18" x14ac:dyDescent="0.25"/>
    <row r="2039" s="458" customFormat="1" ht="18" x14ac:dyDescent="0.25"/>
    <row r="2040" s="458" customFormat="1" ht="18" x14ac:dyDescent="0.25"/>
    <row r="2041" s="458" customFormat="1" ht="18" x14ac:dyDescent="0.25"/>
    <row r="2042" s="458" customFormat="1" ht="18" x14ac:dyDescent="0.25"/>
    <row r="2043" s="458" customFormat="1" ht="18" x14ac:dyDescent="0.25"/>
    <row r="2044" s="458" customFormat="1" ht="18" x14ac:dyDescent="0.25"/>
    <row r="2045" s="458" customFormat="1" ht="18" x14ac:dyDescent="0.25"/>
    <row r="2046" s="458" customFormat="1" ht="18" x14ac:dyDescent="0.25"/>
    <row r="2047" s="458" customFormat="1" ht="18" x14ac:dyDescent="0.25"/>
    <row r="2048" s="458" customFormat="1" ht="18" x14ac:dyDescent="0.25"/>
    <row r="2049" s="458" customFormat="1" ht="18" x14ac:dyDescent="0.25"/>
    <row r="2050" s="458" customFormat="1" ht="18" x14ac:dyDescent="0.25"/>
    <row r="2051" s="458" customFormat="1" ht="18" x14ac:dyDescent="0.25"/>
    <row r="2052" s="458" customFormat="1" ht="18" x14ac:dyDescent="0.25"/>
    <row r="2053" s="458" customFormat="1" ht="18" x14ac:dyDescent="0.25"/>
    <row r="2054" s="458" customFormat="1" ht="18" x14ac:dyDescent="0.25"/>
    <row r="2055" s="458" customFormat="1" ht="18" x14ac:dyDescent="0.25"/>
    <row r="2056" s="458" customFormat="1" ht="18" x14ac:dyDescent="0.25"/>
    <row r="2057" s="458" customFormat="1" ht="18" x14ac:dyDescent="0.25"/>
    <row r="2058" s="458" customFormat="1" ht="18" x14ac:dyDescent="0.25"/>
    <row r="2059" s="458" customFormat="1" ht="18" x14ac:dyDescent="0.25"/>
    <row r="2060" s="458" customFormat="1" ht="18" x14ac:dyDescent="0.25"/>
    <row r="2061" s="458" customFormat="1" ht="18" x14ac:dyDescent="0.25"/>
    <row r="2062" s="458" customFormat="1" ht="18" x14ac:dyDescent="0.25"/>
    <row r="2063" s="458" customFormat="1" ht="18" x14ac:dyDescent="0.25"/>
    <row r="2064" s="458" customFormat="1" ht="18" x14ac:dyDescent="0.25"/>
    <row r="2065" s="458" customFormat="1" ht="18" x14ac:dyDescent="0.25"/>
    <row r="2066" s="458" customFormat="1" ht="18" x14ac:dyDescent="0.25"/>
    <row r="2067" s="458" customFormat="1" ht="18" x14ac:dyDescent="0.25"/>
    <row r="2068" s="458" customFormat="1" ht="18" x14ac:dyDescent="0.25"/>
    <row r="2069" s="458" customFormat="1" ht="18" x14ac:dyDescent="0.25"/>
    <row r="2070" s="458" customFormat="1" ht="18" x14ac:dyDescent="0.25"/>
    <row r="2071" s="458" customFormat="1" ht="18" x14ac:dyDescent="0.25"/>
    <row r="2072" s="458" customFormat="1" ht="18" x14ac:dyDescent="0.25"/>
    <row r="2073" s="458" customFormat="1" ht="18" x14ac:dyDescent="0.25"/>
    <row r="2074" s="458" customFormat="1" ht="18" x14ac:dyDescent="0.25"/>
    <row r="2075" s="458" customFormat="1" ht="18" x14ac:dyDescent="0.25"/>
    <row r="2076" s="458" customFormat="1" ht="18" x14ac:dyDescent="0.25"/>
    <row r="2077" s="458" customFormat="1" ht="18" x14ac:dyDescent="0.25"/>
    <row r="2078" s="458" customFormat="1" ht="18" x14ac:dyDescent="0.25"/>
    <row r="2079" s="458" customFormat="1" ht="18" x14ac:dyDescent="0.25"/>
    <row r="2080" s="458" customFormat="1" ht="18" x14ac:dyDescent="0.25"/>
    <row r="2081" s="458" customFormat="1" ht="18" x14ac:dyDescent="0.25"/>
    <row r="2082" s="458" customFormat="1" ht="18" x14ac:dyDescent="0.25"/>
    <row r="2083" s="458" customFormat="1" ht="18" x14ac:dyDescent="0.25"/>
    <row r="2084" s="458" customFormat="1" ht="18" x14ac:dyDescent="0.25"/>
    <row r="2085" s="458" customFormat="1" ht="18" x14ac:dyDescent="0.25"/>
    <row r="2086" s="458" customFormat="1" ht="18" x14ac:dyDescent="0.25"/>
    <row r="2087" s="458" customFormat="1" ht="18" x14ac:dyDescent="0.25"/>
    <row r="2088" s="458" customFormat="1" ht="18" x14ac:dyDescent="0.25"/>
    <row r="2089" s="458" customFormat="1" ht="18" x14ac:dyDescent="0.25"/>
    <row r="2090" s="458" customFormat="1" ht="18" x14ac:dyDescent="0.25"/>
    <row r="2091" s="458" customFormat="1" ht="18" x14ac:dyDescent="0.25"/>
    <row r="2092" s="458" customFormat="1" ht="18" x14ac:dyDescent="0.25"/>
    <row r="2093" s="458" customFormat="1" ht="18" x14ac:dyDescent="0.25"/>
    <row r="2094" s="458" customFormat="1" ht="18" x14ac:dyDescent="0.25"/>
    <row r="2095" s="458" customFormat="1" ht="18" x14ac:dyDescent="0.25"/>
    <row r="2096" s="458" customFormat="1" ht="18" x14ac:dyDescent="0.25"/>
    <row r="2097" s="458" customFormat="1" ht="18" x14ac:dyDescent="0.25"/>
    <row r="2098" s="458" customFormat="1" ht="18" x14ac:dyDescent="0.25"/>
    <row r="2099" s="458" customFormat="1" ht="18" x14ac:dyDescent="0.25"/>
    <row r="2100" s="458" customFormat="1" ht="18" x14ac:dyDescent="0.25"/>
    <row r="2101" s="458" customFormat="1" ht="18" x14ac:dyDescent="0.25"/>
    <row r="2102" s="458" customFormat="1" ht="18" x14ac:dyDescent="0.25"/>
    <row r="2103" s="458" customFormat="1" ht="18" x14ac:dyDescent="0.25"/>
    <row r="2104" s="458" customFormat="1" ht="18" x14ac:dyDescent="0.25"/>
    <row r="2105" s="458" customFormat="1" ht="18" x14ac:dyDescent="0.25"/>
    <row r="2106" s="458" customFormat="1" ht="18" x14ac:dyDescent="0.25"/>
    <row r="2107" s="458" customFormat="1" ht="18" x14ac:dyDescent="0.25"/>
    <row r="2108" s="458" customFormat="1" ht="18" x14ac:dyDescent="0.25"/>
    <row r="2109" s="458" customFormat="1" ht="18" x14ac:dyDescent="0.25"/>
    <row r="2110" s="458" customFormat="1" ht="18" x14ac:dyDescent="0.25"/>
    <row r="2111" s="458" customFormat="1" ht="18" x14ac:dyDescent="0.25"/>
    <row r="2112" s="458" customFormat="1" ht="18" x14ac:dyDescent="0.25"/>
    <row r="2113" s="458" customFormat="1" ht="18" x14ac:dyDescent="0.25"/>
    <row r="2114" s="458" customFormat="1" ht="18" x14ac:dyDescent="0.25"/>
    <row r="2115" s="458" customFormat="1" ht="18" x14ac:dyDescent="0.25"/>
    <row r="2116" s="458" customFormat="1" ht="18" x14ac:dyDescent="0.25"/>
    <row r="2117" s="458" customFormat="1" ht="18" x14ac:dyDescent="0.25"/>
    <row r="2118" s="458" customFormat="1" ht="18" x14ac:dyDescent="0.25"/>
    <row r="2119" s="458" customFormat="1" ht="18" x14ac:dyDescent="0.25"/>
    <row r="2120" s="458" customFormat="1" ht="18" x14ac:dyDescent="0.25"/>
    <row r="2121" s="458" customFormat="1" ht="18" x14ac:dyDescent="0.25"/>
    <row r="2122" s="458" customFormat="1" ht="18" x14ac:dyDescent="0.25"/>
    <row r="2123" s="458" customFormat="1" ht="18" x14ac:dyDescent="0.25"/>
    <row r="2124" s="458" customFormat="1" ht="18" x14ac:dyDescent="0.25"/>
    <row r="2125" s="458" customFormat="1" ht="18" x14ac:dyDescent="0.25"/>
    <row r="2126" s="458" customFormat="1" ht="18" x14ac:dyDescent="0.25"/>
    <row r="2127" s="458" customFormat="1" ht="18" x14ac:dyDescent="0.25"/>
    <row r="2128" s="458" customFormat="1" ht="18" x14ac:dyDescent="0.25"/>
    <row r="2129" s="458" customFormat="1" ht="18" x14ac:dyDescent="0.25"/>
    <row r="2130" s="458" customFormat="1" ht="18" x14ac:dyDescent="0.25"/>
    <row r="2131" s="458" customFormat="1" ht="18" x14ac:dyDescent="0.25"/>
    <row r="2132" s="458" customFormat="1" ht="18" x14ac:dyDescent="0.25"/>
    <row r="2133" s="458" customFormat="1" ht="18" x14ac:dyDescent="0.25"/>
    <row r="2134" s="458" customFormat="1" ht="18" x14ac:dyDescent="0.25"/>
    <row r="2135" s="458" customFormat="1" ht="18" x14ac:dyDescent="0.25"/>
    <row r="2136" s="458" customFormat="1" ht="18" x14ac:dyDescent="0.25"/>
    <row r="2137" s="458" customFormat="1" ht="18" x14ac:dyDescent="0.25"/>
    <row r="2138" s="458" customFormat="1" ht="18" x14ac:dyDescent="0.25"/>
    <row r="2139" s="458" customFormat="1" ht="18" x14ac:dyDescent="0.25"/>
    <row r="2140" s="458" customFormat="1" ht="18" x14ac:dyDescent="0.25"/>
    <row r="2141" s="458" customFormat="1" ht="18" x14ac:dyDescent="0.25"/>
    <row r="2142" s="458" customFormat="1" ht="18" x14ac:dyDescent="0.25"/>
    <row r="2143" s="458" customFormat="1" ht="18" x14ac:dyDescent="0.25"/>
    <row r="2144" s="458" customFormat="1" ht="18" x14ac:dyDescent="0.25"/>
    <row r="2145" s="458" customFormat="1" ht="18" x14ac:dyDescent="0.25"/>
    <row r="2146" s="458" customFormat="1" ht="18" x14ac:dyDescent="0.25"/>
    <row r="2147" s="458" customFormat="1" ht="18" x14ac:dyDescent="0.25"/>
    <row r="2148" s="458" customFormat="1" ht="18" x14ac:dyDescent="0.25"/>
    <row r="2149" s="458" customFormat="1" ht="18" x14ac:dyDescent="0.25"/>
    <row r="2150" s="458" customFormat="1" ht="18" x14ac:dyDescent="0.25"/>
    <row r="2151" s="458" customFormat="1" ht="18" x14ac:dyDescent="0.25"/>
    <row r="2152" s="458" customFormat="1" ht="18" x14ac:dyDescent="0.25"/>
    <row r="2153" s="458" customFormat="1" ht="18" x14ac:dyDescent="0.25"/>
    <row r="2154" s="458" customFormat="1" ht="18" x14ac:dyDescent="0.25"/>
    <row r="2155" s="458" customFormat="1" ht="18" x14ac:dyDescent="0.25"/>
    <row r="2156" s="458" customFormat="1" ht="18" x14ac:dyDescent="0.25"/>
    <row r="2157" s="458" customFormat="1" ht="18" x14ac:dyDescent="0.25"/>
    <row r="2158" s="458" customFormat="1" ht="18" x14ac:dyDescent="0.25"/>
    <row r="2159" s="458" customFormat="1" ht="18" x14ac:dyDescent="0.25"/>
    <row r="2160" s="458" customFormat="1" ht="18" x14ac:dyDescent="0.25"/>
    <row r="2161" s="458" customFormat="1" ht="18" x14ac:dyDescent="0.25"/>
    <row r="2162" s="458" customFormat="1" ht="18" x14ac:dyDescent="0.25"/>
    <row r="2163" s="458" customFormat="1" ht="18" x14ac:dyDescent="0.25"/>
    <row r="2164" s="458" customFormat="1" ht="18" x14ac:dyDescent="0.25"/>
    <row r="2165" s="458" customFormat="1" ht="18" x14ac:dyDescent="0.25"/>
    <row r="2166" s="458" customFormat="1" ht="18" x14ac:dyDescent="0.25"/>
    <row r="2167" s="458" customFormat="1" ht="18" x14ac:dyDescent="0.25"/>
    <row r="2168" s="458" customFormat="1" ht="18" x14ac:dyDescent="0.25"/>
    <row r="2169" s="458" customFormat="1" ht="18" x14ac:dyDescent="0.25"/>
    <row r="2170" s="458" customFormat="1" ht="18" x14ac:dyDescent="0.25"/>
    <row r="2171" s="458" customFormat="1" ht="18" x14ac:dyDescent="0.25"/>
    <row r="2172" s="458" customFormat="1" ht="18" x14ac:dyDescent="0.25"/>
    <row r="2173" s="458" customFormat="1" ht="18" x14ac:dyDescent="0.25"/>
    <row r="2174" s="458" customFormat="1" ht="18" x14ac:dyDescent="0.25"/>
    <row r="2175" s="458" customFormat="1" ht="18" x14ac:dyDescent="0.25"/>
    <row r="2176" s="458" customFormat="1" ht="18" x14ac:dyDescent="0.25"/>
    <row r="2177" s="458" customFormat="1" ht="18" x14ac:dyDescent="0.25"/>
    <row r="2178" s="458" customFormat="1" ht="18" x14ac:dyDescent="0.25"/>
    <row r="2179" s="458" customFormat="1" ht="18" x14ac:dyDescent="0.25"/>
    <row r="2180" s="458" customFormat="1" ht="18" x14ac:dyDescent="0.25"/>
    <row r="2181" s="458" customFormat="1" ht="18" x14ac:dyDescent="0.25"/>
    <row r="2182" s="458" customFormat="1" ht="18" x14ac:dyDescent="0.25"/>
    <row r="2183" s="458" customFormat="1" ht="18" x14ac:dyDescent="0.25"/>
    <row r="2184" s="458" customFormat="1" ht="18" x14ac:dyDescent="0.25"/>
    <row r="2185" s="458" customFormat="1" ht="18" x14ac:dyDescent="0.25"/>
    <row r="2186" s="458" customFormat="1" ht="18" x14ac:dyDescent="0.25"/>
    <row r="2187" s="458" customFormat="1" ht="18" x14ac:dyDescent="0.25"/>
    <row r="2188" s="458" customFormat="1" ht="18" x14ac:dyDescent="0.25"/>
    <row r="2189" s="458" customFormat="1" ht="18" x14ac:dyDescent="0.25"/>
    <row r="2190" s="458" customFormat="1" ht="18" x14ac:dyDescent="0.25"/>
    <row r="2191" s="458" customFormat="1" ht="18" x14ac:dyDescent="0.25"/>
    <row r="2192" s="458" customFormat="1" ht="18" x14ac:dyDescent="0.25"/>
    <row r="2193" s="458" customFormat="1" ht="18" x14ac:dyDescent="0.25"/>
    <row r="2194" s="458" customFormat="1" ht="18" x14ac:dyDescent="0.25"/>
    <row r="2195" s="458" customFormat="1" ht="18" x14ac:dyDescent="0.25"/>
    <row r="2196" s="458" customFormat="1" ht="18" x14ac:dyDescent="0.25"/>
    <row r="2197" s="458" customFormat="1" ht="18" x14ac:dyDescent="0.25"/>
    <row r="2198" s="458" customFormat="1" ht="18" x14ac:dyDescent="0.25"/>
    <row r="2199" s="458" customFormat="1" ht="18" x14ac:dyDescent="0.25"/>
    <row r="2200" s="458" customFormat="1" ht="18" x14ac:dyDescent="0.25"/>
    <row r="2201" s="458" customFormat="1" ht="18" x14ac:dyDescent="0.25"/>
    <row r="2202" s="458" customFormat="1" ht="18" x14ac:dyDescent="0.25"/>
    <row r="2203" s="458" customFormat="1" ht="18" x14ac:dyDescent="0.25"/>
    <row r="2204" s="458" customFormat="1" ht="18" x14ac:dyDescent="0.25"/>
    <row r="2205" s="458" customFormat="1" ht="18" x14ac:dyDescent="0.25"/>
    <row r="2206" s="458" customFormat="1" ht="18" x14ac:dyDescent="0.25"/>
    <row r="2207" s="458" customFormat="1" ht="18" x14ac:dyDescent="0.25"/>
    <row r="2208" s="458" customFormat="1" ht="18" x14ac:dyDescent="0.25"/>
    <row r="2209" s="458" customFormat="1" ht="18" x14ac:dyDescent="0.25"/>
    <row r="2210" s="458" customFormat="1" ht="18" x14ac:dyDescent="0.25"/>
    <row r="2211" s="458" customFormat="1" ht="18" x14ac:dyDescent="0.25"/>
    <row r="2212" s="458" customFormat="1" ht="18" x14ac:dyDescent="0.25"/>
    <row r="2213" s="458" customFormat="1" ht="18" x14ac:dyDescent="0.25"/>
    <row r="2214" s="458" customFormat="1" ht="18" x14ac:dyDescent="0.25"/>
    <row r="2215" s="458" customFormat="1" ht="18" x14ac:dyDescent="0.25"/>
    <row r="2216" s="458" customFormat="1" ht="18" x14ac:dyDescent="0.25"/>
    <row r="2217" s="458" customFormat="1" ht="18" x14ac:dyDescent="0.25"/>
    <row r="2218" s="458" customFormat="1" ht="18" x14ac:dyDescent="0.25"/>
    <row r="2219" s="458" customFormat="1" ht="18" x14ac:dyDescent="0.25"/>
    <row r="2220" s="458" customFormat="1" ht="18" x14ac:dyDescent="0.25"/>
    <row r="2221" s="458" customFormat="1" ht="18" x14ac:dyDescent="0.25"/>
    <row r="2222" s="458" customFormat="1" ht="18" x14ac:dyDescent="0.25"/>
    <row r="2223" s="458" customFormat="1" ht="18" x14ac:dyDescent="0.25"/>
    <row r="2224" s="458" customFormat="1" ht="18" x14ac:dyDescent="0.25"/>
    <row r="2225" s="458" customFormat="1" ht="18" x14ac:dyDescent="0.25"/>
    <row r="2226" s="458" customFormat="1" ht="18" x14ac:dyDescent="0.25"/>
    <row r="2227" s="458" customFormat="1" ht="18" x14ac:dyDescent="0.25"/>
    <row r="2228" s="458" customFormat="1" ht="18" x14ac:dyDescent="0.25"/>
    <row r="2229" s="458" customFormat="1" ht="18" x14ac:dyDescent="0.25"/>
    <row r="2230" s="458" customFormat="1" ht="18" x14ac:dyDescent="0.25"/>
    <row r="2231" s="458" customFormat="1" ht="18" x14ac:dyDescent="0.25"/>
    <row r="2232" s="458" customFormat="1" ht="18" x14ac:dyDescent="0.25"/>
    <row r="2233" s="458" customFormat="1" ht="18" x14ac:dyDescent="0.25"/>
    <row r="2234" s="458" customFormat="1" ht="18" x14ac:dyDescent="0.25"/>
    <row r="2235" s="458" customFormat="1" ht="18" x14ac:dyDescent="0.25"/>
    <row r="2236" s="458" customFormat="1" ht="18" x14ac:dyDescent="0.25"/>
    <row r="2237" s="458" customFormat="1" ht="18" x14ac:dyDescent="0.25"/>
    <row r="2238" s="458" customFormat="1" ht="18" x14ac:dyDescent="0.25"/>
    <row r="2239" s="458" customFormat="1" ht="18" x14ac:dyDescent="0.25"/>
    <row r="2240" s="458" customFormat="1" ht="18" x14ac:dyDescent="0.25"/>
    <row r="2241" s="458" customFormat="1" ht="18" x14ac:dyDescent="0.25"/>
    <row r="2242" s="458" customFormat="1" ht="18" x14ac:dyDescent="0.25"/>
    <row r="2243" s="458" customFormat="1" ht="18" x14ac:dyDescent="0.25"/>
    <row r="2244" s="458" customFormat="1" ht="18" x14ac:dyDescent="0.25"/>
    <row r="2245" s="458" customFormat="1" ht="18" x14ac:dyDescent="0.25"/>
    <row r="2246" s="458" customFormat="1" ht="18" x14ac:dyDescent="0.25"/>
    <row r="2247" s="458" customFormat="1" ht="18" x14ac:dyDescent="0.25"/>
    <row r="2248" s="458" customFormat="1" ht="18" x14ac:dyDescent="0.25"/>
    <row r="2249" s="458" customFormat="1" ht="18" x14ac:dyDescent="0.25"/>
    <row r="2250" s="458" customFormat="1" ht="18" x14ac:dyDescent="0.25"/>
    <row r="2251" s="458" customFormat="1" ht="18" x14ac:dyDescent="0.25"/>
    <row r="2252" s="458" customFormat="1" ht="18" x14ac:dyDescent="0.25"/>
    <row r="2253" s="458" customFormat="1" ht="18" x14ac:dyDescent="0.25"/>
    <row r="2254" s="458" customFormat="1" ht="18" x14ac:dyDescent="0.25"/>
    <row r="2255" s="458" customFormat="1" ht="18" x14ac:dyDescent="0.25"/>
    <row r="2256" s="458" customFormat="1" ht="18" x14ac:dyDescent="0.25"/>
    <row r="2257" s="458" customFormat="1" ht="18" x14ac:dyDescent="0.25"/>
    <row r="2258" s="458" customFormat="1" ht="18" x14ac:dyDescent="0.25"/>
    <row r="2259" s="458" customFormat="1" ht="18" x14ac:dyDescent="0.25"/>
    <row r="2260" s="458" customFormat="1" ht="18" x14ac:dyDescent="0.25"/>
    <row r="2261" s="458" customFormat="1" ht="18" x14ac:dyDescent="0.25"/>
    <row r="2262" s="458" customFormat="1" ht="18" x14ac:dyDescent="0.25"/>
    <row r="2263" s="458" customFormat="1" ht="18" x14ac:dyDescent="0.25"/>
    <row r="2264" s="458" customFormat="1" ht="18" x14ac:dyDescent="0.25"/>
    <row r="2265" s="458" customFormat="1" ht="18" x14ac:dyDescent="0.25"/>
    <row r="2266" s="458" customFormat="1" ht="18" x14ac:dyDescent="0.25"/>
    <row r="2267" s="458" customFormat="1" ht="18" x14ac:dyDescent="0.25"/>
    <row r="2268" s="458" customFormat="1" ht="18" x14ac:dyDescent="0.25"/>
    <row r="2269" s="458" customFormat="1" ht="18" x14ac:dyDescent="0.25"/>
    <row r="2270" s="458" customFormat="1" ht="18" x14ac:dyDescent="0.25"/>
    <row r="2271" s="458" customFormat="1" ht="18" x14ac:dyDescent="0.25"/>
    <row r="2272" s="458" customFormat="1" ht="18" x14ac:dyDescent="0.25"/>
    <row r="2273" s="458" customFormat="1" ht="18" x14ac:dyDescent="0.25"/>
    <row r="2274" s="458" customFormat="1" ht="18" x14ac:dyDescent="0.25"/>
    <row r="2275" s="458" customFormat="1" ht="18" x14ac:dyDescent="0.25"/>
    <row r="2276" s="458" customFormat="1" ht="18" x14ac:dyDescent="0.25"/>
    <row r="2277" s="458" customFormat="1" ht="18" x14ac:dyDescent="0.25"/>
    <row r="2278" s="458" customFormat="1" ht="18" x14ac:dyDescent="0.25"/>
    <row r="2279" s="458" customFormat="1" ht="18" x14ac:dyDescent="0.25"/>
    <row r="2280" s="458" customFormat="1" ht="18" x14ac:dyDescent="0.25"/>
    <row r="2281" s="458" customFormat="1" ht="18" x14ac:dyDescent="0.25"/>
    <row r="2282" s="458" customFormat="1" ht="18" x14ac:dyDescent="0.25"/>
    <row r="2283" s="458" customFormat="1" ht="18" x14ac:dyDescent="0.25"/>
    <row r="2284" s="458" customFormat="1" ht="18" x14ac:dyDescent="0.25"/>
    <row r="2285" s="458" customFormat="1" ht="18" x14ac:dyDescent="0.25"/>
    <row r="2286" s="458" customFormat="1" ht="18" x14ac:dyDescent="0.25"/>
    <row r="2287" s="458" customFormat="1" ht="18" x14ac:dyDescent="0.25"/>
    <row r="2288" s="458" customFormat="1" ht="18" x14ac:dyDescent="0.25"/>
    <row r="2289" s="458" customFormat="1" ht="18" x14ac:dyDescent="0.25"/>
    <row r="2290" s="458" customFormat="1" ht="18" x14ac:dyDescent="0.25"/>
    <row r="2291" s="458" customFormat="1" ht="18" x14ac:dyDescent="0.25"/>
    <row r="2292" s="458" customFormat="1" ht="18" x14ac:dyDescent="0.25"/>
    <row r="2293" s="458" customFormat="1" ht="18" x14ac:dyDescent="0.25"/>
    <row r="2294" s="458" customFormat="1" ht="18" x14ac:dyDescent="0.25"/>
    <row r="2295" s="458" customFormat="1" ht="18" x14ac:dyDescent="0.25"/>
    <row r="2296" s="458" customFormat="1" ht="18" x14ac:dyDescent="0.25"/>
    <row r="2297" s="458" customFormat="1" ht="18" x14ac:dyDescent="0.25"/>
    <row r="2298" s="458" customFormat="1" ht="18" x14ac:dyDescent="0.25"/>
    <row r="2299" s="458" customFormat="1" ht="18" x14ac:dyDescent="0.25"/>
    <row r="2300" s="458" customFormat="1" ht="18" x14ac:dyDescent="0.25"/>
    <row r="2301" s="458" customFormat="1" ht="18" x14ac:dyDescent="0.25"/>
    <row r="2302" s="458" customFormat="1" ht="18" x14ac:dyDescent="0.25"/>
    <row r="2303" s="458" customFormat="1" ht="18" x14ac:dyDescent="0.25"/>
    <row r="2304" s="458" customFormat="1" ht="18" x14ac:dyDescent="0.25"/>
    <row r="2305" s="458" customFormat="1" ht="18" x14ac:dyDescent="0.25"/>
    <row r="2306" s="458" customFormat="1" ht="18" x14ac:dyDescent="0.25"/>
    <row r="2307" s="458" customFormat="1" ht="18" x14ac:dyDescent="0.25"/>
    <row r="2308" s="458" customFormat="1" ht="18" x14ac:dyDescent="0.25"/>
    <row r="2309" s="458" customFormat="1" ht="18" x14ac:dyDescent="0.25"/>
    <row r="2310" s="458" customFormat="1" ht="18" x14ac:dyDescent="0.25"/>
    <row r="2311" s="458" customFormat="1" ht="18" x14ac:dyDescent="0.25"/>
    <row r="2312" s="458" customFormat="1" ht="18" x14ac:dyDescent="0.25"/>
    <row r="2313" s="458" customFormat="1" ht="18" x14ac:dyDescent="0.25"/>
    <row r="2314" s="458" customFormat="1" ht="18" x14ac:dyDescent="0.25"/>
    <row r="2315" s="458" customFormat="1" ht="18" x14ac:dyDescent="0.25"/>
    <row r="2316" s="458" customFormat="1" ht="18" x14ac:dyDescent="0.25"/>
    <row r="2317" s="458" customFormat="1" ht="18" x14ac:dyDescent="0.25"/>
    <row r="2318" s="458" customFormat="1" ht="18" x14ac:dyDescent="0.25"/>
    <row r="2319" s="458" customFormat="1" ht="18" x14ac:dyDescent="0.25"/>
    <row r="2320" s="458" customFormat="1" ht="18" x14ac:dyDescent="0.25"/>
    <row r="2321" s="458" customFormat="1" ht="18" x14ac:dyDescent="0.25"/>
    <row r="2322" s="458" customFormat="1" ht="18" x14ac:dyDescent="0.25"/>
    <row r="2323" s="458" customFormat="1" ht="18" x14ac:dyDescent="0.25"/>
    <row r="2324" s="458" customFormat="1" ht="18" x14ac:dyDescent="0.25"/>
    <row r="2325" s="458" customFormat="1" ht="18" x14ac:dyDescent="0.25"/>
    <row r="2326" s="458" customFormat="1" ht="18" x14ac:dyDescent="0.25"/>
    <row r="2327" s="458" customFormat="1" ht="18" x14ac:dyDescent="0.25"/>
    <row r="2328" s="458" customFormat="1" ht="18" x14ac:dyDescent="0.25"/>
    <row r="2329" s="458" customFormat="1" ht="18" x14ac:dyDescent="0.25"/>
    <row r="2330" s="458" customFormat="1" ht="18" x14ac:dyDescent="0.25"/>
    <row r="2331" s="458" customFormat="1" ht="18" x14ac:dyDescent="0.25"/>
    <row r="2332" s="458" customFormat="1" ht="18" x14ac:dyDescent="0.25"/>
    <row r="2333" s="458" customFormat="1" ht="18" x14ac:dyDescent="0.25"/>
    <row r="2334" s="458" customFormat="1" ht="18" x14ac:dyDescent="0.25"/>
    <row r="2335" s="458" customFormat="1" ht="18" x14ac:dyDescent="0.25"/>
    <row r="2336" s="458" customFormat="1" ht="18" x14ac:dyDescent="0.25"/>
    <row r="2337" s="458" customFormat="1" ht="18" x14ac:dyDescent="0.25"/>
    <row r="2338" s="458" customFormat="1" ht="18" x14ac:dyDescent="0.25"/>
    <row r="2339" s="458" customFormat="1" ht="18" x14ac:dyDescent="0.25"/>
    <row r="2340" s="458" customFormat="1" ht="18" x14ac:dyDescent="0.25"/>
    <row r="2341" s="458" customFormat="1" ht="18" x14ac:dyDescent="0.25"/>
    <row r="2342" s="458" customFormat="1" ht="18" x14ac:dyDescent="0.25"/>
    <row r="2343" s="458" customFormat="1" ht="18" x14ac:dyDescent="0.25"/>
    <row r="2344" s="458" customFormat="1" ht="18" x14ac:dyDescent="0.25"/>
    <row r="2345" s="458" customFormat="1" ht="18" x14ac:dyDescent="0.25"/>
    <row r="2346" s="458" customFormat="1" ht="18" x14ac:dyDescent="0.25"/>
    <row r="2347" s="458" customFormat="1" ht="18" x14ac:dyDescent="0.25"/>
    <row r="2348" s="458" customFormat="1" ht="18" x14ac:dyDescent="0.25"/>
    <row r="2349" s="458" customFormat="1" ht="18" x14ac:dyDescent="0.25"/>
    <row r="2350" s="458" customFormat="1" ht="18" x14ac:dyDescent="0.25"/>
    <row r="2351" s="458" customFormat="1" ht="18" x14ac:dyDescent="0.25"/>
    <row r="2352" s="458" customFormat="1" ht="18" x14ac:dyDescent="0.25"/>
    <row r="2353" s="458" customFormat="1" ht="18" x14ac:dyDescent="0.25"/>
    <row r="2354" s="458" customFormat="1" ht="18" x14ac:dyDescent="0.25"/>
    <row r="2355" s="458" customFormat="1" ht="18" x14ac:dyDescent="0.25"/>
    <row r="2356" s="458" customFormat="1" ht="18" x14ac:dyDescent="0.25"/>
    <row r="2357" s="458" customFormat="1" ht="18" x14ac:dyDescent="0.25"/>
    <row r="2358" s="458" customFormat="1" ht="18" x14ac:dyDescent="0.25"/>
    <row r="2359" s="458" customFormat="1" ht="18" x14ac:dyDescent="0.25"/>
    <row r="2360" s="458" customFormat="1" ht="18" x14ac:dyDescent="0.25"/>
    <row r="2361" s="458" customFormat="1" ht="18" x14ac:dyDescent="0.25"/>
    <row r="2362" s="458" customFormat="1" ht="18" x14ac:dyDescent="0.25"/>
    <row r="2363" s="458" customFormat="1" ht="18" x14ac:dyDescent="0.25"/>
    <row r="2364" s="458" customFormat="1" ht="18" x14ac:dyDescent="0.25"/>
    <row r="2365" s="458" customFormat="1" ht="18" x14ac:dyDescent="0.25"/>
    <row r="2366" s="458" customFormat="1" ht="18" x14ac:dyDescent="0.25"/>
    <row r="2367" s="458" customFormat="1" ht="18" x14ac:dyDescent="0.25"/>
    <row r="2368" s="458" customFormat="1" ht="18" x14ac:dyDescent="0.25"/>
    <row r="2369" s="458" customFormat="1" ht="18" x14ac:dyDescent="0.25"/>
    <row r="2370" s="458" customFormat="1" ht="18" x14ac:dyDescent="0.25"/>
    <row r="2371" s="458" customFormat="1" ht="18" x14ac:dyDescent="0.25"/>
    <row r="2372" s="458" customFormat="1" ht="18" x14ac:dyDescent="0.25"/>
    <row r="2373" s="458" customFormat="1" ht="18" x14ac:dyDescent="0.25"/>
    <row r="2374" s="458" customFormat="1" ht="18" x14ac:dyDescent="0.25"/>
    <row r="2375" s="458" customFormat="1" ht="18" x14ac:dyDescent="0.25"/>
    <row r="2376" s="458" customFormat="1" ht="18" x14ac:dyDescent="0.25"/>
    <row r="2377" s="458" customFormat="1" ht="18" x14ac:dyDescent="0.25"/>
    <row r="2378" s="458" customFormat="1" ht="18" x14ac:dyDescent="0.25"/>
    <row r="2379" s="458" customFormat="1" ht="18" x14ac:dyDescent="0.25"/>
    <row r="2380" s="458" customFormat="1" ht="18" x14ac:dyDescent="0.25"/>
    <row r="2381" s="458" customFormat="1" ht="18" x14ac:dyDescent="0.25"/>
    <row r="2382" s="458" customFormat="1" ht="18" x14ac:dyDescent="0.25"/>
    <row r="2383" s="458" customFormat="1" ht="18" x14ac:dyDescent="0.25"/>
    <row r="2384" s="458" customFormat="1" ht="18" x14ac:dyDescent="0.25"/>
    <row r="2385" s="458" customFormat="1" ht="18" x14ac:dyDescent="0.25"/>
    <row r="2386" s="458" customFormat="1" ht="18" x14ac:dyDescent="0.25"/>
    <row r="2387" s="458" customFormat="1" ht="18" x14ac:dyDescent="0.25"/>
    <row r="2388" s="458" customFormat="1" ht="18" x14ac:dyDescent="0.25"/>
    <row r="2389" s="458" customFormat="1" ht="18" x14ac:dyDescent="0.25"/>
    <row r="2390" s="458" customFormat="1" ht="18" x14ac:dyDescent="0.25"/>
    <row r="2391" s="458" customFormat="1" ht="18" x14ac:dyDescent="0.25"/>
    <row r="2392" s="458" customFormat="1" ht="18" x14ac:dyDescent="0.25"/>
    <row r="2393" s="458" customFormat="1" ht="18" x14ac:dyDescent="0.25"/>
    <row r="2394" s="458" customFormat="1" ht="18" x14ac:dyDescent="0.25"/>
    <row r="2395" s="458" customFormat="1" ht="18" x14ac:dyDescent="0.25"/>
    <row r="2396" s="458" customFormat="1" ht="18" x14ac:dyDescent="0.25"/>
    <row r="2397" s="458" customFormat="1" ht="18" x14ac:dyDescent="0.25"/>
    <row r="2398" s="458" customFormat="1" ht="18" x14ac:dyDescent="0.25"/>
    <row r="2399" s="458" customFormat="1" ht="18" x14ac:dyDescent="0.25"/>
    <row r="2400" s="458" customFormat="1" ht="18" x14ac:dyDescent="0.25"/>
    <row r="2401" s="458" customFormat="1" ht="18" x14ac:dyDescent="0.25"/>
    <row r="2402" s="458" customFormat="1" ht="18" x14ac:dyDescent="0.25"/>
    <row r="2403" s="458" customFormat="1" ht="18" x14ac:dyDescent="0.25"/>
    <row r="2404" s="458" customFormat="1" ht="18" x14ac:dyDescent="0.25"/>
    <row r="2405" s="458" customFormat="1" ht="18" x14ac:dyDescent="0.25"/>
    <row r="2406" s="458" customFormat="1" ht="18" x14ac:dyDescent="0.25"/>
    <row r="2407" s="458" customFormat="1" ht="18" x14ac:dyDescent="0.25"/>
    <row r="2408" s="458" customFormat="1" ht="18" x14ac:dyDescent="0.25"/>
    <row r="2409" s="458" customFormat="1" ht="18" x14ac:dyDescent="0.25"/>
    <row r="2410" s="458" customFormat="1" ht="18" x14ac:dyDescent="0.25"/>
    <row r="2411" s="458" customFormat="1" ht="18" x14ac:dyDescent="0.25"/>
    <row r="2412" s="458" customFormat="1" ht="18" x14ac:dyDescent="0.25"/>
    <row r="2413" s="458" customFormat="1" ht="18" x14ac:dyDescent="0.25"/>
    <row r="2414" s="458" customFormat="1" ht="18" x14ac:dyDescent="0.25"/>
    <row r="2415" s="458" customFormat="1" ht="18" x14ac:dyDescent="0.25"/>
    <row r="2416" s="458" customFormat="1" ht="18" x14ac:dyDescent="0.25"/>
    <row r="2417" s="458" customFormat="1" ht="18" x14ac:dyDescent="0.25"/>
    <row r="2418" s="458" customFormat="1" ht="18" x14ac:dyDescent="0.25"/>
    <row r="2419" s="458" customFormat="1" ht="18" x14ac:dyDescent="0.25"/>
    <row r="2420" s="458" customFormat="1" ht="18" x14ac:dyDescent="0.25"/>
    <row r="2421" s="458" customFormat="1" ht="18" x14ac:dyDescent="0.25"/>
    <row r="2422" s="458" customFormat="1" ht="18" x14ac:dyDescent="0.25"/>
    <row r="2423" s="458" customFormat="1" ht="18" x14ac:dyDescent="0.25"/>
    <row r="2424" s="458" customFormat="1" ht="18" x14ac:dyDescent="0.25"/>
    <row r="2425" s="458" customFormat="1" ht="18" x14ac:dyDescent="0.25"/>
    <row r="2426" s="458" customFormat="1" ht="18" x14ac:dyDescent="0.25"/>
    <row r="2427" s="458" customFormat="1" ht="18" x14ac:dyDescent="0.25"/>
    <row r="2428" s="458" customFormat="1" ht="18" x14ac:dyDescent="0.25"/>
    <row r="2429" s="458" customFormat="1" ht="18" x14ac:dyDescent="0.25"/>
    <row r="2430" s="458" customFormat="1" ht="18" x14ac:dyDescent="0.25"/>
    <row r="2431" s="458" customFormat="1" ht="18" x14ac:dyDescent="0.25"/>
    <row r="2432" s="458" customFormat="1" ht="18" x14ac:dyDescent="0.25"/>
    <row r="2433" s="458" customFormat="1" ht="18" x14ac:dyDescent="0.25"/>
    <row r="2434" s="458" customFormat="1" ht="18" x14ac:dyDescent="0.25"/>
    <row r="2435" s="458" customFormat="1" ht="18" x14ac:dyDescent="0.25"/>
    <row r="2436" s="458" customFormat="1" ht="18" x14ac:dyDescent="0.25"/>
    <row r="2437" s="458" customFormat="1" ht="18" x14ac:dyDescent="0.25"/>
    <row r="2438" s="458" customFormat="1" ht="18" x14ac:dyDescent="0.25"/>
    <row r="2439" s="458" customFormat="1" ht="18" x14ac:dyDescent="0.25"/>
    <row r="2440" s="458" customFormat="1" ht="18" x14ac:dyDescent="0.25"/>
    <row r="2441" s="458" customFormat="1" ht="18" x14ac:dyDescent="0.25"/>
    <row r="2442" s="458" customFormat="1" ht="18" x14ac:dyDescent="0.25"/>
    <row r="2443" s="458" customFormat="1" ht="18" x14ac:dyDescent="0.25"/>
    <row r="2444" s="458" customFormat="1" ht="18" x14ac:dyDescent="0.25"/>
    <row r="2445" s="458" customFormat="1" ht="18" x14ac:dyDescent="0.25"/>
    <row r="2446" s="458" customFormat="1" ht="18" x14ac:dyDescent="0.25"/>
    <row r="2447" s="458" customFormat="1" ht="18" x14ac:dyDescent="0.25"/>
    <row r="2448" s="458" customFormat="1" ht="18" x14ac:dyDescent="0.25"/>
    <row r="2449" s="458" customFormat="1" ht="18" x14ac:dyDescent="0.25"/>
    <row r="2450" s="458" customFormat="1" ht="18" x14ac:dyDescent="0.25"/>
    <row r="2451" s="458" customFormat="1" ht="18" x14ac:dyDescent="0.25"/>
    <row r="2452" s="458" customFormat="1" ht="18" x14ac:dyDescent="0.25"/>
    <row r="2453" s="458" customFormat="1" ht="18" x14ac:dyDescent="0.25"/>
    <row r="2454" s="458" customFormat="1" ht="18" x14ac:dyDescent="0.25"/>
    <row r="2455" s="458" customFormat="1" ht="18" x14ac:dyDescent="0.25"/>
    <row r="2456" s="458" customFormat="1" ht="18" x14ac:dyDescent="0.25"/>
    <row r="2457" s="458" customFormat="1" ht="18" x14ac:dyDescent="0.25"/>
    <row r="2458" s="458" customFormat="1" ht="18" x14ac:dyDescent="0.25"/>
    <row r="2459" s="458" customFormat="1" ht="18" x14ac:dyDescent="0.25"/>
    <row r="2460" s="458" customFormat="1" ht="18" x14ac:dyDescent="0.25"/>
    <row r="2461" s="458" customFormat="1" ht="18" x14ac:dyDescent="0.25"/>
    <row r="2462" s="458" customFormat="1" ht="18" x14ac:dyDescent="0.25"/>
    <row r="2463" s="458" customFormat="1" ht="18" x14ac:dyDescent="0.25"/>
    <row r="2464" s="458" customFormat="1" ht="18" x14ac:dyDescent="0.25"/>
    <row r="2465" s="458" customFormat="1" ht="18" x14ac:dyDescent="0.25"/>
    <row r="2466" s="458" customFormat="1" ht="18" x14ac:dyDescent="0.25"/>
    <row r="2467" s="458" customFormat="1" ht="18" x14ac:dyDescent="0.25"/>
    <row r="2468" s="458" customFormat="1" ht="18" x14ac:dyDescent="0.25"/>
    <row r="2469" s="458" customFormat="1" ht="18" x14ac:dyDescent="0.25"/>
    <row r="2470" s="458" customFormat="1" ht="18" x14ac:dyDescent="0.25"/>
    <row r="2471" s="458" customFormat="1" ht="18" x14ac:dyDescent="0.25"/>
    <row r="2472" s="458" customFormat="1" ht="18" x14ac:dyDescent="0.25"/>
    <row r="2473" s="458" customFormat="1" ht="18" x14ac:dyDescent="0.25"/>
    <row r="2474" s="458" customFormat="1" ht="18" x14ac:dyDescent="0.25"/>
    <row r="2475" s="458" customFormat="1" ht="18" x14ac:dyDescent="0.25"/>
    <row r="2476" s="458" customFormat="1" ht="18" x14ac:dyDescent="0.25"/>
    <row r="2477" s="458" customFormat="1" ht="18" x14ac:dyDescent="0.25"/>
    <row r="2478" s="458" customFormat="1" ht="18" x14ac:dyDescent="0.25"/>
    <row r="2479" s="458" customFormat="1" ht="18" x14ac:dyDescent="0.25"/>
    <row r="2480" s="458" customFormat="1" ht="18" x14ac:dyDescent="0.25"/>
    <row r="2481" s="458" customFormat="1" ht="18" x14ac:dyDescent="0.25"/>
    <row r="2482" s="458" customFormat="1" ht="18" x14ac:dyDescent="0.25"/>
    <row r="2483" s="458" customFormat="1" ht="18" x14ac:dyDescent="0.25"/>
    <row r="2484" s="458" customFormat="1" ht="18" x14ac:dyDescent="0.25"/>
    <row r="2485" s="458" customFormat="1" ht="18" x14ac:dyDescent="0.25"/>
    <row r="2486" s="458" customFormat="1" ht="18" x14ac:dyDescent="0.25"/>
    <row r="2487" s="458" customFormat="1" ht="18" x14ac:dyDescent="0.25"/>
    <row r="2488" s="458" customFormat="1" ht="18" x14ac:dyDescent="0.25"/>
    <row r="2489" s="458" customFormat="1" ht="18" x14ac:dyDescent="0.25"/>
    <row r="2490" s="458" customFormat="1" ht="18" x14ac:dyDescent="0.25"/>
    <row r="2491" s="458" customFormat="1" ht="18" x14ac:dyDescent="0.25"/>
    <row r="2492" s="458" customFormat="1" ht="18" x14ac:dyDescent="0.25"/>
    <row r="2493" s="458" customFormat="1" ht="18" x14ac:dyDescent="0.25"/>
    <row r="2494" s="458" customFormat="1" ht="18" x14ac:dyDescent="0.25"/>
    <row r="2495" s="458" customFormat="1" ht="18" x14ac:dyDescent="0.25"/>
    <row r="2496" s="458" customFormat="1" ht="18" x14ac:dyDescent="0.25"/>
    <row r="2497" s="458" customFormat="1" ht="18" x14ac:dyDescent="0.25"/>
    <row r="2498" s="458" customFormat="1" ht="18" x14ac:dyDescent="0.25"/>
    <row r="2499" s="458" customFormat="1" ht="18" x14ac:dyDescent="0.25"/>
    <row r="2500" s="458" customFormat="1" ht="18" x14ac:dyDescent="0.25"/>
    <row r="2501" s="458" customFormat="1" ht="18" x14ac:dyDescent="0.25"/>
    <row r="2502" s="458" customFormat="1" ht="18" x14ac:dyDescent="0.25"/>
    <row r="2503" s="458" customFormat="1" ht="18" x14ac:dyDescent="0.25"/>
    <row r="2504" s="458" customFormat="1" ht="18" x14ac:dyDescent="0.25"/>
    <row r="2505" s="458" customFormat="1" ht="18" x14ac:dyDescent="0.25"/>
    <row r="2506" s="458" customFormat="1" ht="18" x14ac:dyDescent="0.25"/>
    <row r="2507" s="458" customFormat="1" ht="18" x14ac:dyDescent="0.25"/>
    <row r="2508" s="458" customFormat="1" ht="18" x14ac:dyDescent="0.25"/>
    <row r="2509" s="458" customFormat="1" ht="18" x14ac:dyDescent="0.25"/>
    <row r="2510" s="458" customFormat="1" ht="18" x14ac:dyDescent="0.25"/>
    <row r="2511" s="458" customFormat="1" ht="18" x14ac:dyDescent="0.25"/>
    <row r="2512" s="458" customFormat="1" ht="18" x14ac:dyDescent="0.25"/>
    <row r="2513" s="458" customFormat="1" ht="18" x14ac:dyDescent="0.25"/>
    <row r="2514" s="458" customFormat="1" ht="18" x14ac:dyDescent="0.25"/>
    <row r="2515" s="458" customFormat="1" ht="18" x14ac:dyDescent="0.25"/>
    <row r="2516" s="458" customFormat="1" ht="18" x14ac:dyDescent="0.25"/>
    <row r="2517" s="458" customFormat="1" ht="18" x14ac:dyDescent="0.25"/>
    <row r="2518" s="458" customFormat="1" ht="18" x14ac:dyDescent="0.25"/>
    <row r="2519" s="458" customFormat="1" ht="18" x14ac:dyDescent="0.25"/>
    <row r="2520" s="458" customFormat="1" ht="18" x14ac:dyDescent="0.25"/>
    <row r="2521" s="458" customFormat="1" ht="18" x14ac:dyDescent="0.25"/>
    <row r="2522" s="458" customFormat="1" ht="18" x14ac:dyDescent="0.25"/>
    <row r="2523" s="458" customFormat="1" ht="18" x14ac:dyDescent="0.25"/>
    <row r="2524" s="458" customFormat="1" ht="18" x14ac:dyDescent="0.25"/>
    <row r="2525" s="458" customFormat="1" ht="18" x14ac:dyDescent="0.25"/>
    <row r="2526" s="458" customFormat="1" ht="18" x14ac:dyDescent="0.25"/>
    <row r="2527" s="458" customFormat="1" ht="18" x14ac:dyDescent="0.25"/>
    <row r="2528" s="458" customFormat="1" ht="18" x14ac:dyDescent="0.25"/>
    <row r="2529" s="458" customFormat="1" ht="18" x14ac:dyDescent="0.25"/>
    <row r="2530" s="458" customFormat="1" ht="18" x14ac:dyDescent="0.25"/>
    <row r="2531" s="458" customFormat="1" ht="18" x14ac:dyDescent="0.25"/>
    <row r="2532" s="458" customFormat="1" ht="18" x14ac:dyDescent="0.25"/>
    <row r="2533" s="458" customFormat="1" ht="18" x14ac:dyDescent="0.25"/>
    <row r="2534" s="458" customFormat="1" ht="18" x14ac:dyDescent="0.25"/>
    <row r="2535" s="458" customFormat="1" ht="18" x14ac:dyDescent="0.25"/>
    <row r="2536" s="458" customFormat="1" ht="18" x14ac:dyDescent="0.25"/>
    <row r="2537" s="458" customFormat="1" ht="18" x14ac:dyDescent="0.25"/>
    <row r="2538" s="458" customFormat="1" ht="18" x14ac:dyDescent="0.25"/>
    <row r="2539" s="458" customFormat="1" ht="18" x14ac:dyDescent="0.25"/>
    <row r="2540" s="458" customFormat="1" ht="18" x14ac:dyDescent="0.25"/>
    <row r="2541" s="458" customFormat="1" ht="18" x14ac:dyDescent="0.25"/>
    <row r="2542" s="458" customFormat="1" ht="18" x14ac:dyDescent="0.25"/>
    <row r="2543" s="458" customFormat="1" ht="18" x14ac:dyDescent="0.25"/>
    <row r="2544" s="458" customFormat="1" ht="18" x14ac:dyDescent="0.25"/>
    <row r="2545" s="458" customFormat="1" ht="18" x14ac:dyDescent="0.25"/>
    <row r="2546" s="458" customFormat="1" ht="18" x14ac:dyDescent="0.25"/>
    <row r="2547" s="458" customFormat="1" ht="18" x14ac:dyDescent="0.25"/>
    <row r="2548" s="458" customFormat="1" ht="18" x14ac:dyDescent="0.25"/>
    <row r="2549" s="458" customFormat="1" ht="18" x14ac:dyDescent="0.25"/>
    <row r="2550" s="458" customFormat="1" ht="18" x14ac:dyDescent="0.25"/>
    <row r="2551" s="458" customFormat="1" ht="18" x14ac:dyDescent="0.25"/>
    <row r="2552" s="458" customFormat="1" ht="18" x14ac:dyDescent="0.25"/>
    <row r="2553" s="458" customFormat="1" ht="18" x14ac:dyDescent="0.25"/>
    <row r="2554" s="458" customFormat="1" ht="18" x14ac:dyDescent="0.25"/>
    <row r="2555" s="458" customFormat="1" ht="18" x14ac:dyDescent="0.25"/>
    <row r="2556" s="458" customFormat="1" ht="18" x14ac:dyDescent="0.25"/>
    <row r="2557" s="458" customFormat="1" ht="18" x14ac:dyDescent="0.25"/>
    <row r="2558" s="458" customFormat="1" ht="18" x14ac:dyDescent="0.25"/>
    <row r="2559" s="458" customFormat="1" ht="18" x14ac:dyDescent="0.25"/>
    <row r="2560" s="458" customFormat="1" ht="18" x14ac:dyDescent="0.25"/>
    <row r="2561" s="458" customFormat="1" ht="18" x14ac:dyDescent="0.25"/>
    <row r="2562" s="458" customFormat="1" ht="18" x14ac:dyDescent="0.25"/>
    <row r="2563" s="458" customFormat="1" ht="18" x14ac:dyDescent="0.25"/>
    <row r="2564" s="458" customFormat="1" ht="18" x14ac:dyDescent="0.25"/>
    <row r="2565" s="458" customFormat="1" ht="18" x14ac:dyDescent="0.25"/>
    <row r="2566" s="458" customFormat="1" ht="18" x14ac:dyDescent="0.25"/>
    <row r="2567" s="458" customFormat="1" ht="18" x14ac:dyDescent="0.25"/>
    <row r="2568" s="458" customFormat="1" ht="18" x14ac:dyDescent="0.25"/>
    <row r="2569" s="458" customFormat="1" ht="18" x14ac:dyDescent="0.25"/>
    <row r="2570" s="458" customFormat="1" ht="18" x14ac:dyDescent="0.25"/>
    <row r="2571" s="458" customFormat="1" ht="18" x14ac:dyDescent="0.25"/>
    <row r="2572" s="458" customFormat="1" ht="18" x14ac:dyDescent="0.25"/>
    <row r="2573" s="458" customFormat="1" ht="18" x14ac:dyDescent="0.25"/>
    <row r="2574" s="458" customFormat="1" ht="18" x14ac:dyDescent="0.25"/>
    <row r="2575" s="458" customFormat="1" ht="18" x14ac:dyDescent="0.25"/>
    <row r="2576" s="458" customFormat="1" ht="18" x14ac:dyDescent="0.25"/>
    <row r="2577" s="458" customFormat="1" ht="18" x14ac:dyDescent="0.25"/>
    <row r="2578" s="458" customFormat="1" ht="18" x14ac:dyDescent="0.25"/>
    <row r="2579" s="458" customFormat="1" ht="18" x14ac:dyDescent="0.25"/>
    <row r="2580" s="458" customFormat="1" ht="18" x14ac:dyDescent="0.25"/>
    <row r="2581" s="458" customFormat="1" ht="18" x14ac:dyDescent="0.25"/>
    <row r="2582" s="458" customFormat="1" ht="18" x14ac:dyDescent="0.25"/>
    <row r="2583" s="458" customFormat="1" ht="18" x14ac:dyDescent="0.25"/>
    <row r="2584" s="458" customFormat="1" ht="18" x14ac:dyDescent="0.25"/>
    <row r="2585" s="458" customFormat="1" ht="18" x14ac:dyDescent="0.25"/>
    <row r="2586" s="458" customFormat="1" ht="18" x14ac:dyDescent="0.25"/>
    <row r="2587" s="458" customFormat="1" ht="18" x14ac:dyDescent="0.25"/>
    <row r="2588" s="458" customFormat="1" ht="18" x14ac:dyDescent="0.25"/>
    <row r="2589" s="458" customFormat="1" ht="18" x14ac:dyDescent="0.25"/>
    <row r="2590" s="458" customFormat="1" ht="18" x14ac:dyDescent="0.25"/>
    <row r="2591" s="458" customFormat="1" ht="18" x14ac:dyDescent="0.25"/>
    <row r="2592" s="458" customFormat="1" ht="18" x14ac:dyDescent="0.25"/>
    <row r="2593" s="458" customFormat="1" ht="18" x14ac:dyDescent="0.25"/>
    <row r="2594" s="458" customFormat="1" ht="18" x14ac:dyDescent="0.25"/>
    <row r="2595" s="458" customFormat="1" ht="18" x14ac:dyDescent="0.25"/>
    <row r="2596" s="458" customFormat="1" ht="18" x14ac:dyDescent="0.25"/>
    <row r="2597" s="458" customFormat="1" ht="18" x14ac:dyDescent="0.25"/>
    <row r="2598" s="458" customFormat="1" ht="18" x14ac:dyDescent="0.25"/>
    <row r="2599" s="458" customFormat="1" ht="18" x14ac:dyDescent="0.25"/>
    <row r="2600" s="458" customFormat="1" ht="18" x14ac:dyDescent="0.25"/>
    <row r="2601" s="458" customFormat="1" ht="18" x14ac:dyDescent="0.25"/>
    <row r="2602" s="458" customFormat="1" ht="18" x14ac:dyDescent="0.25"/>
    <row r="2603" s="458" customFormat="1" ht="18" x14ac:dyDescent="0.25"/>
    <row r="2604" s="458" customFormat="1" ht="18" x14ac:dyDescent="0.25"/>
    <row r="2605" s="458" customFormat="1" ht="18" x14ac:dyDescent="0.25"/>
    <row r="2606" s="458" customFormat="1" ht="18" x14ac:dyDescent="0.25"/>
    <row r="2607" s="458" customFormat="1" ht="18" x14ac:dyDescent="0.25"/>
    <row r="2608" s="458" customFormat="1" ht="18" x14ac:dyDescent="0.25"/>
    <row r="2609" s="458" customFormat="1" ht="18" x14ac:dyDescent="0.25"/>
    <row r="2610" s="458" customFormat="1" ht="18" x14ac:dyDescent="0.25"/>
    <row r="2611" s="458" customFormat="1" ht="18" x14ac:dyDescent="0.25"/>
    <row r="2612" s="458" customFormat="1" ht="18" x14ac:dyDescent="0.25"/>
    <row r="2613" s="458" customFormat="1" ht="18" x14ac:dyDescent="0.25"/>
    <row r="2614" s="458" customFormat="1" ht="18" x14ac:dyDescent="0.25"/>
    <row r="2615" s="458" customFormat="1" ht="18" x14ac:dyDescent="0.25"/>
    <row r="2616" s="458" customFormat="1" ht="18" x14ac:dyDescent="0.25"/>
    <row r="2617" s="458" customFormat="1" ht="18" x14ac:dyDescent="0.25"/>
    <row r="2618" s="458" customFormat="1" ht="18" x14ac:dyDescent="0.25"/>
    <row r="2619" s="458" customFormat="1" ht="18" x14ac:dyDescent="0.25"/>
    <row r="2620" s="458" customFormat="1" ht="18" x14ac:dyDescent="0.25"/>
    <row r="2621" s="458" customFormat="1" ht="18" x14ac:dyDescent="0.25"/>
    <row r="2622" s="458" customFormat="1" ht="18" x14ac:dyDescent="0.25"/>
    <row r="2623" s="458" customFormat="1" ht="18" x14ac:dyDescent="0.25"/>
    <row r="2624" s="458" customFormat="1" ht="18" x14ac:dyDescent="0.25"/>
    <row r="2625" s="458" customFormat="1" ht="18" x14ac:dyDescent="0.25"/>
    <row r="2626" s="458" customFormat="1" ht="18" x14ac:dyDescent="0.25"/>
    <row r="2627" s="458" customFormat="1" ht="18" x14ac:dyDescent="0.25"/>
    <row r="2628" s="458" customFormat="1" ht="18" x14ac:dyDescent="0.25"/>
    <row r="2629" s="458" customFormat="1" ht="18" x14ac:dyDescent="0.25"/>
    <row r="2630" s="458" customFormat="1" ht="18" x14ac:dyDescent="0.25"/>
    <row r="2631" s="458" customFormat="1" ht="18" x14ac:dyDescent="0.25"/>
    <row r="2632" s="458" customFormat="1" ht="18" x14ac:dyDescent="0.25"/>
    <row r="2633" s="458" customFormat="1" ht="18" x14ac:dyDescent="0.25"/>
    <row r="2634" s="458" customFormat="1" ht="18" x14ac:dyDescent="0.25"/>
    <row r="2635" s="458" customFormat="1" ht="18" x14ac:dyDescent="0.25"/>
    <row r="2636" s="458" customFormat="1" ht="18" x14ac:dyDescent="0.25"/>
    <row r="2637" s="458" customFormat="1" ht="18" x14ac:dyDescent="0.25"/>
    <row r="2638" s="458" customFormat="1" ht="18" x14ac:dyDescent="0.25"/>
    <row r="2639" s="458" customFormat="1" ht="18" x14ac:dyDescent="0.25"/>
    <row r="2640" s="458" customFormat="1" ht="18" x14ac:dyDescent="0.25"/>
    <row r="2641" s="458" customFormat="1" ht="18" x14ac:dyDescent="0.25"/>
    <row r="2642" s="458" customFormat="1" ht="18" x14ac:dyDescent="0.25"/>
    <row r="2643" s="458" customFormat="1" ht="18" x14ac:dyDescent="0.25"/>
    <row r="2644" s="458" customFormat="1" ht="18" x14ac:dyDescent="0.25"/>
    <row r="2645" s="458" customFormat="1" ht="18" x14ac:dyDescent="0.25"/>
    <row r="2646" s="458" customFormat="1" ht="18" x14ac:dyDescent="0.25"/>
    <row r="2647" s="458" customFormat="1" ht="18" x14ac:dyDescent="0.25"/>
    <row r="2648" s="458" customFormat="1" ht="18" x14ac:dyDescent="0.25"/>
    <row r="2649" s="458" customFormat="1" ht="18" x14ac:dyDescent="0.25"/>
    <row r="2650" s="458" customFormat="1" ht="18" x14ac:dyDescent="0.25"/>
    <row r="2651" s="458" customFormat="1" ht="18" x14ac:dyDescent="0.25"/>
    <row r="2652" s="458" customFormat="1" ht="18" x14ac:dyDescent="0.25"/>
    <row r="2653" s="458" customFormat="1" ht="18" x14ac:dyDescent="0.25"/>
    <row r="2654" s="458" customFormat="1" ht="18" x14ac:dyDescent="0.25"/>
    <row r="2655" s="458" customFormat="1" ht="18" x14ac:dyDescent="0.25"/>
    <row r="2656" s="458" customFormat="1" ht="18" x14ac:dyDescent="0.25"/>
    <row r="2657" s="458" customFormat="1" ht="18" x14ac:dyDescent="0.25"/>
    <row r="2658" s="458" customFormat="1" ht="18" x14ac:dyDescent="0.25"/>
    <row r="2659" s="458" customFormat="1" ht="18" x14ac:dyDescent="0.25"/>
    <row r="2660" s="458" customFormat="1" ht="18" x14ac:dyDescent="0.25"/>
    <row r="2661" s="458" customFormat="1" ht="18" x14ac:dyDescent="0.25"/>
    <row r="2662" s="458" customFormat="1" ht="18" x14ac:dyDescent="0.25"/>
    <row r="2663" s="458" customFormat="1" ht="18" x14ac:dyDescent="0.25"/>
    <row r="2664" s="458" customFormat="1" ht="18" x14ac:dyDescent="0.25"/>
    <row r="2665" s="458" customFormat="1" ht="18" x14ac:dyDescent="0.25"/>
    <row r="2666" s="458" customFormat="1" ht="18" x14ac:dyDescent="0.25"/>
    <row r="2667" s="458" customFormat="1" ht="18" x14ac:dyDescent="0.25"/>
    <row r="2668" s="458" customFormat="1" ht="18" x14ac:dyDescent="0.25"/>
    <row r="2669" s="458" customFormat="1" ht="18" x14ac:dyDescent="0.25"/>
    <row r="2670" s="458" customFormat="1" ht="18" x14ac:dyDescent="0.25"/>
    <row r="2671" s="458" customFormat="1" ht="18" x14ac:dyDescent="0.25"/>
    <row r="2672" s="458" customFormat="1" ht="18" x14ac:dyDescent="0.25"/>
    <row r="2673" s="458" customFormat="1" ht="18" x14ac:dyDescent="0.25"/>
    <row r="2674" s="458" customFormat="1" ht="18" x14ac:dyDescent="0.25"/>
    <row r="2675" s="458" customFormat="1" ht="18" x14ac:dyDescent="0.25"/>
    <row r="2676" s="458" customFormat="1" ht="18" x14ac:dyDescent="0.25"/>
    <row r="2677" s="458" customFormat="1" ht="18" x14ac:dyDescent="0.25"/>
    <row r="2678" s="458" customFormat="1" ht="18" x14ac:dyDescent="0.25"/>
    <row r="2679" s="458" customFormat="1" ht="18" x14ac:dyDescent="0.25"/>
    <row r="2680" s="458" customFormat="1" ht="18" x14ac:dyDescent="0.25"/>
    <row r="2681" s="458" customFormat="1" ht="18" x14ac:dyDescent="0.25"/>
    <row r="2682" s="458" customFormat="1" ht="18" x14ac:dyDescent="0.25"/>
    <row r="2683" s="458" customFormat="1" ht="18" x14ac:dyDescent="0.25"/>
    <row r="2684" s="458" customFormat="1" ht="18" x14ac:dyDescent="0.25"/>
    <row r="2685" s="458" customFormat="1" ht="18" x14ac:dyDescent="0.25"/>
    <row r="2686" s="458" customFormat="1" ht="18" x14ac:dyDescent="0.25"/>
    <row r="2687" s="458" customFormat="1" ht="18" x14ac:dyDescent="0.25"/>
    <row r="2688" s="458" customFormat="1" ht="18" x14ac:dyDescent="0.25"/>
    <row r="2689" s="458" customFormat="1" ht="18" x14ac:dyDescent="0.25"/>
    <row r="2690" s="458" customFormat="1" ht="18" x14ac:dyDescent="0.25"/>
    <row r="2691" s="458" customFormat="1" ht="18" x14ac:dyDescent="0.25"/>
    <row r="2692" s="458" customFormat="1" ht="18" x14ac:dyDescent="0.25"/>
    <row r="2693" s="458" customFormat="1" ht="18" x14ac:dyDescent="0.25"/>
    <row r="2694" s="458" customFormat="1" ht="18" x14ac:dyDescent="0.25"/>
    <row r="2695" s="458" customFormat="1" ht="18" x14ac:dyDescent="0.25"/>
    <row r="2696" s="458" customFormat="1" ht="18" x14ac:dyDescent="0.25"/>
    <row r="2697" s="458" customFormat="1" ht="18" x14ac:dyDescent="0.25"/>
    <row r="2698" s="458" customFormat="1" ht="18" x14ac:dyDescent="0.25"/>
    <row r="2699" s="458" customFormat="1" ht="18" x14ac:dyDescent="0.25"/>
    <row r="2700" s="458" customFormat="1" ht="18" x14ac:dyDescent="0.25"/>
    <row r="2701" s="458" customFormat="1" ht="18" x14ac:dyDescent="0.25"/>
    <row r="2702" s="458" customFormat="1" ht="18" x14ac:dyDescent="0.25"/>
    <row r="2703" s="458" customFormat="1" ht="18" x14ac:dyDescent="0.25"/>
    <row r="2704" s="458" customFormat="1" ht="18" x14ac:dyDescent="0.25"/>
    <row r="2705" s="458" customFormat="1" ht="18" x14ac:dyDescent="0.25"/>
    <row r="2706" s="458" customFormat="1" ht="18" x14ac:dyDescent="0.25"/>
    <row r="2707" s="458" customFormat="1" ht="18" x14ac:dyDescent="0.25"/>
    <row r="2708" s="458" customFormat="1" ht="18" x14ac:dyDescent="0.25"/>
    <row r="2709" s="458" customFormat="1" ht="18" x14ac:dyDescent="0.25"/>
    <row r="2710" s="458" customFormat="1" ht="18" x14ac:dyDescent="0.25"/>
    <row r="2711" s="458" customFormat="1" ht="18" x14ac:dyDescent="0.25"/>
    <row r="2712" s="458" customFormat="1" ht="18" x14ac:dyDescent="0.25"/>
    <row r="2713" s="458" customFormat="1" ht="18" x14ac:dyDescent="0.25"/>
    <row r="2714" s="458" customFormat="1" ht="18" x14ac:dyDescent="0.25"/>
    <row r="2715" s="458" customFormat="1" ht="18" x14ac:dyDescent="0.25"/>
    <row r="2716" s="458" customFormat="1" ht="18" x14ac:dyDescent="0.25"/>
    <row r="2717" s="458" customFormat="1" ht="18" x14ac:dyDescent="0.25"/>
    <row r="2718" s="458" customFormat="1" ht="18" x14ac:dyDescent="0.25"/>
    <row r="2719" s="458" customFormat="1" ht="18" x14ac:dyDescent="0.25"/>
    <row r="2720" s="458" customFormat="1" ht="18" x14ac:dyDescent="0.25"/>
    <row r="2721" s="458" customFormat="1" ht="18" x14ac:dyDescent="0.25"/>
    <row r="2722" s="458" customFormat="1" ht="18" x14ac:dyDescent="0.25"/>
    <row r="2723" s="458" customFormat="1" ht="18" x14ac:dyDescent="0.25"/>
    <row r="2724" s="458" customFormat="1" ht="18" x14ac:dyDescent="0.25"/>
    <row r="2725" s="458" customFormat="1" ht="18" x14ac:dyDescent="0.25"/>
    <row r="2726" s="458" customFormat="1" ht="18" x14ac:dyDescent="0.25"/>
    <row r="2727" s="458" customFormat="1" ht="18" x14ac:dyDescent="0.25"/>
    <row r="2728" s="458" customFormat="1" ht="18" x14ac:dyDescent="0.25"/>
    <row r="2729" s="458" customFormat="1" ht="18" x14ac:dyDescent="0.25"/>
    <row r="2730" s="458" customFormat="1" ht="18" x14ac:dyDescent="0.25"/>
    <row r="2731" s="458" customFormat="1" ht="18" x14ac:dyDescent="0.25"/>
    <row r="2732" s="458" customFormat="1" ht="18" x14ac:dyDescent="0.25"/>
    <row r="2733" s="458" customFormat="1" ht="18" x14ac:dyDescent="0.25"/>
    <row r="2734" s="458" customFormat="1" ht="18" x14ac:dyDescent="0.25"/>
    <row r="2735" s="458" customFormat="1" ht="18" x14ac:dyDescent="0.25"/>
    <row r="2736" s="458" customFormat="1" ht="18" x14ac:dyDescent="0.25"/>
    <row r="2737" s="458" customFormat="1" ht="18" x14ac:dyDescent="0.25"/>
    <row r="2738" s="458" customFormat="1" ht="18" x14ac:dyDescent="0.25"/>
    <row r="2739" s="458" customFormat="1" ht="18" x14ac:dyDescent="0.25"/>
    <row r="2740" s="458" customFormat="1" ht="18" x14ac:dyDescent="0.25"/>
    <row r="2741" s="458" customFormat="1" ht="18" x14ac:dyDescent="0.25"/>
    <row r="2742" s="458" customFormat="1" ht="18" x14ac:dyDescent="0.25"/>
    <row r="2743" s="458" customFormat="1" ht="18" x14ac:dyDescent="0.25"/>
    <row r="2744" s="458" customFormat="1" ht="18" x14ac:dyDescent="0.25"/>
    <row r="2745" s="458" customFormat="1" ht="18" x14ac:dyDescent="0.25"/>
    <row r="2746" s="458" customFormat="1" ht="18" x14ac:dyDescent="0.25"/>
    <row r="2747" s="458" customFormat="1" ht="18" x14ac:dyDescent="0.25"/>
    <row r="2748" s="458" customFormat="1" ht="18" x14ac:dyDescent="0.25"/>
    <row r="2749" s="458" customFormat="1" ht="18" x14ac:dyDescent="0.25"/>
    <row r="2750" s="458" customFormat="1" ht="18" x14ac:dyDescent="0.25"/>
    <row r="2751" s="458" customFormat="1" ht="18" x14ac:dyDescent="0.25"/>
    <row r="2752" s="458" customFormat="1" ht="18" x14ac:dyDescent="0.25"/>
    <row r="2753" s="458" customFormat="1" ht="18" x14ac:dyDescent="0.25"/>
    <row r="2754" s="458" customFormat="1" ht="18" x14ac:dyDescent="0.25"/>
    <row r="2755" s="458" customFormat="1" ht="18" x14ac:dyDescent="0.25"/>
    <row r="2756" s="458" customFormat="1" ht="18" x14ac:dyDescent="0.25"/>
    <row r="2757" s="458" customFormat="1" ht="18" x14ac:dyDescent="0.25"/>
    <row r="2758" s="458" customFormat="1" ht="18" x14ac:dyDescent="0.25"/>
    <row r="2759" s="458" customFormat="1" ht="18" x14ac:dyDescent="0.25"/>
    <row r="2760" s="458" customFormat="1" ht="18" x14ac:dyDescent="0.25"/>
    <row r="2761" s="458" customFormat="1" ht="18" x14ac:dyDescent="0.25"/>
    <row r="2762" s="458" customFormat="1" ht="18" x14ac:dyDescent="0.25"/>
    <row r="2763" s="458" customFormat="1" ht="18" x14ac:dyDescent="0.25"/>
    <row r="2764" s="458" customFormat="1" ht="18" x14ac:dyDescent="0.25"/>
    <row r="2765" s="458" customFormat="1" ht="18" x14ac:dyDescent="0.25"/>
    <row r="2766" s="458" customFormat="1" ht="18" x14ac:dyDescent="0.25"/>
    <row r="2767" s="458" customFormat="1" ht="18" x14ac:dyDescent="0.25"/>
    <row r="2768" s="458" customFormat="1" ht="18" x14ac:dyDescent="0.25"/>
    <row r="2769" s="458" customFormat="1" ht="18" x14ac:dyDescent="0.25"/>
    <row r="2770" s="458" customFormat="1" ht="18" x14ac:dyDescent="0.25"/>
    <row r="2771" s="458" customFormat="1" ht="18" x14ac:dyDescent="0.25"/>
    <row r="2772" s="458" customFormat="1" ht="18" x14ac:dyDescent="0.25"/>
    <row r="2773" s="458" customFormat="1" ht="18" x14ac:dyDescent="0.25"/>
    <row r="2774" s="458" customFormat="1" ht="18" x14ac:dyDescent="0.25"/>
    <row r="2775" s="458" customFormat="1" ht="18" x14ac:dyDescent="0.25"/>
    <row r="2776" s="458" customFormat="1" ht="18" x14ac:dyDescent="0.25"/>
    <row r="2777" s="458" customFormat="1" ht="18" x14ac:dyDescent="0.25"/>
    <row r="2778" s="458" customFormat="1" ht="18" x14ac:dyDescent="0.25"/>
    <row r="2779" s="458" customFormat="1" ht="18" x14ac:dyDescent="0.25"/>
    <row r="2780" s="458" customFormat="1" ht="18" x14ac:dyDescent="0.25"/>
    <row r="2781" s="458" customFormat="1" ht="18" x14ac:dyDescent="0.25"/>
    <row r="2782" s="458" customFormat="1" ht="18" x14ac:dyDescent="0.25"/>
    <row r="2783" s="458" customFormat="1" ht="18" x14ac:dyDescent="0.25"/>
    <row r="2784" s="458" customFormat="1" ht="18" x14ac:dyDescent="0.25"/>
    <row r="2785" s="458" customFormat="1" ht="18" x14ac:dyDescent="0.25"/>
    <row r="2786" s="458" customFormat="1" ht="18" x14ac:dyDescent="0.25"/>
    <row r="2787" s="458" customFormat="1" ht="18" x14ac:dyDescent="0.25"/>
    <row r="2788" s="458" customFormat="1" ht="18" x14ac:dyDescent="0.25"/>
    <row r="2789" s="458" customFormat="1" ht="18" x14ac:dyDescent="0.25"/>
    <row r="2790" s="458" customFormat="1" ht="18" x14ac:dyDescent="0.25"/>
    <row r="2791" s="458" customFormat="1" ht="18" x14ac:dyDescent="0.25"/>
    <row r="2792" s="458" customFormat="1" ht="18" x14ac:dyDescent="0.25"/>
    <row r="2793" s="458" customFormat="1" ht="18" x14ac:dyDescent="0.25"/>
    <row r="2794" s="458" customFormat="1" ht="18" x14ac:dyDescent="0.25"/>
    <row r="2795" s="458" customFormat="1" ht="18" x14ac:dyDescent="0.25"/>
    <row r="2796" s="458" customFormat="1" ht="18" x14ac:dyDescent="0.25"/>
    <row r="2797" s="458" customFormat="1" ht="18" x14ac:dyDescent="0.25"/>
    <row r="2798" s="458" customFormat="1" ht="18" x14ac:dyDescent="0.25"/>
    <row r="2799" s="458" customFormat="1" ht="18" x14ac:dyDescent="0.25"/>
    <row r="2800" s="458" customFormat="1" ht="18" x14ac:dyDescent="0.25"/>
    <row r="2801" s="458" customFormat="1" ht="18" x14ac:dyDescent="0.25"/>
    <row r="2802" s="458" customFormat="1" ht="18" x14ac:dyDescent="0.25"/>
    <row r="2803" s="458" customFormat="1" ht="18" x14ac:dyDescent="0.25"/>
    <row r="2804" s="458" customFormat="1" ht="18" x14ac:dyDescent="0.25"/>
    <row r="2805" s="458" customFormat="1" ht="18" x14ac:dyDescent="0.25"/>
    <row r="2806" s="458" customFormat="1" ht="18" x14ac:dyDescent="0.25"/>
    <row r="2807" s="458" customFormat="1" ht="18" x14ac:dyDescent="0.25"/>
    <row r="2808" s="458" customFormat="1" ht="18" x14ac:dyDescent="0.25"/>
    <row r="2809" s="458" customFormat="1" ht="18" x14ac:dyDescent="0.25"/>
    <row r="2810" s="458" customFormat="1" ht="18" x14ac:dyDescent="0.25"/>
    <row r="2811" s="458" customFormat="1" ht="18" x14ac:dyDescent="0.25"/>
    <row r="2812" s="458" customFormat="1" ht="18" x14ac:dyDescent="0.25"/>
    <row r="2813" s="458" customFormat="1" ht="18" x14ac:dyDescent="0.25"/>
    <row r="2814" s="458" customFormat="1" ht="18" x14ac:dyDescent="0.25"/>
    <row r="2815" s="458" customFormat="1" ht="18" x14ac:dyDescent="0.25"/>
    <row r="2816" s="458" customFormat="1" ht="18" x14ac:dyDescent="0.25"/>
    <row r="2817" s="458" customFormat="1" ht="18" x14ac:dyDescent="0.25"/>
    <row r="2818" s="458" customFormat="1" ht="18" x14ac:dyDescent="0.25"/>
    <row r="2819" s="458" customFormat="1" ht="18" x14ac:dyDescent="0.25"/>
    <row r="2820" s="458" customFormat="1" ht="18" x14ac:dyDescent="0.25"/>
    <row r="2821" s="458" customFormat="1" ht="18" x14ac:dyDescent="0.25"/>
    <row r="2822" s="458" customFormat="1" ht="18" x14ac:dyDescent="0.25"/>
    <row r="2823" s="458" customFormat="1" ht="18" x14ac:dyDescent="0.25"/>
    <row r="2824" s="458" customFormat="1" ht="18" x14ac:dyDescent="0.25"/>
    <row r="2825" s="458" customFormat="1" ht="18" x14ac:dyDescent="0.25"/>
    <row r="2826" s="458" customFormat="1" ht="18" x14ac:dyDescent="0.25"/>
    <row r="2827" s="458" customFormat="1" ht="18" x14ac:dyDescent="0.25"/>
    <row r="2828" s="458" customFormat="1" ht="18" x14ac:dyDescent="0.25"/>
    <row r="2829" s="458" customFormat="1" ht="18" x14ac:dyDescent="0.25"/>
    <row r="2830" s="458" customFormat="1" ht="18" x14ac:dyDescent="0.25"/>
    <row r="2831" s="458" customFormat="1" ht="18" x14ac:dyDescent="0.25"/>
    <row r="2832" s="458" customFormat="1" ht="18" x14ac:dyDescent="0.25"/>
    <row r="2833" s="458" customFormat="1" ht="18" x14ac:dyDescent="0.25"/>
    <row r="2834" s="458" customFormat="1" ht="18" x14ac:dyDescent="0.25"/>
    <row r="2835" s="458" customFormat="1" ht="18" x14ac:dyDescent="0.25"/>
    <row r="2836" s="458" customFormat="1" ht="18" x14ac:dyDescent="0.25"/>
    <row r="2837" s="458" customFormat="1" ht="18" x14ac:dyDescent="0.25"/>
    <row r="2838" s="458" customFormat="1" ht="18" x14ac:dyDescent="0.25"/>
    <row r="2839" s="458" customFormat="1" ht="18" x14ac:dyDescent="0.25"/>
    <row r="2840" s="458" customFormat="1" ht="18" x14ac:dyDescent="0.25"/>
    <row r="2841" s="458" customFormat="1" ht="18" x14ac:dyDescent="0.25"/>
    <row r="2842" s="458" customFormat="1" ht="18" x14ac:dyDescent="0.25"/>
    <row r="2843" s="458" customFormat="1" ht="18" x14ac:dyDescent="0.25"/>
    <row r="2844" s="458" customFormat="1" ht="18" x14ac:dyDescent="0.25"/>
    <row r="2845" s="458" customFormat="1" ht="18" x14ac:dyDescent="0.25"/>
    <row r="2846" s="458" customFormat="1" ht="18" x14ac:dyDescent="0.25"/>
    <row r="2847" s="458" customFormat="1" ht="18" x14ac:dyDescent="0.25"/>
    <row r="2848" s="458" customFormat="1" ht="18" x14ac:dyDescent="0.25"/>
    <row r="2849" s="458" customFormat="1" ht="18" x14ac:dyDescent="0.25"/>
    <row r="2850" s="458" customFormat="1" ht="18" x14ac:dyDescent="0.25"/>
    <row r="2851" s="458" customFormat="1" ht="18" x14ac:dyDescent="0.25"/>
    <row r="2852" s="458" customFormat="1" ht="18" x14ac:dyDescent="0.25"/>
    <row r="2853" s="458" customFormat="1" ht="18" x14ac:dyDescent="0.25"/>
    <row r="2854" s="458" customFormat="1" ht="18" x14ac:dyDescent="0.25"/>
    <row r="2855" s="458" customFormat="1" ht="18" x14ac:dyDescent="0.25"/>
    <row r="2856" s="458" customFormat="1" ht="18" x14ac:dyDescent="0.25"/>
    <row r="2857" s="458" customFormat="1" ht="18" x14ac:dyDescent="0.25"/>
    <row r="2858" s="458" customFormat="1" ht="18" x14ac:dyDescent="0.25"/>
    <row r="2859" s="458" customFormat="1" ht="18" x14ac:dyDescent="0.25"/>
    <row r="2860" s="458" customFormat="1" ht="18" x14ac:dyDescent="0.25"/>
    <row r="2861" s="458" customFormat="1" ht="18" x14ac:dyDescent="0.25"/>
    <row r="2862" s="458" customFormat="1" ht="18" x14ac:dyDescent="0.25"/>
    <row r="2863" s="458" customFormat="1" ht="18" x14ac:dyDescent="0.25"/>
    <row r="2864" s="458" customFormat="1" ht="18" x14ac:dyDescent="0.25"/>
    <row r="2865" s="458" customFormat="1" ht="18" x14ac:dyDescent="0.25"/>
    <row r="2866" s="458" customFormat="1" ht="18" x14ac:dyDescent="0.25"/>
    <row r="2867" s="458" customFormat="1" ht="18" x14ac:dyDescent="0.25"/>
    <row r="2868" s="458" customFormat="1" ht="18" x14ac:dyDescent="0.25"/>
    <row r="2869" s="458" customFormat="1" ht="18" x14ac:dyDescent="0.25"/>
    <row r="2870" s="458" customFormat="1" ht="18" x14ac:dyDescent="0.25"/>
    <row r="2871" s="458" customFormat="1" ht="18" x14ac:dyDescent="0.25"/>
    <row r="2872" s="458" customFormat="1" ht="18" x14ac:dyDescent="0.25"/>
    <row r="2873" s="458" customFormat="1" ht="18" x14ac:dyDescent="0.25"/>
    <row r="2874" s="458" customFormat="1" ht="18" x14ac:dyDescent="0.25"/>
    <row r="2875" s="458" customFormat="1" ht="18" x14ac:dyDescent="0.25"/>
    <row r="2876" s="458" customFormat="1" ht="18" x14ac:dyDescent="0.25"/>
    <row r="2877" s="458" customFormat="1" ht="18" x14ac:dyDescent="0.25"/>
    <row r="2878" s="458" customFormat="1" ht="18" x14ac:dyDescent="0.25"/>
    <row r="2879" s="458" customFormat="1" ht="18" x14ac:dyDescent="0.25"/>
    <row r="2880" s="458" customFormat="1" ht="18" x14ac:dyDescent="0.25"/>
    <row r="2881" s="458" customFormat="1" ht="18" x14ac:dyDescent="0.25"/>
    <row r="2882" s="458" customFormat="1" ht="18" x14ac:dyDescent="0.25"/>
    <row r="2883" s="458" customFormat="1" ht="18" x14ac:dyDescent="0.25"/>
    <row r="2884" s="458" customFormat="1" ht="18" x14ac:dyDescent="0.25"/>
    <row r="2885" s="458" customFormat="1" ht="18" x14ac:dyDescent="0.25"/>
    <row r="2886" s="458" customFormat="1" ht="18" x14ac:dyDescent="0.25"/>
    <row r="2887" s="458" customFormat="1" ht="18" x14ac:dyDescent="0.25"/>
    <row r="2888" s="458" customFormat="1" ht="18" x14ac:dyDescent="0.25"/>
    <row r="2889" s="458" customFormat="1" ht="18" x14ac:dyDescent="0.25"/>
    <row r="2890" s="458" customFormat="1" ht="18" x14ac:dyDescent="0.25"/>
    <row r="2891" s="458" customFormat="1" ht="18" x14ac:dyDescent="0.25"/>
    <row r="2892" s="458" customFormat="1" ht="18" x14ac:dyDescent="0.25"/>
    <row r="2893" s="458" customFormat="1" ht="18" x14ac:dyDescent="0.25"/>
    <row r="2894" s="458" customFormat="1" ht="18" x14ac:dyDescent="0.25"/>
    <row r="2895" s="458" customFormat="1" ht="18" x14ac:dyDescent="0.25"/>
    <row r="2896" s="458" customFormat="1" ht="18" x14ac:dyDescent="0.25"/>
    <row r="2897" s="458" customFormat="1" ht="18" x14ac:dyDescent="0.25"/>
    <row r="2898" s="458" customFormat="1" ht="18" x14ac:dyDescent="0.25"/>
    <row r="2899" s="458" customFormat="1" ht="18" x14ac:dyDescent="0.25"/>
    <row r="2900" s="458" customFormat="1" ht="18" x14ac:dyDescent="0.25"/>
    <row r="2901" s="458" customFormat="1" ht="18" x14ac:dyDescent="0.25"/>
    <row r="2902" s="458" customFormat="1" ht="18" x14ac:dyDescent="0.25"/>
    <row r="2903" s="458" customFormat="1" ht="18" x14ac:dyDescent="0.25"/>
    <row r="2904" s="458" customFormat="1" ht="18" x14ac:dyDescent="0.25"/>
    <row r="2905" s="458" customFormat="1" ht="18" x14ac:dyDescent="0.25"/>
    <row r="2906" s="458" customFormat="1" ht="18" x14ac:dyDescent="0.25"/>
    <row r="2907" s="458" customFormat="1" ht="18" x14ac:dyDescent="0.25"/>
    <row r="2908" s="458" customFormat="1" ht="18" x14ac:dyDescent="0.25"/>
    <row r="2909" s="458" customFormat="1" ht="18" x14ac:dyDescent="0.25"/>
    <row r="2910" s="458" customFormat="1" ht="18" x14ac:dyDescent="0.25"/>
    <row r="2911" s="458" customFormat="1" ht="18" x14ac:dyDescent="0.25"/>
    <row r="2912" s="458" customFormat="1" ht="18" x14ac:dyDescent="0.25"/>
    <row r="2913" s="458" customFormat="1" ht="18" x14ac:dyDescent="0.25"/>
    <row r="2914" s="458" customFormat="1" ht="18" x14ac:dyDescent="0.25"/>
    <row r="2915" s="458" customFormat="1" ht="18" x14ac:dyDescent="0.25"/>
    <row r="2916" s="458" customFormat="1" ht="18" x14ac:dyDescent="0.25"/>
    <row r="2917" s="458" customFormat="1" ht="18" x14ac:dyDescent="0.25"/>
    <row r="2918" s="458" customFormat="1" ht="18" x14ac:dyDescent="0.25"/>
    <row r="2919" s="458" customFormat="1" ht="18" x14ac:dyDescent="0.25"/>
    <row r="2920" s="458" customFormat="1" ht="18" x14ac:dyDescent="0.25"/>
    <row r="2921" s="458" customFormat="1" ht="18" x14ac:dyDescent="0.25"/>
    <row r="2922" s="458" customFormat="1" ht="18" x14ac:dyDescent="0.25"/>
    <row r="2923" s="458" customFormat="1" ht="18" x14ac:dyDescent="0.25"/>
    <row r="2924" s="458" customFormat="1" ht="18" x14ac:dyDescent="0.25"/>
    <row r="2925" s="458" customFormat="1" ht="18" x14ac:dyDescent="0.25"/>
    <row r="2926" s="458" customFormat="1" ht="18" x14ac:dyDescent="0.25"/>
    <row r="2927" s="458" customFormat="1" ht="18" x14ac:dyDescent="0.25"/>
    <row r="2928" s="458" customFormat="1" ht="18" x14ac:dyDescent="0.25"/>
    <row r="2929" s="458" customFormat="1" ht="18" x14ac:dyDescent="0.25"/>
    <row r="2930" s="458" customFormat="1" ht="18" x14ac:dyDescent="0.25"/>
    <row r="2931" s="458" customFormat="1" ht="18" x14ac:dyDescent="0.25"/>
    <row r="2932" s="458" customFormat="1" ht="18" x14ac:dyDescent="0.25"/>
    <row r="2933" s="458" customFormat="1" ht="18" x14ac:dyDescent="0.25"/>
    <row r="2934" s="458" customFormat="1" ht="18" x14ac:dyDescent="0.25"/>
    <row r="2935" s="458" customFormat="1" ht="18" x14ac:dyDescent="0.25"/>
    <row r="2936" s="458" customFormat="1" ht="18" x14ac:dyDescent="0.25"/>
    <row r="2937" s="458" customFormat="1" ht="18" x14ac:dyDescent="0.25"/>
    <row r="2938" s="458" customFormat="1" ht="18" x14ac:dyDescent="0.25"/>
    <row r="2939" s="458" customFormat="1" ht="18" x14ac:dyDescent="0.25"/>
    <row r="2940" s="458" customFormat="1" ht="18" x14ac:dyDescent="0.25"/>
    <row r="2941" s="458" customFormat="1" ht="18" x14ac:dyDescent="0.25"/>
    <row r="2942" s="458" customFormat="1" ht="18" x14ac:dyDescent="0.25"/>
    <row r="2943" s="458" customFormat="1" ht="18" x14ac:dyDescent="0.25"/>
    <row r="2944" s="458" customFormat="1" ht="18" x14ac:dyDescent="0.25"/>
    <row r="2945" s="458" customFormat="1" ht="18" x14ac:dyDescent="0.25"/>
    <row r="2946" s="458" customFormat="1" ht="18" x14ac:dyDescent="0.25"/>
    <row r="2947" s="458" customFormat="1" ht="18" x14ac:dyDescent="0.25"/>
    <row r="2948" s="458" customFormat="1" ht="18" x14ac:dyDescent="0.25"/>
    <row r="2949" s="458" customFormat="1" ht="18" x14ac:dyDescent="0.25"/>
    <row r="2950" s="458" customFormat="1" ht="18" x14ac:dyDescent="0.25"/>
    <row r="2951" s="458" customFormat="1" ht="18" x14ac:dyDescent="0.25"/>
    <row r="2952" s="458" customFormat="1" ht="18" x14ac:dyDescent="0.25"/>
    <row r="2953" s="458" customFormat="1" ht="18" x14ac:dyDescent="0.25"/>
    <row r="2954" s="458" customFormat="1" ht="18" x14ac:dyDescent="0.25"/>
    <row r="2955" s="458" customFormat="1" ht="18" x14ac:dyDescent="0.25"/>
    <row r="2956" s="458" customFormat="1" ht="18" x14ac:dyDescent="0.25"/>
    <row r="2957" s="458" customFormat="1" ht="18" x14ac:dyDescent="0.25"/>
    <row r="2958" s="458" customFormat="1" ht="18" x14ac:dyDescent="0.25"/>
    <row r="2959" s="458" customFormat="1" ht="18" x14ac:dyDescent="0.25"/>
    <row r="2960" s="458" customFormat="1" ht="18" x14ac:dyDescent="0.25"/>
    <row r="2961" s="458" customFormat="1" ht="18" x14ac:dyDescent="0.25"/>
    <row r="2962" s="458" customFormat="1" ht="18" x14ac:dyDescent="0.25"/>
    <row r="2963" s="458" customFormat="1" ht="18" x14ac:dyDescent="0.25"/>
    <row r="2964" s="458" customFormat="1" ht="18" x14ac:dyDescent="0.25"/>
    <row r="2965" s="458" customFormat="1" ht="18" x14ac:dyDescent="0.25"/>
    <row r="2966" s="458" customFormat="1" ht="18" x14ac:dyDescent="0.25"/>
    <row r="2967" s="458" customFormat="1" ht="18" x14ac:dyDescent="0.25"/>
    <row r="2968" s="458" customFormat="1" ht="18" x14ac:dyDescent="0.25"/>
    <row r="2969" s="458" customFormat="1" ht="18" x14ac:dyDescent="0.25"/>
    <row r="2970" s="458" customFormat="1" ht="18" x14ac:dyDescent="0.25"/>
    <row r="2971" s="458" customFormat="1" ht="18" x14ac:dyDescent="0.25"/>
    <row r="2972" s="458" customFormat="1" ht="18" x14ac:dyDescent="0.25"/>
    <row r="2973" s="458" customFormat="1" ht="18" x14ac:dyDescent="0.25"/>
    <row r="2974" s="458" customFormat="1" ht="18" x14ac:dyDescent="0.25"/>
    <row r="2975" s="458" customFormat="1" ht="18" x14ac:dyDescent="0.25"/>
    <row r="2976" s="458" customFormat="1" ht="18" x14ac:dyDescent="0.25"/>
    <row r="2977" s="458" customFormat="1" ht="18" x14ac:dyDescent="0.25"/>
    <row r="2978" s="458" customFormat="1" ht="18" x14ac:dyDescent="0.25"/>
    <row r="2979" s="458" customFormat="1" ht="18" x14ac:dyDescent="0.25"/>
    <row r="2980" s="458" customFormat="1" ht="18" x14ac:dyDescent="0.25"/>
    <row r="2981" s="458" customFormat="1" ht="18" x14ac:dyDescent="0.25"/>
    <row r="2982" s="458" customFormat="1" ht="18" x14ac:dyDescent="0.25"/>
    <row r="2983" s="458" customFormat="1" ht="18" x14ac:dyDescent="0.25"/>
    <row r="2984" s="458" customFormat="1" ht="18" x14ac:dyDescent="0.25"/>
    <row r="2985" s="458" customFormat="1" ht="18" x14ac:dyDescent="0.25"/>
    <row r="2986" s="458" customFormat="1" ht="18" x14ac:dyDescent="0.25"/>
    <row r="2987" s="458" customFormat="1" ht="18" x14ac:dyDescent="0.25"/>
    <row r="2988" s="458" customFormat="1" ht="18" x14ac:dyDescent="0.25"/>
    <row r="2989" s="458" customFormat="1" ht="18" x14ac:dyDescent="0.25"/>
    <row r="2990" s="458" customFormat="1" ht="18" x14ac:dyDescent="0.25"/>
    <row r="2991" s="458" customFormat="1" ht="18" x14ac:dyDescent="0.25"/>
    <row r="2992" s="458" customFormat="1" ht="18" x14ac:dyDescent="0.25"/>
    <row r="2993" s="458" customFormat="1" ht="18" x14ac:dyDescent="0.25"/>
    <row r="2994" s="458" customFormat="1" ht="18" x14ac:dyDescent="0.25"/>
    <row r="2995" s="458" customFormat="1" ht="18" x14ac:dyDescent="0.25"/>
    <row r="2996" s="458" customFormat="1" ht="18" x14ac:dyDescent="0.25"/>
    <row r="2997" s="458" customFormat="1" ht="18" x14ac:dyDescent="0.25"/>
    <row r="2998" s="458" customFormat="1" ht="18" x14ac:dyDescent="0.25"/>
    <row r="2999" s="458" customFormat="1" ht="18" x14ac:dyDescent="0.25"/>
    <row r="3000" s="458" customFormat="1" ht="18" x14ac:dyDescent="0.25"/>
    <row r="3001" s="458" customFormat="1" ht="18" x14ac:dyDescent="0.25"/>
    <row r="3002" s="458" customFormat="1" ht="18" x14ac:dyDescent="0.25"/>
    <row r="3003" s="458" customFormat="1" ht="18" x14ac:dyDescent="0.25"/>
    <row r="3004" s="458" customFormat="1" ht="18" x14ac:dyDescent="0.25"/>
    <row r="3005" s="458" customFormat="1" ht="18" x14ac:dyDescent="0.25"/>
    <row r="3006" s="458" customFormat="1" ht="18" x14ac:dyDescent="0.25"/>
    <row r="3007" s="458" customFormat="1" ht="18" x14ac:dyDescent="0.25"/>
    <row r="3008" s="458" customFormat="1" ht="18" x14ac:dyDescent="0.25"/>
    <row r="3009" s="458" customFormat="1" ht="18" x14ac:dyDescent="0.25"/>
    <row r="3010" s="458" customFormat="1" ht="18" x14ac:dyDescent="0.25"/>
    <row r="3011" s="458" customFormat="1" ht="18" x14ac:dyDescent="0.25"/>
    <row r="3012" s="458" customFormat="1" ht="18" x14ac:dyDescent="0.25"/>
    <row r="3013" s="458" customFormat="1" ht="18" x14ac:dyDescent="0.25"/>
    <row r="3014" s="458" customFormat="1" ht="18" x14ac:dyDescent="0.25"/>
    <row r="3015" s="458" customFormat="1" ht="18" x14ac:dyDescent="0.25"/>
    <row r="3016" s="458" customFormat="1" ht="18" x14ac:dyDescent="0.25"/>
    <row r="3017" s="458" customFormat="1" ht="18" x14ac:dyDescent="0.25"/>
    <row r="3018" s="458" customFormat="1" ht="18" x14ac:dyDescent="0.25"/>
    <row r="3019" s="458" customFormat="1" ht="18" x14ac:dyDescent="0.25"/>
    <row r="3020" s="458" customFormat="1" ht="18" x14ac:dyDescent="0.25"/>
    <row r="3021" s="458" customFormat="1" ht="18" x14ac:dyDescent="0.25"/>
    <row r="3022" s="458" customFormat="1" ht="18" x14ac:dyDescent="0.25"/>
    <row r="3023" s="458" customFormat="1" ht="18" x14ac:dyDescent="0.25"/>
    <row r="3024" s="458" customFormat="1" ht="18" x14ac:dyDescent="0.25"/>
    <row r="3025" s="458" customFormat="1" ht="18" x14ac:dyDescent="0.25"/>
    <row r="3026" s="458" customFormat="1" ht="18" x14ac:dyDescent="0.25"/>
    <row r="3027" s="458" customFormat="1" ht="18" x14ac:dyDescent="0.25"/>
    <row r="3028" s="458" customFormat="1" ht="18" x14ac:dyDescent="0.25"/>
    <row r="3029" s="458" customFormat="1" ht="18" x14ac:dyDescent="0.25"/>
    <row r="3030" s="458" customFormat="1" ht="18" x14ac:dyDescent="0.25"/>
    <row r="3031" s="458" customFormat="1" ht="18" x14ac:dyDescent="0.25"/>
    <row r="3032" s="458" customFormat="1" ht="18" x14ac:dyDescent="0.25"/>
    <row r="3033" s="458" customFormat="1" ht="18" x14ac:dyDescent="0.25"/>
    <row r="3034" s="458" customFormat="1" ht="18" x14ac:dyDescent="0.25"/>
    <row r="3035" s="458" customFormat="1" ht="18" x14ac:dyDescent="0.25"/>
    <row r="3036" s="458" customFormat="1" ht="18" x14ac:dyDescent="0.25"/>
    <row r="3037" s="458" customFormat="1" ht="18" x14ac:dyDescent="0.25"/>
    <row r="3038" s="458" customFormat="1" ht="18" x14ac:dyDescent="0.25"/>
    <row r="3039" s="458" customFormat="1" ht="18" x14ac:dyDescent="0.25"/>
    <row r="3040" s="458" customFormat="1" ht="18" x14ac:dyDescent="0.25"/>
    <row r="3041" s="458" customFormat="1" ht="18" x14ac:dyDescent="0.25"/>
    <row r="3042" s="458" customFormat="1" ht="18" x14ac:dyDescent="0.25"/>
    <row r="3043" s="458" customFormat="1" ht="18" x14ac:dyDescent="0.25"/>
    <row r="3044" s="458" customFormat="1" ht="18" x14ac:dyDescent="0.25"/>
    <row r="3045" s="458" customFormat="1" ht="18" x14ac:dyDescent="0.25"/>
    <row r="3046" s="458" customFormat="1" ht="18" x14ac:dyDescent="0.25"/>
    <row r="3047" s="458" customFormat="1" ht="18" x14ac:dyDescent="0.25"/>
    <row r="3048" s="458" customFormat="1" ht="18" x14ac:dyDescent="0.25"/>
    <row r="3049" s="458" customFormat="1" ht="18" x14ac:dyDescent="0.25"/>
    <row r="3050" s="458" customFormat="1" ht="18" x14ac:dyDescent="0.25"/>
    <row r="3051" s="458" customFormat="1" ht="18" x14ac:dyDescent="0.25"/>
    <row r="3052" s="458" customFormat="1" ht="18" x14ac:dyDescent="0.25"/>
    <row r="3053" s="458" customFormat="1" ht="18" x14ac:dyDescent="0.25"/>
    <row r="3054" s="458" customFormat="1" ht="18" x14ac:dyDescent="0.25"/>
    <row r="3055" s="458" customFormat="1" ht="18" x14ac:dyDescent="0.25"/>
    <row r="3056" s="458" customFormat="1" ht="18" x14ac:dyDescent="0.25"/>
    <row r="3057" s="458" customFormat="1" ht="18" x14ac:dyDescent="0.25"/>
    <row r="3058" s="458" customFormat="1" ht="18" x14ac:dyDescent="0.25"/>
    <row r="3059" s="458" customFormat="1" ht="18" x14ac:dyDescent="0.25"/>
    <row r="3060" s="458" customFormat="1" ht="18" x14ac:dyDescent="0.25"/>
    <row r="3061" s="458" customFormat="1" ht="18" x14ac:dyDescent="0.25"/>
    <row r="3062" s="458" customFormat="1" ht="18" x14ac:dyDescent="0.25"/>
    <row r="3063" s="458" customFormat="1" ht="18" x14ac:dyDescent="0.25"/>
    <row r="3064" s="458" customFormat="1" ht="18" x14ac:dyDescent="0.25"/>
    <row r="3065" s="458" customFormat="1" ht="18" x14ac:dyDescent="0.25"/>
    <row r="3066" s="458" customFormat="1" ht="18" x14ac:dyDescent="0.25"/>
    <row r="3067" s="458" customFormat="1" ht="18" x14ac:dyDescent="0.25"/>
    <row r="3068" s="458" customFormat="1" ht="18" x14ac:dyDescent="0.25"/>
    <row r="3069" s="458" customFormat="1" ht="18" x14ac:dyDescent="0.25"/>
    <row r="3070" s="458" customFormat="1" ht="18" x14ac:dyDescent="0.25"/>
    <row r="3071" s="458" customFormat="1" ht="18" x14ac:dyDescent="0.25"/>
    <row r="3072" s="458" customFormat="1" ht="18" x14ac:dyDescent="0.25"/>
    <row r="3073" s="458" customFormat="1" ht="18" x14ac:dyDescent="0.25"/>
    <row r="3074" s="458" customFormat="1" ht="18" x14ac:dyDescent="0.25"/>
    <row r="3075" s="458" customFormat="1" ht="18" x14ac:dyDescent="0.25"/>
    <row r="3076" s="458" customFormat="1" ht="18" x14ac:dyDescent="0.25"/>
    <row r="3077" s="458" customFormat="1" ht="18" x14ac:dyDescent="0.25"/>
    <row r="3078" s="458" customFormat="1" ht="18" x14ac:dyDescent="0.25"/>
    <row r="3079" s="458" customFormat="1" ht="18" x14ac:dyDescent="0.25"/>
    <row r="3080" s="458" customFormat="1" ht="18" x14ac:dyDescent="0.25"/>
    <row r="3081" s="458" customFormat="1" ht="18" x14ac:dyDescent="0.25"/>
    <row r="3082" s="458" customFormat="1" ht="18" x14ac:dyDescent="0.25"/>
    <row r="3083" s="458" customFormat="1" ht="18" x14ac:dyDescent="0.25"/>
    <row r="3084" s="458" customFormat="1" ht="18" x14ac:dyDescent="0.25"/>
    <row r="3085" s="458" customFormat="1" ht="18" x14ac:dyDescent="0.25"/>
    <row r="3086" s="458" customFormat="1" ht="18" x14ac:dyDescent="0.25"/>
    <row r="3087" s="458" customFormat="1" ht="18" x14ac:dyDescent="0.25"/>
    <row r="3088" s="458" customFormat="1" ht="18" x14ac:dyDescent="0.25"/>
    <row r="3089" s="458" customFormat="1" ht="18" x14ac:dyDescent="0.25"/>
    <row r="3090" s="458" customFormat="1" ht="18" x14ac:dyDescent="0.25"/>
    <row r="3091" s="458" customFormat="1" ht="18" x14ac:dyDescent="0.25"/>
    <row r="3092" s="458" customFormat="1" ht="18" x14ac:dyDescent="0.25"/>
    <row r="3093" s="458" customFormat="1" ht="18" x14ac:dyDescent="0.25"/>
    <row r="3094" s="458" customFormat="1" ht="18" x14ac:dyDescent="0.25"/>
    <row r="3095" s="458" customFormat="1" ht="18" x14ac:dyDescent="0.25"/>
    <row r="3096" s="458" customFormat="1" ht="18" x14ac:dyDescent="0.25"/>
    <row r="3097" s="458" customFormat="1" ht="18" x14ac:dyDescent="0.25"/>
    <row r="3098" s="458" customFormat="1" ht="18" x14ac:dyDescent="0.25"/>
    <row r="3099" s="458" customFormat="1" ht="18" x14ac:dyDescent="0.25"/>
    <row r="3100" s="458" customFormat="1" ht="18" x14ac:dyDescent="0.25"/>
    <row r="3101" s="458" customFormat="1" ht="18" x14ac:dyDescent="0.25"/>
    <row r="3102" s="458" customFormat="1" ht="18" x14ac:dyDescent="0.25"/>
    <row r="3103" s="458" customFormat="1" ht="18" x14ac:dyDescent="0.25"/>
    <row r="3104" s="458" customFormat="1" ht="18" x14ac:dyDescent="0.25"/>
    <row r="3105" s="458" customFormat="1" ht="18" x14ac:dyDescent="0.25"/>
    <row r="3106" s="458" customFormat="1" ht="18" x14ac:dyDescent="0.25"/>
    <row r="3107" s="458" customFormat="1" ht="18" x14ac:dyDescent="0.25"/>
    <row r="3108" s="458" customFormat="1" ht="18" x14ac:dyDescent="0.25"/>
    <row r="3109" s="458" customFormat="1" ht="18" x14ac:dyDescent="0.25"/>
    <row r="3110" s="458" customFormat="1" ht="18" x14ac:dyDescent="0.25"/>
    <row r="3111" s="458" customFormat="1" ht="18" x14ac:dyDescent="0.25"/>
    <row r="3112" s="458" customFormat="1" ht="18" x14ac:dyDescent="0.25"/>
    <row r="3113" s="458" customFormat="1" ht="18" x14ac:dyDescent="0.25"/>
    <row r="3114" s="458" customFormat="1" ht="18" x14ac:dyDescent="0.25"/>
    <row r="3115" s="458" customFormat="1" ht="18" x14ac:dyDescent="0.25"/>
    <row r="3116" s="458" customFormat="1" ht="18" x14ac:dyDescent="0.25"/>
    <row r="3117" s="458" customFormat="1" ht="18" x14ac:dyDescent="0.25"/>
    <row r="3118" s="458" customFormat="1" ht="18" x14ac:dyDescent="0.25"/>
    <row r="3119" s="458" customFormat="1" ht="18" x14ac:dyDescent="0.25"/>
    <row r="3120" s="458" customFormat="1" ht="18" x14ac:dyDescent="0.25"/>
    <row r="3121" s="458" customFormat="1" ht="18" x14ac:dyDescent="0.25"/>
    <row r="3122" s="458" customFormat="1" ht="18" x14ac:dyDescent="0.25"/>
    <row r="3123" s="458" customFormat="1" ht="18" x14ac:dyDescent="0.25"/>
    <row r="3124" s="458" customFormat="1" ht="18" x14ac:dyDescent="0.25"/>
    <row r="3125" s="458" customFormat="1" ht="18" x14ac:dyDescent="0.25"/>
    <row r="3126" s="458" customFormat="1" ht="18" x14ac:dyDescent="0.25"/>
    <row r="3127" s="458" customFormat="1" ht="18" x14ac:dyDescent="0.25"/>
    <row r="3128" s="458" customFormat="1" ht="18" x14ac:dyDescent="0.25"/>
    <row r="3129" s="458" customFormat="1" ht="18" x14ac:dyDescent="0.25"/>
    <row r="3130" s="458" customFormat="1" ht="18" x14ac:dyDescent="0.25"/>
    <row r="3131" s="458" customFormat="1" ht="18" x14ac:dyDescent="0.25"/>
    <row r="3132" s="458" customFormat="1" ht="18" x14ac:dyDescent="0.25"/>
    <row r="3133" s="458" customFormat="1" ht="18" x14ac:dyDescent="0.25"/>
    <row r="3134" s="458" customFormat="1" ht="18" x14ac:dyDescent="0.25"/>
    <row r="3135" s="458" customFormat="1" ht="18" x14ac:dyDescent="0.25"/>
    <row r="3136" s="458" customFormat="1" ht="18" x14ac:dyDescent="0.25"/>
    <row r="3137" s="458" customFormat="1" ht="18" x14ac:dyDescent="0.25"/>
    <row r="3138" s="458" customFormat="1" ht="18" x14ac:dyDescent="0.25"/>
    <row r="3139" s="458" customFormat="1" ht="18" x14ac:dyDescent="0.25"/>
    <row r="3140" s="458" customFormat="1" ht="18" x14ac:dyDescent="0.25"/>
    <row r="3141" s="458" customFormat="1" ht="18" x14ac:dyDescent="0.25"/>
    <row r="3142" s="458" customFormat="1" ht="18" x14ac:dyDescent="0.25"/>
    <row r="3143" s="458" customFormat="1" ht="18" x14ac:dyDescent="0.25"/>
    <row r="3144" s="458" customFormat="1" ht="18" x14ac:dyDescent="0.25"/>
    <row r="3145" s="458" customFormat="1" ht="18" x14ac:dyDescent="0.25"/>
    <row r="3146" s="458" customFormat="1" ht="18" x14ac:dyDescent="0.25"/>
    <row r="3147" s="458" customFormat="1" ht="18" x14ac:dyDescent="0.25"/>
    <row r="3148" s="458" customFormat="1" ht="18" x14ac:dyDescent="0.25"/>
    <row r="3149" s="458" customFormat="1" ht="18" x14ac:dyDescent="0.25"/>
    <row r="3150" s="458" customFormat="1" ht="18" x14ac:dyDescent="0.25"/>
    <row r="3151" s="458" customFormat="1" ht="18" x14ac:dyDescent="0.25"/>
    <row r="3152" s="458" customFormat="1" ht="18" x14ac:dyDescent="0.25"/>
    <row r="3153" s="458" customFormat="1" ht="18" x14ac:dyDescent="0.25"/>
    <row r="3154" s="458" customFormat="1" ht="18" x14ac:dyDescent="0.25"/>
    <row r="3155" s="458" customFormat="1" ht="18" x14ac:dyDescent="0.25"/>
    <row r="3156" s="458" customFormat="1" ht="18" x14ac:dyDescent="0.25"/>
    <row r="3157" s="458" customFormat="1" ht="18" x14ac:dyDescent="0.25"/>
    <row r="3158" s="458" customFormat="1" ht="18" x14ac:dyDescent="0.25"/>
    <row r="3159" s="458" customFormat="1" ht="18" x14ac:dyDescent="0.25"/>
    <row r="3160" s="458" customFormat="1" ht="18" x14ac:dyDescent="0.25"/>
    <row r="3161" s="458" customFormat="1" ht="18" x14ac:dyDescent="0.25"/>
    <row r="3162" s="458" customFormat="1" ht="18" x14ac:dyDescent="0.25"/>
    <row r="3163" s="458" customFormat="1" ht="18" x14ac:dyDescent="0.25"/>
    <row r="3164" s="458" customFormat="1" ht="18" x14ac:dyDescent="0.25"/>
    <row r="3165" s="458" customFormat="1" ht="18" x14ac:dyDescent="0.25"/>
    <row r="3166" s="458" customFormat="1" ht="18" x14ac:dyDescent="0.25"/>
    <row r="3167" s="458" customFormat="1" ht="18" x14ac:dyDescent="0.25"/>
    <row r="3168" s="458" customFormat="1" ht="18" x14ac:dyDescent="0.25"/>
    <row r="3169" s="458" customFormat="1" ht="18" x14ac:dyDescent="0.25"/>
    <row r="3170" s="458" customFormat="1" ht="18" x14ac:dyDescent="0.25"/>
    <row r="3171" s="458" customFormat="1" ht="18" x14ac:dyDescent="0.25"/>
    <row r="3172" s="458" customFormat="1" ht="18" x14ac:dyDescent="0.25"/>
    <row r="3173" s="458" customFormat="1" ht="18" x14ac:dyDescent="0.25"/>
    <row r="3174" s="458" customFormat="1" ht="18" x14ac:dyDescent="0.25"/>
    <row r="3175" s="458" customFormat="1" ht="18" x14ac:dyDescent="0.25"/>
    <row r="3176" s="458" customFormat="1" ht="18" x14ac:dyDescent="0.25"/>
    <row r="3177" s="458" customFormat="1" ht="18" x14ac:dyDescent="0.25"/>
    <row r="3178" s="458" customFormat="1" ht="18" x14ac:dyDescent="0.25"/>
    <row r="3179" s="458" customFormat="1" ht="18" x14ac:dyDescent="0.25"/>
    <row r="3180" s="458" customFormat="1" ht="18" x14ac:dyDescent="0.25"/>
    <row r="3181" s="458" customFormat="1" ht="18" x14ac:dyDescent="0.25"/>
    <row r="3182" s="458" customFormat="1" ht="18" x14ac:dyDescent="0.25"/>
    <row r="3183" s="458" customFormat="1" ht="18" x14ac:dyDescent="0.25"/>
    <row r="3184" s="458" customFormat="1" ht="18" x14ac:dyDescent="0.25"/>
    <row r="3185" s="458" customFormat="1" ht="18" x14ac:dyDescent="0.25"/>
    <row r="3186" s="458" customFormat="1" ht="18" x14ac:dyDescent="0.25"/>
    <row r="3187" s="458" customFormat="1" ht="18" x14ac:dyDescent="0.25"/>
    <row r="3188" s="458" customFormat="1" ht="18" x14ac:dyDescent="0.25"/>
    <row r="3189" s="458" customFormat="1" ht="18" x14ac:dyDescent="0.25"/>
    <row r="3190" s="458" customFormat="1" ht="18" x14ac:dyDescent="0.25"/>
    <row r="3191" s="458" customFormat="1" ht="18" x14ac:dyDescent="0.25"/>
    <row r="3192" s="458" customFormat="1" ht="18" x14ac:dyDescent="0.25"/>
    <row r="3193" s="458" customFormat="1" ht="18" x14ac:dyDescent="0.25"/>
    <row r="3194" s="458" customFormat="1" ht="18" x14ac:dyDescent="0.25"/>
    <row r="3195" s="458" customFormat="1" ht="18" x14ac:dyDescent="0.25"/>
    <row r="3196" s="458" customFormat="1" ht="18" x14ac:dyDescent="0.25"/>
    <row r="3197" s="458" customFormat="1" ht="18" x14ac:dyDescent="0.25"/>
    <row r="3198" s="458" customFormat="1" ht="18" x14ac:dyDescent="0.25"/>
    <row r="3199" s="458" customFormat="1" ht="18" x14ac:dyDescent="0.25"/>
    <row r="3200" s="458" customFormat="1" ht="18" x14ac:dyDescent="0.25"/>
    <row r="3201" s="458" customFormat="1" ht="18" x14ac:dyDescent="0.25"/>
    <row r="3202" s="458" customFormat="1" ht="18" x14ac:dyDescent="0.25"/>
    <row r="3203" s="458" customFormat="1" ht="18" x14ac:dyDescent="0.25"/>
    <row r="3204" s="458" customFormat="1" ht="18" x14ac:dyDescent="0.25"/>
    <row r="3205" s="458" customFormat="1" ht="18" x14ac:dyDescent="0.25"/>
    <row r="3206" s="458" customFormat="1" ht="18" x14ac:dyDescent="0.25"/>
    <row r="3207" s="458" customFormat="1" ht="18" x14ac:dyDescent="0.25"/>
    <row r="3208" s="458" customFormat="1" ht="18" x14ac:dyDescent="0.25"/>
    <row r="3209" s="458" customFormat="1" ht="18" x14ac:dyDescent="0.25"/>
    <row r="3210" s="458" customFormat="1" ht="18" x14ac:dyDescent="0.25"/>
    <row r="3211" s="458" customFormat="1" ht="18" x14ac:dyDescent="0.25"/>
    <row r="3212" s="458" customFormat="1" ht="18" x14ac:dyDescent="0.25"/>
    <row r="3213" s="458" customFormat="1" ht="18" x14ac:dyDescent="0.25"/>
    <row r="3214" s="458" customFormat="1" ht="18" x14ac:dyDescent="0.25"/>
    <row r="3215" s="458" customFormat="1" ht="18" x14ac:dyDescent="0.25"/>
    <row r="3216" s="458" customFormat="1" ht="18" x14ac:dyDescent="0.25"/>
    <row r="3217" s="458" customFormat="1" ht="18" x14ac:dyDescent="0.25"/>
    <row r="3218" s="458" customFormat="1" ht="18" x14ac:dyDescent="0.25"/>
    <row r="3219" s="458" customFormat="1" ht="18" x14ac:dyDescent="0.25"/>
    <row r="3220" s="458" customFormat="1" ht="18" x14ac:dyDescent="0.25"/>
    <row r="3221" s="458" customFormat="1" ht="18" x14ac:dyDescent="0.25"/>
    <row r="3222" s="458" customFormat="1" ht="18" x14ac:dyDescent="0.25"/>
    <row r="3223" s="458" customFormat="1" ht="18" x14ac:dyDescent="0.25"/>
    <row r="3224" s="458" customFormat="1" ht="18" x14ac:dyDescent="0.25"/>
    <row r="3225" s="458" customFormat="1" ht="18" x14ac:dyDescent="0.25"/>
    <row r="3226" s="458" customFormat="1" ht="18" x14ac:dyDescent="0.25"/>
    <row r="3227" s="458" customFormat="1" ht="18" x14ac:dyDescent="0.25"/>
    <row r="3228" s="458" customFormat="1" ht="18" x14ac:dyDescent="0.25"/>
    <row r="3229" s="458" customFormat="1" ht="18" x14ac:dyDescent="0.25"/>
    <row r="3230" s="458" customFormat="1" ht="18" x14ac:dyDescent="0.25"/>
    <row r="3231" s="458" customFormat="1" ht="18" x14ac:dyDescent="0.25"/>
    <row r="3232" s="458" customFormat="1" ht="18" x14ac:dyDescent="0.25"/>
    <row r="3233" s="458" customFormat="1" ht="18" x14ac:dyDescent="0.25"/>
    <row r="3234" s="458" customFormat="1" ht="18" x14ac:dyDescent="0.25"/>
    <row r="3235" s="458" customFormat="1" ht="18" x14ac:dyDescent="0.25"/>
    <row r="3236" s="458" customFormat="1" ht="18" x14ac:dyDescent="0.25"/>
    <row r="3237" s="458" customFormat="1" ht="18" x14ac:dyDescent="0.25"/>
    <row r="3238" s="458" customFormat="1" ht="18" x14ac:dyDescent="0.25"/>
    <row r="3239" s="458" customFormat="1" ht="18" x14ac:dyDescent="0.25"/>
    <row r="3240" s="458" customFormat="1" ht="18" x14ac:dyDescent="0.25"/>
    <row r="3241" s="458" customFormat="1" ht="18" x14ac:dyDescent="0.25"/>
    <row r="3242" s="458" customFormat="1" ht="18" x14ac:dyDescent="0.25"/>
    <row r="3243" s="458" customFormat="1" ht="18" x14ac:dyDescent="0.25"/>
    <row r="3244" s="458" customFormat="1" ht="18" x14ac:dyDescent="0.25"/>
    <row r="3245" s="458" customFormat="1" ht="18" x14ac:dyDescent="0.25"/>
    <row r="3246" s="458" customFormat="1" ht="18" x14ac:dyDescent="0.25"/>
    <row r="3247" s="458" customFormat="1" ht="18" x14ac:dyDescent="0.25"/>
    <row r="3248" s="458" customFormat="1" ht="18" x14ac:dyDescent="0.25"/>
    <row r="3249" s="458" customFormat="1" ht="18" x14ac:dyDescent="0.25"/>
    <row r="3250" s="458" customFormat="1" ht="18" x14ac:dyDescent="0.25"/>
    <row r="3251" s="458" customFormat="1" ht="18" x14ac:dyDescent="0.25"/>
    <row r="3252" s="458" customFormat="1" ht="18" x14ac:dyDescent="0.25"/>
    <row r="3253" s="458" customFormat="1" ht="18" x14ac:dyDescent="0.25"/>
    <row r="3254" s="458" customFormat="1" ht="18" x14ac:dyDescent="0.25"/>
    <row r="3255" s="458" customFormat="1" ht="18" x14ac:dyDescent="0.25"/>
    <row r="3256" s="458" customFormat="1" ht="18" x14ac:dyDescent="0.25"/>
    <row r="3257" s="458" customFormat="1" ht="18" x14ac:dyDescent="0.25"/>
    <row r="3258" s="458" customFormat="1" ht="18" x14ac:dyDescent="0.25"/>
    <row r="3259" s="458" customFormat="1" ht="18" x14ac:dyDescent="0.25"/>
    <row r="3260" s="458" customFormat="1" ht="18" x14ac:dyDescent="0.25"/>
    <row r="3261" s="458" customFormat="1" ht="18" x14ac:dyDescent="0.25"/>
    <row r="3262" s="458" customFormat="1" ht="18" x14ac:dyDescent="0.25"/>
    <row r="3263" s="458" customFormat="1" ht="18" x14ac:dyDescent="0.25"/>
    <row r="3264" s="458" customFormat="1" ht="18" x14ac:dyDescent="0.25"/>
    <row r="3265" s="458" customFormat="1" ht="18" x14ac:dyDescent="0.25"/>
    <row r="3266" s="458" customFormat="1" ht="18" x14ac:dyDescent="0.25"/>
    <row r="3267" s="458" customFormat="1" ht="18" x14ac:dyDescent="0.25"/>
    <row r="3268" s="458" customFormat="1" ht="18" x14ac:dyDescent="0.25"/>
    <row r="3269" s="458" customFormat="1" ht="18" x14ac:dyDescent="0.25"/>
    <row r="3270" s="458" customFormat="1" ht="18" x14ac:dyDescent="0.25"/>
    <row r="3271" s="458" customFormat="1" ht="18" x14ac:dyDescent="0.25"/>
    <row r="3272" s="458" customFormat="1" ht="18" x14ac:dyDescent="0.25"/>
    <row r="3273" s="458" customFormat="1" ht="18" x14ac:dyDescent="0.25"/>
    <row r="3274" s="458" customFormat="1" ht="18" x14ac:dyDescent="0.25"/>
    <row r="3275" s="458" customFormat="1" ht="18" x14ac:dyDescent="0.25"/>
    <row r="3276" s="458" customFormat="1" ht="18" x14ac:dyDescent="0.25"/>
    <row r="3277" s="458" customFormat="1" ht="18" x14ac:dyDescent="0.25"/>
    <row r="3278" s="458" customFormat="1" ht="18" x14ac:dyDescent="0.25"/>
    <row r="3279" s="458" customFormat="1" ht="18" x14ac:dyDescent="0.25"/>
    <row r="3280" s="458" customFormat="1" ht="18" x14ac:dyDescent="0.25"/>
    <row r="3281" s="458" customFormat="1" ht="18" x14ac:dyDescent="0.25"/>
    <row r="3282" s="458" customFormat="1" ht="18" x14ac:dyDescent="0.25"/>
    <row r="3283" s="458" customFormat="1" ht="18" x14ac:dyDescent="0.25"/>
    <row r="3284" s="458" customFormat="1" ht="18" x14ac:dyDescent="0.25"/>
    <row r="3285" s="458" customFormat="1" ht="18" x14ac:dyDescent="0.25"/>
    <row r="3286" s="458" customFormat="1" ht="18" x14ac:dyDescent="0.25"/>
    <row r="3287" s="458" customFormat="1" ht="18" x14ac:dyDescent="0.25"/>
    <row r="3288" s="458" customFormat="1" ht="18" x14ac:dyDescent="0.25"/>
    <row r="3289" s="458" customFormat="1" ht="18" x14ac:dyDescent="0.25"/>
    <row r="3290" s="458" customFormat="1" ht="18" x14ac:dyDescent="0.25"/>
    <row r="3291" s="458" customFormat="1" ht="18" x14ac:dyDescent="0.25"/>
    <row r="3292" s="458" customFormat="1" ht="18" x14ac:dyDescent="0.25"/>
    <row r="3293" s="458" customFormat="1" ht="18" x14ac:dyDescent="0.25"/>
    <row r="3294" s="458" customFormat="1" ht="18" x14ac:dyDescent="0.25"/>
    <row r="3295" s="458" customFormat="1" ht="18" x14ac:dyDescent="0.25"/>
    <row r="3296" s="458" customFormat="1" ht="18" x14ac:dyDescent="0.25"/>
    <row r="3297" s="458" customFormat="1" ht="18" x14ac:dyDescent="0.25"/>
    <row r="3298" s="458" customFormat="1" ht="18" x14ac:dyDescent="0.25"/>
    <row r="3299" s="458" customFormat="1" ht="18" x14ac:dyDescent="0.25"/>
    <row r="3300" s="458" customFormat="1" ht="18" x14ac:dyDescent="0.25"/>
    <row r="3301" s="458" customFormat="1" ht="18" x14ac:dyDescent="0.25"/>
    <row r="3302" s="458" customFormat="1" ht="18" x14ac:dyDescent="0.25"/>
    <row r="3303" s="458" customFormat="1" ht="18" x14ac:dyDescent="0.25"/>
    <row r="3304" s="458" customFormat="1" ht="18" x14ac:dyDescent="0.25"/>
    <row r="3305" s="458" customFormat="1" ht="18" x14ac:dyDescent="0.25"/>
    <row r="3306" s="458" customFormat="1" ht="18" x14ac:dyDescent="0.25"/>
    <row r="3307" s="458" customFormat="1" ht="18" x14ac:dyDescent="0.25"/>
    <row r="3308" s="458" customFormat="1" ht="18" x14ac:dyDescent="0.25"/>
    <row r="3309" s="458" customFormat="1" ht="18" x14ac:dyDescent="0.25"/>
    <row r="3310" s="458" customFormat="1" ht="18" x14ac:dyDescent="0.25"/>
    <row r="3311" s="458" customFormat="1" ht="18" x14ac:dyDescent="0.25"/>
    <row r="3312" s="458" customFormat="1" ht="18" x14ac:dyDescent="0.25"/>
    <row r="3313" s="458" customFormat="1" ht="18" x14ac:dyDescent="0.25"/>
    <row r="3314" s="458" customFormat="1" ht="18" x14ac:dyDescent="0.25"/>
    <row r="3315" s="458" customFormat="1" ht="18" x14ac:dyDescent="0.25"/>
    <row r="3316" s="458" customFormat="1" ht="18" x14ac:dyDescent="0.25"/>
    <row r="3317" s="458" customFormat="1" ht="18" x14ac:dyDescent="0.25"/>
    <row r="3318" s="458" customFormat="1" ht="18" x14ac:dyDescent="0.25"/>
    <row r="3319" s="458" customFormat="1" ht="18" x14ac:dyDescent="0.25"/>
    <row r="3320" s="458" customFormat="1" ht="18" x14ac:dyDescent="0.25"/>
    <row r="3321" s="458" customFormat="1" ht="18" x14ac:dyDescent="0.25"/>
    <row r="3322" s="458" customFormat="1" ht="18" x14ac:dyDescent="0.25"/>
    <row r="3323" s="458" customFormat="1" ht="18" x14ac:dyDescent="0.25"/>
    <row r="3324" s="458" customFormat="1" ht="18" x14ac:dyDescent="0.25"/>
    <row r="3325" s="458" customFormat="1" ht="18" x14ac:dyDescent="0.25"/>
    <row r="3326" s="458" customFormat="1" ht="18" x14ac:dyDescent="0.25"/>
    <row r="3327" s="458" customFormat="1" ht="18" x14ac:dyDescent="0.25"/>
    <row r="3328" s="458" customFormat="1" ht="18" x14ac:dyDescent="0.25"/>
    <row r="3329" s="458" customFormat="1" ht="18" x14ac:dyDescent="0.25"/>
    <row r="3330" s="458" customFormat="1" ht="18" x14ac:dyDescent="0.25"/>
    <row r="3331" s="458" customFormat="1" ht="18" x14ac:dyDescent="0.25"/>
    <row r="3332" s="458" customFormat="1" ht="18" x14ac:dyDescent="0.25"/>
    <row r="3333" s="458" customFormat="1" ht="18" x14ac:dyDescent="0.25"/>
    <row r="3334" s="458" customFormat="1" ht="18" x14ac:dyDescent="0.25"/>
    <row r="3335" s="458" customFormat="1" ht="18" x14ac:dyDescent="0.25"/>
    <row r="3336" s="458" customFormat="1" ht="18" x14ac:dyDescent="0.25"/>
    <row r="3337" s="458" customFormat="1" ht="18" x14ac:dyDescent="0.25"/>
    <row r="3338" s="458" customFormat="1" ht="18" x14ac:dyDescent="0.25"/>
    <row r="3339" s="458" customFormat="1" ht="18" x14ac:dyDescent="0.25"/>
    <row r="3340" s="458" customFormat="1" ht="18" x14ac:dyDescent="0.25"/>
    <row r="3341" s="458" customFormat="1" ht="18" x14ac:dyDescent="0.25"/>
    <row r="3342" s="458" customFormat="1" ht="18" x14ac:dyDescent="0.25"/>
    <row r="3343" s="458" customFormat="1" ht="18" x14ac:dyDescent="0.25"/>
    <row r="3344" s="458" customFormat="1" ht="18" x14ac:dyDescent="0.25"/>
    <row r="3345" s="458" customFormat="1" ht="18" x14ac:dyDescent="0.25"/>
    <row r="3346" s="458" customFormat="1" ht="18" x14ac:dyDescent="0.25"/>
    <row r="3347" s="458" customFormat="1" ht="18" x14ac:dyDescent="0.25"/>
    <row r="3348" s="458" customFormat="1" ht="18" x14ac:dyDescent="0.25"/>
    <row r="3349" s="458" customFormat="1" ht="18" x14ac:dyDescent="0.25"/>
    <row r="3350" s="458" customFormat="1" ht="18" x14ac:dyDescent="0.25"/>
    <row r="3351" s="458" customFormat="1" ht="18" x14ac:dyDescent="0.25"/>
    <row r="3352" s="458" customFormat="1" ht="18" x14ac:dyDescent="0.25"/>
    <row r="3353" s="458" customFormat="1" ht="18" x14ac:dyDescent="0.25"/>
    <row r="3354" s="458" customFormat="1" ht="18" x14ac:dyDescent="0.25"/>
    <row r="3355" s="458" customFormat="1" ht="18" x14ac:dyDescent="0.25"/>
    <row r="3356" s="458" customFormat="1" ht="18" x14ac:dyDescent="0.25"/>
    <row r="3357" s="458" customFormat="1" ht="18" x14ac:dyDescent="0.25"/>
    <row r="3358" s="458" customFormat="1" ht="18" x14ac:dyDescent="0.25"/>
    <row r="3359" s="458" customFormat="1" ht="18" x14ac:dyDescent="0.25"/>
    <row r="3360" s="458" customFormat="1" ht="18" x14ac:dyDescent="0.25"/>
    <row r="3361" s="458" customFormat="1" ht="18" x14ac:dyDescent="0.25"/>
    <row r="3362" s="458" customFormat="1" ht="18" x14ac:dyDescent="0.25"/>
    <row r="3363" s="458" customFormat="1" ht="18" x14ac:dyDescent="0.25"/>
    <row r="3364" s="458" customFormat="1" ht="18" x14ac:dyDescent="0.25"/>
    <row r="3365" s="458" customFormat="1" ht="18" x14ac:dyDescent="0.25"/>
    <row r="3366" s="458" customFormat="1" ht="18" x14ac:dyDescent="0.25"/>
    <row r="3367" s="458" customFormat="1" ht="18" x14ac:dyDescent="0.25"/>
    <row r="3368" s="458" customFormat="1" ht="18" x14ac:dyDescent="0.25"/>
    <row r="3369" s="458" customFormat="1" ht="18" x14ac:dyDescent="0.25"/>
    <row r="3370" s="458" customFormat="1" ht="18" x14ac:dyDescent="0.25"/>
    <row r="3371" s="458" customFormat="1" ht="18" x14ac:dyDescent="0.25"/>
    <row r="3372" s="458" customFormat="1" ht="18" x14ac:dyDescent="0.25"/>
    <row r="3373" s="458" customFormat="1" ht="18" x14ac:dyDescent="0.25"/>
    <row r="3374" s="458" customFormat="1" ht="18" x14ac:dyDescent="0.25"/>
    <row r="3375" s="458" customFormat="1" ht="18" x14ac:dyDescent="0.25"/>
    <row r="3376" s="458" customFormat="1" ht="18" x14ac:dyDescent="0.25"/>
    <row r="3377" s="458" customFormat="1" ht="18" x14ac:dyDescent="0.25"/>
    <row r="3378" s="458" customFormat="1" ht="18" x14ac:dyDescent="0.25"/>
    <row r="3379" s="458" customFormat="1" ht="18" x14ac:dyDescent="0.25"/>
    <row r="3380" s="458" customFormat="1" ht="18" x14ac:dyDescent="0.25"/>
    <row r="3381" s="458" customFormat="1" ht="18" x14ac:dyDescent="0.25"/>
    <row r="3382" s="458" customFormat="1" ht="18" x14ac:dyDescent="0.25"/>
    <row r="3383" s="458" customFormat="1" ht="18" x14ac:dyDescent="0.25"/>
    <row r="3384" s="458" customFormat="1" ht="18" x14ac:dyDescent="0.25"/>
    <row r="3385" s="458" customFormat="1" ht="18" x14ac:dyDescent="0.25"/>
    <row r="3386" s="458" customFormat="1" ht="18" x14ac:dyDescent="0.25"/>
    <row r="3387" s="458" customFormat="1" ht="18" x14ac:dyDescent="0.25"/>
    <row r="3388" s="458" customFormat="1" ht="18" x14ac:dyDescent="0.25"/>
    <row r="3389" s="458" customFormat="1" ht="18" x14ac:dyDescent="0.25"/>
    <row r="3390" s="458" customFormat="1" ht="18" x14ac:dyDescent="0.25"/>
    <row r="3391" s="458" customFormat="1" ht="18" x14ac:dyDescent="0.25"/>
    <row r="3392" s="458" customFormat="1" ht="18" x14ac:dyDescent="0.25"/>
    <row r="3393" s="458" customFormat="1" ht="18" x14ac:dyDescent="0.25"/>
    <row r="3394" s="458" customFormat="1" ht="18" x14ac:dyDescent="0.25"/>
    <row r="3395" s="458" customFormat="1" ht="18" x14ac:dyDescent="0.25"/>
    <row r="3396" s="458" customFormat="1" ht="18" x14ac:dyDescent="0.25"/>
    <row r="3397" s="458" customFormat="1" ht="18" x14ac:dyDescent="0.25"/>
    <row r="3398" s="458" customFormat="1" ht="18" x14ac:dyDescent="0.25"/>
    <row r="3399" s="458" customFormat="1" ht="18" x14ac:dyDescent="0.25"/>
    <row r="3400" s="458" customFormat="1" ht="18" x14ac:dyDescent="0.25"/>
    <row r="3401" s="458" customFormat="1" ht="18" x14ac:dyDescent="0.25"/>
    <row r="3402" s="458" customFormat="1" ht="18" x14ac:dyDescent="0.25"/>
    <row r="3403" s="458" customFormat="1" ht="18" x14ac:dyDescent="0.25"/>
    <row r="3404" s="458" customFormat="1" ht="18" x14ac:dyDescent="0.25"/>
    <row r="3405" s="458" customFormat="1" ht="18" x14ac:dyDescent="0.25"/>
    <row r="3406" s="458" customFormat="1" ht="18" x14ac:dyDescent="0.25"/>
    <row r="3407" s="458" customFormat="1" ht="18" x14ac:dyDescent="0.25"/>
    <row r="3408" s="458" customFormat="1" ht="18" x14ac:dyDescent="0.25"/>
    <row r="3409" s="458" customFormat="1" ht="18" x14ac:dyDescent="0.25"/>
    <row r="3410" s="458" customFormat="1" ht="18" x14ac:dyDescent="0.25"/>
    <row r="3411" s="458" customFormat="1" ht="18" x14ac:dyDescent="0.25"/>
    <row r="3412" s="458" customFormat="1" ht="18" x14ac:dyDescent="0.25"/>
    <row r="3413" s="458" customFormat="1" ht="18" x14ac:dyDescent="0.25"/>
    <row r="3414" s="458" customFormat="1" ht="18" x14ac:dyDescent="0.25"/>
    <row r="3415" s="458" customFormat="1" ht="18" x14ac:dyDescent="0.25"/>
    <row r="3416" s="458" customFormat="1" ht="18" x14ac:dyDescent="0.25"/>
    <row r="3417" s="458" customFormat="1" ht="18" x14ac:dyDescent="0.25"/>
    <row r="3418" s="458" customFormat="1" ht="18" x14ac:dyDescent="0.25"/>
    <row r="3419" s="458" customFormat="1" ht="18" x14ac:dyDescent="0.25"/>
    <row r="3420" s="458" customFormat="1" ht="18" x14ac:dyDescent="0.25"/>
    <row r="3421" s="458" customFormat="1" ht="18" x14ac:dyDescent="0.25"/>
    <row r="3422" s="458" customFormat="1" ht="18" x14ac:dyDescent="0.25"/>
    <row r="3423" s="458" customFormat="1" ht="18" x14ac:dyDescent="0.25"/>
    <row r="3424" s="458" customFormat="1" ht="18" x14ac:dyDescent="0.25"/>
    <row r="3425" s="458" customFormat="1" ht="18" x14ac:dyDescent="0.25"/>
    <row r="3426" s="458" customFormat="1" ht="18" x14ac:dyDescent="0.25"/>
    <row r="3427" s="458" customFormat="1" ht="18" x14ac:dyDescent="0.25"/>
    <row r="3428" s="458" customFormat="1" ht="18" x14ac:dyDescent="0.25"/>
    <row r="3429" s="458" customFormat="1" ht="18" x14ac:dyDescent="0.25"/>
    <row r="3430" s="458" customFormat="1" ht="18" x14ac:dyDescent="0.25"/>
    <row r="3431" s="458" customFormat="1" ht="18" x14ac:dyDescent="0.25"/>
    <row r="3432" s="458" customFormat="1" ht="18" x14ac:dyDescent="0.25"/>
    <row r="3433" s="458" customFormat="1" ht="18" x14ac:dyDescent="0.25"/>
    <row r="3434" s="458" customFormat="1" ht="18" x14ac:dyDescent="0.25"/>
    <row r="3435" s="458" customFormat="1" ht="18" x14ac:dyDescent="0.25"/>
    <row r="3436" s="458" customFormat="1" ht="18" x14ac:dyDescent="0.25"/>
    <row r="3437" s="458" customFormat="1" ht="18" x14ac:dyDescent="0.25"/>
    <row r="3438" s="458" customFormat="1" ht="18" x14ac:dyDescent="0.25"/>
    <row r="3439" s="458" customFormat="1" ht="18" x14ac:dyDescent="0.25"/>
    <row r="3440" s="458" customFormat="1" ht="18" x14ac:dyDescent="0.25"/>
    <row r="3441" s="458" customFormat="1" ht="18" x14ac:dyDescent="0.25"/>
    <row r="3442" s="458" customFormat="1" ht="18" x14ac:dyDescent="0.25"/>
    <row r="3443" s="458" customFormat="1" ht="18" x14ac:dyDescent="0.25"/>
    <row r="3444" s="458" customFormat="1" ht="18" x14ac:dyDescent="0.25"/>
    <row r="3445" s="458" customFormat="1" ht="18" x14ac:dyDescent="0.25"/>
    <row r="3446" s="458" customFormat="1" ht="18" x14ac:dyDescent="0.25"/>
    <row r="3447" s="458" customFormat="1" ht="18" x14ac:dyDescent="0.25"/>
    <row r="3448" s="458" customFormat="1" ht="18" x14ac:dyDescent="0.25"/>
    <row r="3449" s="458" customFormat="1" ht="18" x14ac:dyDescent="0.25"/>
    <row r="3450" s="458" customFormat="1" ht="18" x14ac:dyDescent="0.25"/>
    <row r="3451" s="458" customFormat="1" ht="18" x14ac:dyDescent="0.25"/>
    <row r="3452" s="458" customFormat="1" ht="18" x14ac:dyDescent="0.25"/>
    <row r="3453" s="458" customFormat="1" ht="18" x14ac:dyDescent="0.25"/>
    <row r="3454" s="458" customFormat="1" ht="18" x14ac:dyDescent="0.25"/>
    <row r="3455" s="458" customFormat="1" ht="18" x14ac:dyDescent="0.25"/>
    <row r="3456" s="458" customFormat="1" ht="18" x14ac:dyDescent="0.25"/>
    <row r="3457" s="458" customFormat="1" ht="18" x14ac:dyDescent="0.25"/>
    <row r="3458" s="458" customFormat="1" ht="18" x14ac:dyDescent="0.25"/>
    <row r="3459" s="458" customFormat="1" ht="18" x14ac:dyDescent="0.25"/>
    <row r="3460" s="458" customFormat="1" ht="18" x14ac:dyDescent="0.25"/>
    <row r="3461" s="458" customFormat="1" ht="18" x14ac:dyDescent="0.25"/>
    <row r="3462" s="458" customFormat="1" ht="18" x14ac:dyDescent="0.25"/>
    <row r="3463" s="458" customFormat="1" ht="18" x14ac:dyDescent="0.25"/>
    <row r="3464" s="458" customFormat="1" ht="18" x14ac:dyDescent="0.25"/>
    <row r="3465" s="458" customFormat="1" ht="18" x14ac:dyDescent="0.25"/>
    <row r="3466" s="458" customFormat="1" ht="18" x14ac:dyDescent="0.25"/>
    <row r="3467" s="458" customFormat="1" ht="18" x14ac:dyDescent="0.25"/>
    <row r="3468" s="458" customFormat="1" ht="18" x14ac:dyDescent="0.25"/>
    <row r="3469" s="458" customFormat="1" ht="18" x14ac:dyDescent="0.25"/>
    <row r="3470" s="458" customFormat="1" ht="18" x14ac:dyDescent="0.25"/>
    <row r="3471" s="458" customFormat="1" ht="18" x14ac:dyDescent="0.25"/>
    <row r="3472" s="458" customFormat="1" ht="18" x14ac:dyDescent="0.25"/>
    <row r="3473" s="458" customFormat="1" ht="18" x14ac:dyDescent="0.25"/>
    <row r="3474" s="458" customFormat="1" ht="18" x14ac:dyDescent="0.25"/>
    <row r="3475" s="458" customFormat="1" ht="18" x14ac:dyDescent="0.25"/>
    <row r="3476" s="458" customFormat="1" ht="18" x14ac:dyDescent="0.25"/>
    <row r="3477" s="458" customFormat="1" ht="18" x14ac:dyDescent="0.25"/>
    <row r="3478" s="458" customFormat="1" ht="18" x14ac:dyDescent="0.25"/>
    <row r="3479" s="458" customFormat="1" ht="18" x14ac:dyDescent="0.25"/>
    <row r="3480" s="458" customFormat="1" ht="18" x14ac:dyDescent="0.25"/>
    <row r="3481" s="458" customFormat="1" ht="18" x14ac:dyDescent="0.25"/>
    <row r="3482" s="458" customFormat="1" ht="18" x14ac:dyDescent="0.25"/>
    <row r="3483" s="458" customFormat="1" ht="18" x14ac:dyDescent="0.25"/>
    <row r="3484" s="458" customFormat="1" ht="18" x14ac:dyDescent="0.25"/>
    <row r="3485" s="458" customFormat="1" ht="18" x14ac:dyDescent="0.25"/>
    <row r="3486" s="458" customFormat="1" ht="18" x14ac:dyDescent="0.25"/>
    <row r="3487" s="458" customFormat="1" ht="18" x14ac:dyDescent="0.25"/>
    <row r="3488" s="458" customFormat="1" ht="18" x14ac:dyDescent="0.25"/>
    <row r="3489" s="458" customFormat="1" ht="18" x14ac:dyDescent="0.25"/>
    <row r="3490" s="458" customFormat="1" ht="18" x14ac:dyDescent="0.25"/>
    <row r="3491" s="458" customFormat="1" ht="18" x14ac:dyDescent="0.25"/>
    <row r="3492" s="458" customFormat="1" ht="18" x14ac:dyDescent="0.25"/>
    <row r="3493" s="458" customFormat="1" ht="18" x14ac:dyDescent="0.25"/>
    <row r="3494" s="458" customFormat="1" ht="18" x14ac:dyDescent="0.25"/>
    <row r="3495" s="458" customFormat="1" ht="18" x14ac:dyDescent="0.25"/>
    <row r="3496" s="458" customFormat="1" ht="18" x14ac:dyDescent="0.25"/>
    <row r="3497" s="458" customFormat="1" ht="18" x14ac:dyDescent="0.25"/>
    <row r="3498" s="458" customFormat="1" ht="18" x14ac:dyDescent="0.25"/>
    <row r="3499" s="458" customFormat="1" ht="18" x14ac:dyDescent="0.25"/>
    <row r="3500" s="458" customFormat="1" ht="18" x14ac:dyDescent="0.25"/>
    <row r="3501" s="458" customFormat="1" ht="18" x14ac:dyDescent="0.25"/>
    <row r="3502" s="458" customFormat="1" ht="18" x14ac:dyDescent="0.25"/>
    <row r="3503" s="458" customFormat="1" ht="18" x14ac:dyDescent="0.25"/>
    <row r="3504" s="458" customFormat="1" ht="18" x14ac:dyDescent="0.25"/>
    <row r="3505" s="458" customFormat="1" ht="18" x14ac:dyDescent="0.25"/>
    <row r="3506" s="458" customFormat="1" ht="18" x14ac:dyDescent="0.25"/>
    <row r="3507" s="458" customFormat="1" ht="18" x14ac:dyDescent="0.25"/>
    <row r="3508" s="458" customFormat="1" ht="18" x14ac:dyDescent="0.25"/>
    <row r="3509" s="458" customFormat="1" ht="18" x14ac:dyDescent="0.25"/>
    <row r="3510" s="458" customFormat="1" ht="18" x14ac:dyDescent="0.25"/>
    <row r="3511" s="458" customFormat="1" ht="18" x14ac:dyDescent="0.25"/>
    <row r="3512" s="458" customFormat="1" ht="18" x14ac:dyDescent="0.25"/>
    <row r="3513" s="458" customFormat="1" ht="18" x14ac:dyDescent="0.25"/>
    <row r="3514" s="458" customFormat="1" ht="18" x14ac:dyDescent="0.25"/>
    <row r="3515" s="458" customFormat="1" ht="18" x14ac:dyDescent="0.25"/>
    <row r="3516" s="458" customFormat="1" ht="18" x14ac:dyDescent="0.25"/>
    <row r="3517" s="458" customFormat="1" ht="18" x14ac:dyDescent="0.25"/>
    <row r="3518" s="458" customFormat="1" ht="18" x14ac:dyDescent="0.25"/>
    <row r="3519" s="458" customFormat="1" ht="18" x14ac:dyDescent="0.25"/>
    <row r="3520" s="458" customFormat="1" ht="18" x14ac:dyDescent="0.25"/>
    <row r="3521" s="458" customFormat="1" ht="18" x14ac:dyDescent="0.25"/>
    <row r="3522" s="458" customFormat="1" ht="18" x14ac:dyDescent="0.25"/>
    <row r="3523" s="458" customFormat="1" ht="18" x14ac:dyDescent="0.25"/>
    <row r="3524" s="458" customFormat="1" ht="18" x14ac:dyDescent="0.25"/>
    <row r="3525" s="458" customFormat="1" ht="18" x14ac:dyDescent="0.25"/>
    <row r="3526" s="458" customFormat="1" ht="18" x14ac:dyDescent="0.25"/>
    <row r="3527" s="458" customFormat="1" ht="18" x14ac:dyDescent="0.25"/>
    <row r="3528" s="458" customFormat="1" ht="18" x14ac:dyDescent="0.25"/>
    <row r="3529" s="458" customFormat="1" ht="18" x14ac:dyDescent="0.25"/>
    <row r="3530" s="458" customFormat="1" ht="18" x14ac:dyDescent="0.25"/>
    <row r="3531" s="458" customFormat="1" ht="18" x14ac:dyDescent="0.25"/>
    <row r="3532" s="458" customFormat="1" ht="18" x14ac:dyDescent="0.25"/>
    <row r="3533" s="458" customFormat="1" ht="18" x14ac:dyDescent="0.25"/>
    <row r="3534" s="458" customFormat="1" ht="18" x14ac:dyDescent="0.25"/>
    <row r="3535" s="458" customFormat="1" ht="18" x14ac:dyDescent="0.25"/>
    <row r="3536" s="458" customFormat="1" ht="18" x14ac:dyDescent="0.25"/>
    <row r="3537" s="458" customFormat="1" ht="18" x14ac:dyDescent="0.25"/>
    <row r="3538" s="458" customFormat="1" ht="18" x14ac:dyDescent="0.25"/>
    <row r="3539" s="458" customFormat="1" ht="18" x14ac:dyDescent="0.25"/>
    <row r="3540" s="458" customFormat="1" ht="18" x14ac:dyDescent="0.25"/>
    <row r="3541" s="458" customFormat="1" ht="18" x14ac:dyDescent="0.25"/>
    <row r="3542" s="458" customFormat="1" ht="18" x14ac:dyDescent="0.25"/>
    <row r="3543" s="458" customFormat="1" ht="18" x14ac:dyDescent="0.25"/>
    <row r="3544" s="458" customFormat="1" ht="18" x14ac:dyDescent="0.25"/>
    <row r="3545" s="458" customFormat="1" ht="18" x14ac:dyDescent="0.25"/>
    <row r="3546" s="458" customFormat="1" ht="18" x14ac:dyDescent="0.25"/>
    <row r="3547" s="458" customFormat="1" ht="18" x14ac:dyDescent="0.25"/>
    <row r="3548" s="458" customFormat="1" ht="18" x14ac:dyDescent="0.25"/>
    <row r="3549" s="458" customFormat="1" ht="18" x14ac:dyDescent="0.25"/>
    <row r="3550" s="458" customFormat="1" ht="18" x14ac:dyDescent="0.25"/>
    <row r="3551" s="458" customFormat="1" ht="18" x14ac:dyDescent="0.25"/>
    <row r="3552" s="458" customFormat="1" ht="18" x14ac:dyDescent="0.25"/>
    <row r="3553" s="458" customFormat="1" ht="18" x14ac:dyDescent="0.25"/>
    <row r="3554" s="458" customFormat="1" ht="18" x14ac:dyDescent="0.25"/>
    <row r="3555" s="458" customFormat="1" ht="18" x14ac:dyDescent="0.25"/>
    <row r="3556" s="458" customFormat="1" ht="18" x14ac:dyDescent="0.25"/>
    <row r="3557" s="458" customFormat="1" ht="18" x14ac:dyDescent="0.25"/>
    <row r="3558" s="458" customFormat="1" ht="18" x14ac:dyDescent="0.25"/>
    <row r="3559" s="458" customFormat="1" ht="18" x14ac:dyDescent="0.25"/>
    <row r="3560" s="458" customFormat="1" ht="18" x14ac:dyDescent="0.25"/>
    <row r="3561" s="458" customFormat="1" ht="18" x14ac:dyDescent="0.25"/>
    <row r="3562" s="458" customFormat="1" ht="18" x14ac:dyDescent="0.25"/>
    <row r="3563" s="458" customFormat="1" ht="18" x14ac:dyDescent="0.25"/>
    <row r="3564" s="458" customFormat="1" ht="18" x14ac:dyDescent="0.25"/>
    <row r="3565" s="458" customFormat="1" ht="18" x14ac:dyDescent="0.25"/>
    <row r="3566" s="458" customFormat="1" ht="18" x14ac:dyDescent="0.25"/>
    <row r="3567" s="458" customFormat="1" ht="18" x14ac:dyDescent="0.25"/>
    <row r="3568" s="458" customFormat="1" ht="18" x14ac:dyDescent="0.25"/>
    <row r="3569" s="458" customFormat="1" ht="18" x14ac:dyDescent="0.25"/>
    <row r="3570" s="458" customFormat="1" ht="18" x14ac:dyDescent="0.25"/>
    <row r="3571" s="458" customFormat="1" ht="18" x14ac:dyDescent="0.25"/>
    <row r="3572" s="458" customFormat="1" ht="18" x14ac:dyDescent="0.25"/>
    <row r="3573" s="458" customFormat="1" ht="18" x14ac:dyDescent="0.25"/>
    <row r="3574" s="458" customFormat="1" ht="18" x14ac:dyDescent="0.25"/>
    <row r="3575" s="458" customFormat="1" ht="18" x14ac:dyDescent="0.25"/>
    <row r="3576" s="458" customFormat="1" ht="18" x14ac:dyDescent="0.25"/>
    <row r="3577" s="458" customFormat="1" ht="18" x14ac:dyDescent="0.25"/>
    <row r="3578" s="458" customFormat="1" ht="18" x14ac:dyDescent="0.25"/>
    <row r="3579" s="458" customFormat="1" ht="18" x14ac:dyDescent="0.25"/>
    <row r="3580" s="458" customFormat="1" ht="18" x14ac:dyDescent="0.25"/>
    <row r="3581" s="458" customFormat="1" ht="18" x14ac:dyDescent="0.25"/>
    <row r="3582" s="458" customFormat="1" ht="18" x14ac:dyDescent="0.25"/>
    <row r="3583" s="458" customFormat="1" ht="18" x14ac:dyDescent="0.25"/>
    <row r="3584" s="458" customFormat="1" ht="18" x14ac:dyDescent="0.25"/>
    <row r="3585" s="458" customFormat="1" ht="18" x14ac:dyDescent="0.25"/>
    <row r="3586" s="458" customFormat="1" ht="18" x14ac:dyDescent="0.25"/>
    <row r="3587" s="458" customFormat="1" ht="18" x14ac:dyDescent="0.25"/>
    <row r="3588" s="458" customFormat="1" ht="18" x14ac:dyDescent="0.25"/>
    <row r="3589" s="458" customFormat="1" ht="18" x14ac:dyDescent="0.25"/>
    <row r="3590" s="458" customFormat="1" ht="18" x14ac:dyDescent="0.25"/>
    <row r="3591" s="458" customFormat="1" ht="18" x14ac:dyDescent="0.25"/>
    <row r="3592" s="458" customFormat="1" ht="18" x14ac:dyDescent="0.25"/>
    <row r="3593" s="458" customFormat="1" ht="18" x14ac:dyDescent="0.25"/>
    <row r="3594" s="458" customFormat="1" ht="18" x14ac:dyDescent="0.25"/>
    <row r="3595" s="458" customFormat="1" ht="18" x14ac:dyDescent="0.25"/>
    <row r="3596" s="458" customFormat="1" ht="18" x14ac:dyDescent="0.25"/>
    <row r="3597" s="458" customFormat="1" ht="18" x14ac:dyDescent="0.25"/>
    <row r="3598" s="458" customFormat="1" ht="18" x14ac:dyDescent="0.25"/>
    <row r="3599" s="458" customFormat="1" ht="18" x14ac:dyDescent="0.25"/>
    <row r="3600" s="458" customFormat="1" ht="18" x14ac:dyDescent="0.25"/>
    <row r="3601" s="458" customFormat="1" ht="18" x14ac:dyDescent="0.25"/>
    <row r="3602" s="458" customFormat="1" ht="18" x14ac:dyDescent="0.25"/>
    <row r="3603" s="458" customFormat="1" ht="18" x14ac:dyDescent="0.25"/>
    <row r="3604" s="458" customFormat="1" ht="18" x14ac:dyDescent="0.25"/>
    <row r="3605" s="458" customFormat="1" ht="18" x14ac:dyDescent="0.25"/>
    <row r="3606" s="458" customFormat="1" ht="18" x14ac:dyDescent="0.25"/>
    <row r="3607" s="458" customFormat="1" ht="18" x14ac:dyDescent="0.25"/>
    <row r="3608" s="458" customFormat="1" ht="18" x14ac:dyDescent="0.25"/>
    <row r="3609" s="458" customFormat="1" ht="18" x14ac:dyDescent="0.25"/>
    <row r="3610" s="458" customFormat="1" ht="18" x14ac:dyDescent="0.25"/>
    <row r="3611" s="458" customFormat="1" ht="18" x14ac:dyDescent="0.25"/>
    <row r="3612" s="458" customFormat="1" ht="18" x14ac:dyDescent="0.25"/>
    <row r="3613" s="458" customFormat="1" ht="18" x14ac:dyDescent="0.25"/>
    <row r="3614" s="458" customFormat="1" ht="18" x14ac:dyDescent="0.25"/>
    <row r="3615" s="458" customFormat="1" ht="18" x14ac:dyDescent="0.25"/>
    <row r="3616" s="458" customFormat="1" ht="18" x14ac:dyDescent="0.25"/>
    <row r="3617" s="458" customFormat="1" ht="18" x14ac:dyDescent="0.25"/>
    <row r="3618" s="458" customFormat="1" ht="18" x14ac:dyDescent="0.25"/>
    <row r="3619" s="458" customFormat="1" ht="18" x14ac:dyDescent="0.25"/>
    <row r="3620" s="458" customFormat="1" ht="18" x14ac:dyDescent="0.25"/>
    <row r="3621" s="458" customFormat="1" ht="18" x14ac:dyDescent="0.25"/>
    <row r="3622" s="458" customFormat="1" ht="18" x14ac:dyDescent="0.25"/>
    <row r="3623" s="458" customFormat="1" ht="18" x14ac:dyDescent="0.25"/>
    <row r="3624" s="458" customFormat="1" ht="18" x14ac:dyDescent="0.25"/>
    <row r="3625" s="458" customFormat="1" ht="18" x14ac:dyDescent="0.25"/>
    <row r="3626" s="458" customFormat="1" ht="18" x14ac:dyDescent="0.25"/>
    <row r="3627" s="458" customFormat="1" ht="18" x14ac:dyDescent="0.25"/>
    <row r="3628" s="458" customFormat="1" ht="18" x14ac:dyDescent="0.25"/>
    <row r="3629" s="458" customFormat="1" ht="18" x14ac:dyDescent="0.25"/>
    <row r="3630" s="458" customFormat="1" ht="18" x14ac:dyDescent="0.25"/>
    <row r="3631" s="458" customFormat="1" ht="18" x14ac:dyDescent="0.25"/>
    <row r="3632" s="458" customFormat="1" ht="18" x14ac:dyDescent="0.25"/>
    <row r="3633" s="458" customFormat="1" ht="18" x14ac:dyDescent="0.25"/>
    <row r="3634" s="458" customFormat="1" ht="18" x14ac:dyDescent="0.25"/>
    <row r="3635" s="458" customFormat="1" ht="18" x14ac:dyDescent="0.25"/>
    <row r="3636" s="458" customFormat="1" ht="18" x14ac:dyDescent="0.25"/>
    <row r="3637" s="458" customFormat="1" ht="18" x14ac:dyDescent="0.25"/>
    <row r="3638" s="458" customFormat="1" ht="18" x14ac:dyDescent="0.25"/>
    <row r="3639" s="458" customFormat="1" ht="18" x14ac:dyDescent="0.25"/>
    <row r="3640" s="458" customFormat="1" ht="18" x14ac:dyDescent="0.25"/>
    <row r="3641" s="458" customFormat="1" ht="18" x14ac:dyDescent="0.25"/>
    <row r="3642" s="458" customFormat="1" ht="18" x14ac:dyDescent="0.25"/>
    <row r="3643" s="458" customFormat="1" ht="18" x14ac:dyDescent="0.25"/>
    <row r="3644" s="458" customFormat="1" ht="18" x14ac:dyDescent="0.25"/>
    <row r="3645" s="458" customFormat="1" ht="18" x14ac:dyDescent="0.25"/>
    <row r="3646" s="458" customFormat="1" ht="18" x14ac:dyDescent="0.25"/>
    <row r="3647" s="458" customFormat="1" ht="18" x14ac:dyDescent="0.25"/>
    <row r="3648" s="458" customFormat="1" ht="18" x14ac:dyDescent="0.25"/>
    <row r="3649" s="458" customFormat="1" ht="18" x14ac:dyDescent="0.25"/>
    <row r="3650" s="458" customFormat="1" ht="18" x14ac:dyDescent="0.25"/>
    <row r="3651" s="458" customFormat="1" ht="18" x14ac:dyDescent="0.25"/>
    <row r="3652" s="458" customFormat="1" ht="18" x14ac:dyDescent="0.25"/>
    <row r="3653" s="458" customFormat="1" ht="18" x14ac:dyDescent="0.25"/>
    <row r="3654" s="458" customFormat="1" ht="18" x14ac:dyDescent="0.25"/>
    <row r="3655" s="458" customFormat="1" ht="18" x14ac:dyDescent="0.25"/>
    <row r="3656" s="458" customFormat="1" ht="18" x14ac:dyDescent="0.25"/>
    <row r="3657" s="458" customFormat="1" ht="18" x14ac:dyDescent="0.25"/>
    <row r="3658" s="458" customFormat="1" ht="18" x14ac:dyDescent="0.25"/>
    <row r="3659" s="458" customFormat="1" ht="18" x14ac:dyDescent="0.25"/>
    <row r="3660" s="458" customFormat="1" ht="18" x14ac:dyDescent="0.25"/>
    <row r="3661" s="458" customFormat="1" ht="18" x14ac:dyDescent="0.25"/>
    <row r="3662" s="458" customFormat="1" ht="18" x14ac:dyDescent="0.25"/>
    <row r="3663" s="458" customFormat="1" ht="18" x14ac:dyDescent="0.25"/>
    <row r="3664" s="458" customFormat="1" ht="18" x14ac:dyDescent="0.25"/>
    <row r="3665" s="458" customFormat="1" ht="18" x14ac:dyDescent="0.25"/>
    <row r="3666" s="458" customFormat="1" ht="18" x14ac:dyDescent="0.25"/>
    <row r="3667" s="458" customFormat="1" ht="18" x14ac:dyDescent="0.25"/>
    <row r="3668" s="458" customFormat="1" ht="18" x14ac:dyDescent="0.25"/>
    <row r="3669" s="458" customFormat="1" ht="18" x14ac:dyDescent="0.25"/>
    <row r="3670" s="458" customFormat="1" ht="18" x14ac:dyDescent="0.25"/>
    <row r="3671" s="458" customFormat="1" ht="18" x14ac:dyDescent="0.25"/>
    <row r="3672" s="458" customFormat="1" ht="18" x14ac:dyDescent="0.25"/>
    <row r="3673" s="458" customFormat="1" ht="18" x14ac:dyDescent="0.25"/>
    <row r="3674" s="458" customFormat="1" ht="18" x14ac:dyDescent="0.25"/>
    <row r="3675" s="458" customFormat="1" ht="18" x14ac:dyDescent="0.25"/>
    <row r="3676" s="458" customFormat="1" ht="18" x14ac:dyDescent="0.25"/>
    <row r="3677" s="458" customFormat="1" ht="18" x14ac:dyDescent="0.25"/>
    <row r="3678" s="458" customFormat="1" ht="18" x14ac:dyDescent="0.25"/>
    <row r="3679" s="458" customFormat="1" ht="18" x14ac:dyDescent="0.25"/>
    <row r="3680" s="458" customFormat="1" ht="18" x14ac:dyDescent="0.25"/>
    <row r="3681" s="458" customFormat="1" ht="18" x14ac:dyDescent="0.25"/>
    <row r="3682" s="458" customFormat="1" ht="18" x14ac:dyDescent="0.25"/>
    <row r="3683" s="458" customFormat="1" ht="18" x14ac:dyDescent="0.25"/>
    <row r="3684" s="458" customFormat="1" ht="18" x14ac:dyDescent="0.25"/>
    <row r="3685" s="458" customFormat="1" ht="18" x14ac:dyDescent="0.25"/>
    <row r="3686" s="458" customFormat="1" ht="18" x14ac:dyDescent="0.25"/>
    <row r="3687" s="458" customFormat="1" ht="18" x14ac:dyDescent="0.25"/>
    <row r="3688" s="458" customFormat="1" ht="18" x14ac:dyDescent="0.25"/>
    <row r="3689" s="458" customFormat="1" ht="18" x14ac:dyDescent="0.25"/>
    <row r="3690" s="458" customFormat="1" ht="18" x14ac:dyDescent="0.25"/>
    <row r="3691" s="458" customFormat="1" ht="18" x14ac:dyDescent="0.25"/>
    <row r="3692" s="458" customFormat="1" ht="18" x14ac:dyDescent="0.25"/>
    <row r="3693" s="458" customFormat="1" ht="18" x14ac:dyDescent="0.25"/>
    <row r="3694" s="458" customFormat="1" ht="18" x14ac:dyDescent="0.25"/>
    <row r="3695" s="458" customFormat="1" ht="18" x14ac:dyDescent="0.25"/>
    <row r="3696" s="458" customFormat="1" ht="18" x14ac:dyDescent="0.25"/>
    <row r="3697" s="458" customFormat="1" ht="18" x14ac:dyDescent="0.25"/>
    <row r="3698" s="458" customFormat="1" ht="18" x14ac:dyDescent="0.25"/>
    <row r="3699" s="458" customFormat="1" ht="18" x14ac:dyDescent="0.25"/>
    <row r="3700" s="458" customFormat="1" ht="18" x14ac:dyDescent="0.25"/>
    <row r="3701" s="458" customFormat="1" ht="18" x14ac:dyDescent="0.25"/>
    <row r="3702" s="458" customFormat="1" ht="18" x14ac:dyDescent="0.25"/>
    <row r="3703" s="458" customFormat="1" ht="18" x14ac:dyDescent="0.25"/>
    <row r="3704" s="458" customFormat="1" ht="18" x14ac:dyDescent="0.25"/>
    <row r="3705" s="458" customFormat="1" ht="18" x14ac:dyDescent="0.25"/>
    <row r="3706" s="458" customFormat="1" ht="18" x14ac:dyDescent="0.25"/>
    <row r="3707" s="458" customFormat="1" ht="18" x14ac:dyDescent="0.25"/>
    <row r="3708" s="458" customFormat="1" ht="18" x14ac:dyDescent="0.25"/>
    <row r="3709" s="458" customFormat="1" ht="18" x14ac:dyDescent="0.25"/>
    <row r="3710" s="458" customFormat="1" ht="18" x14ac:dyDescent="0.25"/>
    <row r="3711" s="458" customFormat="1" ht="18" x14ac:dyDescent="0.25"/>
    <row r="3712" s="458" customFormat="1" ht="18" x14ac:dyDescent="0.25"/>
    <row r="3713" s="458" customFormat="1" ht="18" x14ac:dyDescent="0.25"/>
    <row r="3714" s="458" customFormat="1" ht="18" x14ac:dyDescent="0.25"/>
    <row r="3715" s="458" customFormat="1" ht="18" x14ac:dyDescent="0.25"/>
    <row r="3716" s="458" customFormat="1" ht="18" x14ac:dyDescent="0.25"/>
    <row r="3717" s="458" customFormat="1" ht="18" x14ac:dyDescent="0.25"/>
    <row r="3718" s="458" customFormat="1" ht="18" x14ac:dyDescent="0.25"/>
    <row r="3719" s="458" customFormat="1" ht="18" x14ac:dyDescent="0.25"/>
    <row r="3720" s="458" customFormat="1" ht="18" x14ac:dyDescent="0.25"/>
    <row r="3721" s="458" customFormat="1" ht="18" x14ac:dyDescent="0.25"/>
    <row r="3722" s="458" customFormat="1" ht="18" x14ac:dyDescent="0.25"/>
    <row r="3723" s="458" customFormat="1" ht="18" x14ac:dyDescent="0.25"/>
    <row r="3724" s="458" customFormat="1" ht="18" x14ac:dyDescent="0.25"/>
    <row r="3725" s="458" customFormat="1" ht="18" x14ac:dyDescent="0.25"/>
    <row r="3726" s="458" customFormat="1" ht="18" x14ac:dyDescent="0.25"/>
    <row r="3727" s="458" customFormat="1" ht="18" x14ac:dyDescent="0.25"/>
    <row r="3728" s="458" customFormat="1" ht="18" x14ac:dyDescent="0.25"/>
    <row r="3729" s="458" customFormat="1" ht="18" x14ac:dyDescent="0.25"/>
    <row r="3730" s="458" customFormat="1" ht="18" x14ac:dyDescent="0.25"/>
    <row r="3731" s="458" customFormat="1" ht="18" x14ac:dyDescent="0.25"/>
    <row r="3732" s="458" customFormat="1" ht="18" x14ac:dyDescent="0.25"/>
    <row r="3733" s="458" customFormat="1" ht="18" x14ac:dyDescent="0.25"/>
    <row r="3734" s="458" customFormat="1" ht="18" x14ac:dyDescent="0.25"/>
    <row r="3735" s="458" customFormat="1" ht="18" x14ac:dyDescent="0.25"/>
    <row r="3736" s="458" customFormat="1" ht="18" x14ac:dyDescent="0.25"/>
    <row r="3737" s="458" customFormat="1" ht="18" x14ac:dyDescent="0.25"/>
    <row r="3738" s="458" customFormat="1" ht="18" x14ac:dyDescent="0.25"/>
    <row r="3739" s="458" customFormat="1" ht="18" x14ac:dyDescent="0.25"/>
    <row r="3740" s="458" customFormat="1" ht="18" x14ac:dyDescent="0.25"/>
    <row r="3741" s="458" customFormat="1" ht="18" x14ac:dyDescent="0.25"/>
    <row r="3742" s="458" customFormat="1" ht="18" x14ac:dyDescent="0.25"/>
    <row r="3743" s="458" customFormat="1" ht="18" x14ac:dyDescent="0.25"/>
    <row r="3744" s="458" customFormat="1" ht="18" x14ac:dyDescent="0.25"/>
    <row r="3745" s="458" customFormat="1" ht="18" x14ac:dyDescent="0.25"/>
    <row r="3746" s="458" customFormat="1" ht="18" x14ac:dyDescent="0.25"/>
    <row r="3747" s="458" customFormat="1" ht="18" x14ac:dyDescent="0.25"/>
    <row r="3748" s="458" customFormat="1" ht="18" x14ac:dyDescent="0.25"/>
    <row r="3749" s="458" customFormat="1" ht="18" x14ac:dyDescent="0.25"/>
    <row r="3750" s="458" customFormat="1" ht="18" x14ac:dyDescent="0.25"/>
    <row r="3751" s="458" customFormat="1" ht="18" x14ac:dyDescent="0.25"/>
    <row r="3752" s="458" customFormat="1" ht="18" x14ac:dyDescent="0.25"/>
    <row r="3753" s="458" customFormat="1" ht="18" x14ac:dyDescent="0.25"/>
    <row r="3754" s="458" customFormat="1" ht="18" x14ac:dyDescent="0.25"/>
    <row r="3755" s="458" customFormat="1" ht="18" x14ac:dyDescent="0.25"/>
    <row r="3756" s="458" customFormat="1" ht="18" x14ac:dyDescent="0.25"/>
    <row r="3757" s="458" customFormat="1" ht="18" x14ac:dyDescent="0.25"/>
    <row r="3758" s="458" customFormat="1" ht="18" x14ac:dyDescent="0.25"/>
    <row r="3759" s="458" customFormat="1" ht="18" x14ac:dyDescent="0.25"/>
    <row r="3760" s="458" customFormat="1" ht="18" x14ac:dyDescent="0.25"/>
    <row r="3761" s="458" customFormat="1" ht="18" x14ac:dyDescent="0.25"/>
    <row r="3762" s="458" customFormat="1" ht="18" x14ac:dyDescent="0.25"/>
    <row r="3763" s="458" customFormat="1" ht="18" x14ac:dyDescent="0.25"/>
    <row r="3764" s="458" customFormat="1" ht="18" x14ac:dyDescent="0.25"/>
    <row r="3765" s="458" customFormat="1" ht="18" x14ac:dyDescent="0.25"/>
    <row r="3766" s="458" customFormat="1" ht="18" x14ac:dyDescent="0.25"/>
    <row r="3767" s="458" customFormat="1" ht="18" x14ac:dyDescent="0.25"/>
    <row r="3768" s="458" customFormat="1" ht="18" x14ac:dyDescent="0.25"/>
    <row r="3769" s="458" customFormat="1" ht="18" x14ac:dyDescent="0.25"/>
    <row r="3770" s="458" customFormat="1" ht="18" x14ac:dyDescent="0.25"/>
    <row r="3771" s="458" customFormat="1" ht="18" x14ac:dyDescent="0.25"/>
    <row r="3772" s="458" customFormat="1" ht="18" x14ac:dyDescent="0.25"/>
    <row r="3773" s="458" customFormat="1" ht="18" x14ac:dyDescent="0.25"/>
    <row r="3774" s="458" customFormat="1" ht="18" x14ac:dyDescent="0.25"/>
    <row r="3775" s="458" customFormat="1" ht="18" x14ac:dyDescent="0.25"/>
    <row r="3776" s="458" customFormat="1" ht="18" x14ac:dyDescent="0.25"/>
    <row r="3777" s="458" customFormat="1" ht="18" x14ac:dyDescent="0.25"/>
    <row r="3778" s="458" customFormat="1" ht="18" x14ac:dyDescent="0.25"/>
    <row r="3779" s="458" customFormat="1" ht="18" x14ac:dyDescent="0.25"/>
    <row r="3780" s="458" customFormat="1" ht="18" x14ac:dyDescent="0.25"/>
    <row r="3781" s="458" customFormat="1" ht="18" x14ac:dyDescent="0.25"/>
    <row r="3782" s="458" customFormat="1" ht="18" x14ac:dyDescent="0.25"/>
    <row r="3783" s="458" customFormat="1" ht="18" x14ac:dyDescent="0.25"/>
    <row r="3784" s="458" customFormat="1" ht="18" x14ac:dyDescent="0.25"/>
    <row r="3785" s="458" customFormat="1" ht="18" x14ac:dyDescent="0.25"/>
    <row r="3786" s="458" customFormat="1" ht="18" x14ac:dyDescent="0.25"/>
    <row r="3787" s="458" customFormat="1" ht="18" x14ac:dyDescent="0.25"/>
    <row r="3788" s="458" customFormat="1" ht="18" x14ac:dyDescent="0.25"/>
    <row r="3789" s="458" customFormat="1" ht="18" x14ac:dyDescent="0.25"/>
    <row r="3790" s="458" customFormat="1" ht="18" x14ac:dyDescent="0.25"/>
    <row r="3791" s="458" customFormat="1" ht="18" x14ac:dyDescent="0.25"/>
    <row r="3792" s="458" customFormat="1" ht="18" x14ac:dyDescent="0.25"/>
    <row r="3793" s="458" customFormat="1" ht="18" x14ac:dyDescent="0.25"/>
    <row r="3794" s="458" customFormat="1" ht="18" x14ac:dyDescent="0.25"/>
    <row r="3795" s="458" customFormat="1" ht="18" x14ac:dyDescent="0.25"/>
    <row r="3796" s="458" customFormat="1" ht="18" x14ac:dyDescent="0.25"/>
    <row r="3797" s="458" customFormat="1" ht="18" x14ac:dyDescent="0.25"/>
    <row r="3798" s="458" customFormat="1" ht="18" x14ac:dyDescent="0.25"/>
    <row r="3799" s="458" customFormat="1" ht="18" x14ac:dyDescent="0.25"/>
    <row r="3800" s="458" customFormat="1" ht="18" x14ac:dyDescent="0.25"/>
    <row r="3801" s="458" customFormat="1" ht="18" x14ac:dyDescent="0.25"/>
    <row r="3802" s="458" customFormat="1" ht="18" x14ac:dyDescent="0.25"/>
    <row r="3803" s="458" customFormat="1" ht="18" x14ac:dyDescent="0.25"/>
    <row r="3804" s="458" customFormat="1" ht="18" x14ac:dyDescent="0.25"/>
    <row r="3805" s="458" customFormat="1" ht="18" x14ac:dyDescent="0.25"/>
    <row r="3806" s="458" customFormat="1" ht="18" x14ac:dyDescent="0.25"/>
    <row r="3807" s="458" customFormat="1" ht="18" x14ac:dyDescent="0.25"/>
    <row r="3808" s="458" customFormat="1" ht="18" x14ac:dyDescent="0.25"/>
    <row r="3809" s="458" customFormat="1" ht="18" x14ac:dyDescent="0.25"/>
    <row r="3810" s="458" customFormat="1" ht="18" x14ac:dyDescent="0.25"/>
    <row r="3811" s="458" customFormat="1" ht="18" x14ac:dyDescent="0.25"/>
    <row r="3812" s="458" customFormat="1" ht="18" x14ac:dyDescent="0.25"/>
    <row r="3813" s="458" customFormat="1" ht="18" x14ac:dyDescent="0.25"/>
    <row r="3814" s="458" customFormat="1" ht="18" x14ac:dyDescent="0.25"/>
    <row r="3815" s="458" customFormat="1" ht="18" x14ac:dyDescent="0.25"/>
    <row r="3816" s="458" customFormat="1" ht="18" x14ac:dyDescent="0.25"/>
    <row r="3817" s="458" customFormat="1" ht="18" x14ac:dyDescent="0.25"/>
    <row r="3818" s="458" customFormat="1" ht="18" x14ac:dyDescent="0.25"/>
    <row r="3819" s="458" customFormat="1" ht="18" x14ac:dyDescent="0.25"/>
    <row r="3820" s="458" customFormat="1" ht="18" x14ac:dyDescent="0.25"/>
    <row r="3821" s="458" customFormat="1" ht="18" x14ac:dyDescent="0.25"/>
    <row r="3822" s="458" customFormat="1" ht="18" x14ac:dyDescent="0.25"/>
    <row r="3823" s="458" customFormat="1" ht="18" x14ac:dyDescent="0.25"/>
    <row r="3824" s="458" customFormat="1" ht="18" x14ac:dyDescent="0.25"/>
    <row r="3825" s="458" customFormat="1" ht="18" x14ac:dyDescent="0.25"/>
    <row r="3826" s="458" customFormat="1" ht="18" x14ac:dyDescent="0.25"/>
    <row r="3827" s="458" customFormat="1" ht="18" x14ac:dyDescent="0.25"/>
    <row r="3828" s="458" customFormat="1" ht="18" x14ac:dyDescent="0.25"/>
    <row r="3829" s="458" customFormat="1" ht="18" x14ac:dyDescent="0.25"/>
    <row r="3830" s="458" customFormat="1" ht="18" x14ac:dyDescent="0.25"/>
    <row r="3831" s="458" customFormat="1" ht="18" x14ac:dyDescent="0.25"/>
    <row r="3832" s="458" customFormat="1" ht="18" x14ac:dyDescent="0.25"/>
    <row r="3833" s="458" customFormat="1" ht="18" x14ac:dyDescent="0.25"/>
    <row r="3834" s="458" customFormat="1" ht="18" x14ac:dyDescent="0.25"/>
    <row r="3835" s="458" customFormat="1" ht="18" x14ac:dyDescent="0.25"/>
    <row r="3836" s="458" customFormat="1" ht="18" x14ac:dyDescent="0.25"/>
    <row r="3837" s="458" customFormat="1" ht="18" x14ac:dyDescent="0.25"/>
    <row r="3838" s="458" customFormat="1" ht="18" x14ac:dyDescent="0.25"/>
    <row r="3839" s="458" customFormat="1" ht="18" x14ac:dyDescent="0.25"/>
    <row r="3840" s="458" customFormat="1" ht="18" x14ac:dyDescent="0.25"/>
    <row r="3841" s="458" customFormat="1" ht="18" x14ac:dyDescent="0.25"/>
    <row r="3842" s="458" customFormat="1" ht="18" x14ac:dyDescent="0.25"/>
    <row r="3843" s="458" customFormat="1" ht="18" x14ac:dyDescent="0.25"/>
    <row r="3844" s="458" customFormat="1" ht="18" x14ac:dyDescent="0.25"/>
    <row r="3845" s="458" customFormat="1" ht="18" x14ac:dyDescent="0.25"/>
    <row r="3846" s="458" customFormat="1" ht="18" x14ac:dyDescent="0.25"/>
    <row r="3847" s="458" customFormat="1" ht="18" x14ac:dyDescent="0.25"/>
    <row r="3848" s="458" customFormat="1" ht="18" x14ac:dyDescent="0.25"/>
    <row r="3849" s="458" customFormat="1" ht="18" x14ac:dyDescent="0.25"/>
    <row r="3850" s="458" customFormat="1" ht="18" x14ac:dyDescent="0.25"/>
    <row r="3851" s="458" customFormat="1" ht="18" x14ac:dyDescent="0.25"/>
    <row r="3852" s="458" customFormat="1" ht="18" x14ac:dyDescent="0.25"/>
    <row r="3853" s="458" customFormat="1" ht="18" x14ac:dyDescent="0.25"/>
    <row r="3854" s="458" customFormat="1" ht="18" x14ac:dyDescent="0.25"/>
    <row r="3855" s="458" customFormat="1" ht="18" x14ac:dyDescent="0.25"/>
    <row r="3856" s="458" customFormat="1" ht="18" x14ac:dyDescent="0.25"/>
    <row r="3857" s="458" customFormat="1" ht="18" x14ac:dyDescent="0.25"/>
    <row r="3858" s="458" customFormat="1" ht="18" x14ac:dyDescent="0.25"/>
    <row r="3859" s="458" customFormat="1" ht="18" x14ac:dyDescent="0.25"/>
    <row r="3860" s="458" customFormat="1" ht="18" x14ac:dyDescent="0.25"/>
    <row r="3861" s="458" customFormat="1" ht="18" x14ac:dyDescent="0.25"/>
    <row r="3862" s="458" customFormat="1" ht="18" x14ac:dyDescent="0.25"/>
    <row r="3863" s="458" customFormat="1" ht="18" x14ac:dyDescent="0.25"/>
    <row r="3864" s="458" customFormat="1" ht="18" x14ac:dyDescent="0.25"/>
    <row r="3865" s="458" customFormat="1" ht="18" x14ac:dyDescent="0.25"/>
    <row r="3866" s="458" customFormat="1" ht="18" x14ac:dyDescent="0.25"/>
    <row r="3867" s="458" customFormat="1" ht="18" x14ac:dyDescent="0.25"/>
    <row r="3868" s="458" customFormat="1" ht="18" x14ac:dyDescent="0.25"/>
    <row r="3869" s="458" customFormat="1" ht="18" x14ac:dyDescent="0.25"/>
    <row r="3870" s="458" customFormat="1" ht="18" x14ac:dyDescent="0.25"/>
    <row r="3871" s="458" customFormat="1" ht="18" x14ac:dyDescent="0.25"/>
    <row r="3872" s="458" customFormat="1" ht="18" x14ac:dyDescent="0.25"/>
    <row r="3873" s="458" customFormat="1" ht="18" x14ac:dyDescent="0.25"/>
    <row r="3874" s="458" customFormat="1" ht="18" x14ac:dyDescent="0.25"/>
    <row r="3875" s="458" customFormat="1" ht="18" x14ac:dyDescent="0.25"/>
    <row r="3876" s="458" customFormat="1" ht="18" x14ac:dyDescent="0.25"/>
    <row r="3877" s="458" customFormat="1" ht="18" x14ac:dyDescent="0.25"/>
    <row r="3878" s="458" customFormat="1" ht="18" x14ac:dyDescent="0.25"/>
    <row r="3879" s="458" customFormat="1" ht="18" x14ac:dyDescent="0.25"/>
    <row r="3880" s="458" customFormat="1" ht="18" x14ac:dyDescent="0.25"/>
    <row r="3881" s="458" customFormat="1" ht="18" x14ac:dyDescent="0.25"/>
    <row r="3882" s="458" customFormat="1" ht="18" x14ac:dyDescent="0.25"/>
    <row r="3883" s="458" customFormat="1" ht="18" x14ac:dyDescent="0.25"/>
    <row r="3884" s="458" customFormat="1" ht="18" x14ac:dyDescent="0.25"/>
    <row r="3885" s="458" customFormat="1" ht="18" x14ac:dyDescent="0.25"/>
    <row r="3886" s="458" customFormat="1" ht="18" x14ac:dyDescent="0.25"/>
    <row r="3887" s="458" customFormat="1" ht="18" x14ac:dyDescent="0.25"/>
    <row r="3888" s="458" customFormat="1" ht="18" x14ac:dyDescent="0.25"/>
    <row r="3889" s="458" customFormat="1" ht="18" x14ac:dyDescent="0.25"/>
    <row r="3890" s="458" customFormat="1" ht="18" x14ac:dyDescent="0.25"/>
    <row r="3891" s="458" customFormat="1" ht="18" x14ac:dyDescent="0.25"/>
    <row r="3892" s="458" customFormat="1" ht="18" x14ac:dyDescent="0.25"/>
    <row r="3893" s="458" customFormat="1" ht="18" x14ac:dyDescent="0.25"/>
    <row r="3894" s="458" customFormat="1" ht="18" x14ac:dyDescent="0.25"/>
    <row r="3895" s="458" customFormat="1" ht="18" x14ac:dyDescent="0.25"/>
    <row r="3896" s="458" customFormat="1" ht="18" x14ac:dyDescent="0.25"/>
    <row r="3897" s="458" customFormat="1" ht="18" x14ac:dyDescent="0.25"/>
    <row r="3898" s="458" customFormat="1" ht="18" x14ac:dyDescent="0.25"/>
    <row r="3899" s="458" customFormat="1" ht="18" x14ac:dyDescent="0.25"/>
    <row r="3900" s="458" customFormat="1" ht="18" x14ac:dyDescent="0.25"/>
    <row r="3901" s="458" customFormat="1" ht="18" x14ac:dyDescent="0.25"/>
    <row r="3902" s="458" customFormat="1" ht="18" x14ac:dyDescent="0.25"/>
    <row r="3903" s="458" customFormat="1" ht="18" x14ac:dyDescent="0.25"/>
    <row r="3904" s="458" customFormat="1" ht="18" x14ac:dyDescent="0.25"/>
    <row r="3905" s="458" customFormat="1" ht="18" x14ac:dyDescent="0.25"/>
    <row r="3906" s="458" customFormat="1" ht="18" x14ac:dyDescent="0.25"/>
    <row r="3907" s="458" customFormat="1" ht="18" x14ac:dyDescent="0.25"/>
    <row r="3908" s="458" customFormat="1" ht="18" x14ac:dyDescent="0.25"/>
    <row r="3909" s="458" customFormat="1" ht="18" x14ac:dyDescent="0.25"/>
    <row r="3910" s="458" customFormat="1" ht="18" x14ac:dyDescent="0.25"/>
    <row r="3911" s="458" customFormat="1" ht="18" x14ac:dyDescent="0.25"/>
    <row r="3912" s="458" customFormat="1" ht="18" x14ac:dyDescent="0.25"/>
    <row r="3913" s="458" customFormat="1" ht="18" x14ac:dyDescent="0.25"/>
    <row r="3914" s="458" customFormat="1" ht="18" x14ac:dyDescent="0.25"/>
    <row r="3915" s="458" customFormat="1" ht="18" x14ac:dyDescent="0.25"/>
    <row r="3916" s="458" customFormat="1" ht="18" x14ac:dyDescent="0.25"/>
    <row r="3917" s="458" customFormat="1" ht="18" x14ac:dyDescent="0.25"/>
    <row r="3918" s="458" customFormat="1" ht="18" x14ac:dyDescent="0.25"/>
    <row r="3919" s="458" customFormat="1" ht="18" x14ac:dyDescent="0.25"/>
    <row r="3920" s="458" customFormat="1" ht="18" x14ac:dyDescent="0.25"/>
    <row r="3921" s="458" customFormat="1" ht="18" x14ac:dyDescent="0.25"/>
    <row r="3922" s="458" customFormat="1" ht="18" x14ac:dyDescent="0.25"/>
    <row r="3923" s="458" customFormat="1" ht="18" x14ac:dyDescent="0.25"/>
    <row r="3924" s="458" customFormat="1" ht="18" x14ac:dyDescent="0.25"/>
    <row r="3925" s="458" customFormat="1" ht="18" x14ac:dyDescent="0.25"/>
    <row r="3926" s="458" customFormat="1" ht="18" x14ac:dyDescent="0.25"/>
    <row r="3927" s="458" customFormat="1" ht="18" x14ac:dyDescent="0.25"/>
    <row r="3928" s="458" customFormat="1" ht="18" x14ac:dyDescent="0.25"/>
    <row r="3929" s="458" customFormat="1" ht="18" x14ac:dyDescent="0.25"/>
    <row r="3930" s="458" customFormat="1" ht="18" x14ac:dyDescent="0.25"/>
    <row r="3931" s="458" customFormat="1" ht="18" x14ac:dyDescent="0.25"/>
    <row r="3932" s="458" customFormat="1" ht="18" x14ac:dyDescent="0.25"/>
    <row r="3933" s="458" customFormat="1" ht="18" x14ac:dyDescent="0.25"/>
    <row r="3934" s="458" customFormat="1" ht="18" x14ac:dyDescent="0.25"/>
    <row r="3935" s="458" customFormat="1" ht="18" x14ac:dyDescent="0.25"/>
    <row r="3936" s="458" customFormat="1" ht="18" x14ac:dyDescent="0.25"/>
    <row r="3937" s="458" customFormat="1" ht="18" x14ac:dyDescent="0.25"/>
    <row r="3938" s="458" customFormat="1" ht="18" x14ac:dyDescent="0.25"/>
    <row r="3939" s="458" customFormat="1" ht="18" x14ac:dyDescent="0.25"/>
    <row r="3940" s="458" customFormat="1" ht="18" x14ac:dyDescent="0.25"/>
    <row r="3941" s="458" customFormat="1" ht="18" x14ac:dyDescent="0.25"/>
    <row r="3942" s="458" customFormat="1" ht="18" x14ac:dyDescent="0.25"/>
    <row r="3943" s="458" customFormat="1" ht="18" x14ac:dyDescent="0.25"/>
    <row r="3944" s="458" customFormat="1" ht="18" x14ac:dyDescent="0.25"/>
    <row r="3945" s="458" customFormat="1" ht="18" x14ac:dyDescent="0.25"/>
    <row r="3946" s="458" customFormat="1" ht="18" x14ac:dyDescent="0.25"/>
    <row r="3947" s="458" customFormat="1" ht="18" x14ac:dyDescent="0.25"/>
    <row r="3948" s="458" customFormat="1" ht="18" x14ac:dyDescent="0.25"/>
    <row r="3949" s="458" customFormat="1" ht="18" x14ac:dyDescent="0.25"/>
    <row r="3950" s="458" customFormat="1" ht="18" x14ac:dyDescent="0.25"/>
    <row r="3951" s="458" customFormat="1" ht="18" x14ac:dyDescent="0.25"/>
    <row r="3952" s="458" customFormat="1" ht="18" x14ac:dyDescent="0.25"/>
    <row r="3953" s="458" customFormat="1" ht="18" x14ac:dyDescent="0.25"/>
    <row r="3954" s="458" customFormat="1" ht="18" x14ac:dyDescent="0.25"/>
    <row r="3955" s="458" customFormat="1" ht="18" x14ac:dyDescent="0.25"/>
    <row r="3956" s="458" customFormat="1" ht="18" x14ac:dyDescent="0.25"/>
    <row r="3957" s="458" customFormat="1" ht="18" x14ac:dyDescent="0.25"/>
    <row r="3958" s="458" customFormat="1" ht="18" x14ac:dyDescent="0.25"/>
    <row r="3959" s="458" customFormat="1" ht="18" x14ac:dyDescent="0.25"/>
    <row r="3960" s="458" customFormat="1" ht="18" x14ac:dyDescent="0.25"/>
    <row r="3961" s="458" customFormat="1" ht="18" x14ac:dyDescent="0.25"/>
    <row r="3962" s="458" customFormat="1" ht="18" x14ac:dyDescent="0.25"/>
    <row r="3963" s="458" customFormat="1" ht="18" x14ac:dyDescent="0.25"/>
    <row r="3964" s="458" customFormat="1" ht="18" x14ac:dyDescent="0.25"/>
    <row r="3965" s="458" customFormat="1" ht="18" x14ac:dyDescent="0.25"/>
    <row r="3966" s="458" customFormat="1" ht="18" x14ac:dyDescent="0.25"/>
    <row r="3967" s="458" customFormat="1" ht="18" x14ac:dyDescent="0.25"/>
    <row r="3968" s="458" customFormat="1" ht="18" x14ac:dyDescent="0.25"/>
    <row r="3969" s="458" customFormat="1" ht="18" x14ac:dyDescent="0.25"/>
    <row r="3970" s="458" customFormat="1" ht="18" x14ac:dyDescent="0.25"/>
    <row r="3971" s="458" customFormat="1" ht="18" x14ac:dyDescent="0.25"/>
    <row r="3972" s="458" customFormat="1" ht="18" x14ac:dyDescent="0.25"/>
    <row r="3973" s="458" customFormat="1" ht="18" x14ac:dyDescent="0.25"/>
    <row r="3974" s="458" customFormat="1" ht="18" x14ac:dyDescent="0.25"/>
    <row r="3975" s="458" customFormat="1" ht="18" x14ac:dyDescent="0.25"/>
    <row r="3976" s="458" customFormat="1" ht="18" x14ac:dyDescent="0.25"/>
    <row r="3977" s="458" customFormat="1" ht="18" x14ac:dyDescent="0.25"/>
    <row r="3978" s="458" customFormat="1" ht="18" x14ac:dyDescent="0.25"/>
    <row r="3979" s="458" customFormat="1" ht="18" x14ac:dyDescent="0.25"/>
    <row r="3980" s="458" customFormat="1" ht="18" x14ac:dyDescent="0.25"/>
    <row r="3981" s="458" customFormat="1" ht="18" x14ac:dyDescent="0.25"/>
    <row r="3982" s="458" customFormat="1" ht="18" x14ac:dyDescent="0.25"/>
    <row r="3983" s="458" customFormat="1" ht="18" x14ac:dyDescent="0.25"/>
    <row r="3984" s="458" customFormat="1" ht="18" x14ac:dyDescent="0.25"/>
    <row r="3985" s="458" customFormat="1" ht="18" x14ac:dyDescent="0.25"/>
    <row r="3986" s="458" customFormat="1" ht="18" x14ac:dyDescent="0.25"/>
    <row r="3987" s="458" customFormat="1" ht="18" x14ac:dyDescent="0.25"/>
    <row r="3988" s="458" customFormat="1" ht="18" x14ac:dyDescent="0.25"/>
    <row r="3989" s="458" customFormat="1" ht="18" x14ac:dyDescent="0.25"/>
    <row r="3990" s="458" customFormat="1" ht="18" x14ac:dyDescent="0.25"/>
    <row r="3991" s="458" customFormat="1" ht="18" x14ac:dyDescent="0.25"/>
    <row r="3992" s="458" customFormat="1" ht="18" x14ac:dyDescent="0.25"/>
    <row r="3993" s="458" customFormat="1" ht="18" x14ac:dyDescent="0.25"/>
    <row r="3994" s="458" customFormat="1" ht="18" x14ac:dyDescent="0.25"/>
    <row r="3995" s="458" customFormat="1" ht="18" x14ac:dyDescent="0.25"/>
    <row r="3996" s="458" customFormat="1" ht="18" x14ac:dyDescent="0.25"/>
    <row r="3997" s="458" customFormat="1" ht="18" x14ac:dyDescent="0.25"/>
    <row r="3998" s="458" customFormat="1" ht="18" x14ac:dyDescent="0.25"/>
    <row r="3999" s="458" customFormat="1" ht="18" x14ac:dyDescent="0.25"/>
    <row r="4000" s="458" customFormat="1" ht="18" x14ac:dyDescent="0.25"/>
    <row r="4001" s="458" customFormat="1" ht="18" x14ac:dyDescent="0.25"/>
    <row r="4002" s="458" customFormat="1" ht="18" x14ac:dyDescent="0.25"/>
    <row r="4003" s="458" customFormat="1" ht="18" x14ac:dyDescent="0.25"/>
    <row r="4004" s="458" customFormat="1" ht="18" x14ac:dyDescent="0.25"/>
    <row r="4005" s="458" customFormat="1" ht="18" x14ac:dyDescent="0.25"/>
    <row r="4006" s="458" customFormat="1" ht="18" x14ac:dyDescent="0.25"/>
    <row r="4007" s="458" customFormat="1" ht="18" x14ac:dyDescent="0.25"/>
    <row r="4008" s="458" customFormat="1" ht="18" x14ac:dyDescent="0.25"/>
    <row r="4009" s="458" customFormat="1" ht="18" x14ac:dyDescent="0.25"/>
    <row r="4010" s="458" customFormat="1" ht="18" x14ac:dyDescent="0.25"/>
    <row r="4011" s="458" customFormat="1" ht="18" x14ac:dyDescent="0.25"/>
    <row r="4012" s="458" customFormat="1" ht="18" x14ac:dyDescent="0.25"/>
    <row r="4013" s="458" customFormat="1" ht="18" x14ac:dyDescent="0.25"/>
    <row r="4014" s="458" customFormat="1" ht="18" x14ac:dyDescent="0.25"/>
    <row r="4015" s="458" customFormat="1" ht="18" x14ac:dyDescent="0.25"/>
    <row r="4016" s="458" customFormat="1" ht="18" x14ac:dyDescent="0.25"/>
    <row r="4017" s="458" customFormat="1" ht="18" x14ac:dyDescent="0.25"/>
    <row r="4018" s="458" customFormat="1" ht="18" x14ac:dyDescent="0.25"/>
    <row r="4019" s="458" customFormat="1" ht="18" x14ac:dyDescent="0.25"/>
    <row r="4020" s="458" customFormat="1" ht="18" x14ac:dyDescent="0.25"/>
    <row r="4021" s="458" customFormat="1" ht="18" x14ac:dyDescent="0.25"/>
    <row r="4022" s="458" customFormat="1" ht="18" x14ac:dyDescent="0.25"/>
    <row r="4023" s="458" customFormat="1" ht="18" x14ac:dyDescent="0.25"/>
    <row r="4024" s="458" customFormat="1" ht="18" x14ac:dyDescent="0.25"/>
    <row r="4025" s="458" customFormat="1" ht="18" x14ac:dyDescent="0.25"/>
    <row r="4026" s="458" customFormat="1" ht="18" x14ac:dyDescent="0.25"/>
    <row r="4027" s="458" customFormat="1" ht="18" x14ac:dyDescent="0.25"/>
    <row r="4028" s="458" customFormat="1" ht="18" x14ac:dyDescent="0.25"/>
    <row r="4029" s="458" customFormat="1" ht="18" x14ac:dyDescent="0.25"/>
    <row r="4030" s="458" customFormat="1" ht="18" x14ac:dyDescent="0.25"/>
    <row r="4031" s="458" customFormat="1" ht="18" x14ac:dyDescent="0.25"/>
    <row r="4032" s="458" customFormat="1" ht="18" x14ac:dyDescent="0.25"/>
    <row r="4033" s="458" customFormat="1" ht="18" x14ac:dyDescent="0.25"/>
    <row r="4034" s="458" customFormat="1" ht="18" x14ac:dyDescent="0.25"/>
    <row r="4035" s="458" customFormat="1" ht="18" x14ac:dyDescent="0.25"/>
    <row r="4036" s="458" customFormat="1" ht="18" x14ac:dyDescent="0.25"/>
    <row r="4037" s="458" customFormat="1" ht="18" x14ac:dyDescent="0.25"/>
    <row r="4038" s="458" customFormat="1" ht="18" x14ac:dyDescent="0.25"/>
    <row r="4039" s="458" customFormat="1" ht="18" x14ac:dyDescent="0.25"/>
    <row r="4040" s="458" customFormat="1" ht="18" x14ac:dyDescent="0.25"/>
    <row r="4041" s="458" customFormat="1" ht="18" x14ac:dyDescent="0.25"/>
    <row r="4042" s="458" customFormat="1" ht="18" x14ac:dyDescent="0.25"/>
    <row r="4043" s="458" customFormat="1" ht="18" x14ac:dyDescent="0.25"/>
    <row r="4044" s="458" customFormat="1" ht="18" x14ac:dyDescent="0.25"/>
    <row r="4045" s="458" customFormat="1" ht="18" x14ac:dyDescent="0.25"/>
    <row r="4046" s="458" customFormat="1" ht="18" x14ac:dyDescent="0.25"/>
    <row r="4047" s="458" customFormat="1" ht="18" x14ac:dyDescent="0.25"/>
    <row r="4048" s="458" customFormat="1" ht="18" x14ac:dyDescent="0.25"/>
    <row r="4049" s="458" customFormat="1" ht="18" x14ac:dyDescent="0.25"/>
    <row r="4050" s="458" customFormat="1" ht="18" x14ac:dyDescent="0.25"/>
    <row r="4051" s="458" customFormat="1" ht="18" x14ac:dyDescent="0.25"/>
    <row r="4052" s="458" customFormat="1" ht="18" x14ac:dyDescent="0.25"/>
    <row r="4053" s="458" customFormat="1" ht="18" x14ac:dyDescent="0.25"/>
    <row r="4054" s="458" customFormat="1" ht="18" x14ac:dyDescent="0.25"/>
    <row r="4055" s="458" customFormat="1" ht="18" x14ac:dyDescent="0.25"/>
    <row r="4056" s="458" customFormat="1" ht="18" x14ac:dyDescent="0.25"/>
    <row r="4057" s="458" customFormat="1" ht="18" x14ac:dyDescent="0.25"/>
    <row r="4058" s="458" customFormat="1" ht="18" x14ac:dyDescent="0.25"/>
    <row r="4059" s="458" customFormat="1" ht="18" x14ac:dyDescent="0.25"/>
    <row r="4060" s="458" customFormat="1" ht="18" x14ac:dyDescent="0.25"/>
    <row r="4061" s="458" customFormat="1" ht="18" x14ac:dyDescent="0.25"/>
    <row r="4062" s="458" customFormat="1" ht="18" x14ac:dyDescent="0.25"/>
    <row r="4063" s="458" customFormat="1" ht="18" x14ac:dyDescent="0.25"/>
    <row r="4064" s="458" customFormat="1" ht="18" x14ac:dyDescent="0.25"/>
    <row r="4065" s="458" customFormat="1" ht="18" x14ac:dyDescent="0.25"/>
    <row r="4066" s="458" customFormat="1" ht="18" x14ac:dyDescent="0.25"/>
    <row r="4067" s="458" customFormat="1" ht="18" x14ac:dyDescent="0.25"/>
    <row r="4068" s="458" customFormat="1" ht="18" x14ac:dyDescent="0.25"/>
    <row r="4069" s="458" customFormat="1" ht="18" x14ac:dyDescent="0.25"/>
    <row r="4070" s="458" customFormat="1" ht="18" x14ac:dyDescent="0.25"/>
    <row r="4071" s="458" customFormat="1" ht="18" x14ac:dyDescent="0.25"/>
    <row r="4072" s="458" customFormat="1" ht="18" x14ac:dyDescent="0.25"/>
    <row r="4073" s="458" customFormat="1" ht="18" x14ac:dyDescent="0.25"/>
    <row r="4074" s="458" customFormat="1" ht="18" x14ac:dyDescent="0.25"/>
    <row r="4075" s="458" customFormat="1" ht="18" x14ac:dyDescent="0.25"/>
    <row r="4076" s="458" customFormat="1" ht="18" x14ac:dyDescent="0.25"/>
    <row r="4077" s="458" customFormat="1" ht="18" x14ac:dyDescent="0.25"/>
    <row r="4078" s="458" customFormat="1" ht="18" x14ac:dyDescent="0.25"/>
    <row r="4079" s="458" customFormat="1" ht="18" x14ac:dyDescent="0.25"/>
    <row r="4080" s="458" customFormat="1" ht="18" x14ac:dyDescent="0.25"/>
    <row r="4081" s="458" customFormat="1" ht="18" x14ac:dyDescent="0.25"/>
    <row r="4082" s="458" customFormat="1" ht="18" x14ac:dyDescent="0.25"/>
    <row r="4083" s="458" customFormat="1" ht="18" x14ac:dyDescent="0.25"/>
    <row r="4084" s="458" customFormat="1" ht="18" x14ac:dyDescent="0.25"/>
    <row r="4085" s="458" customFormat="1" ht="18" x14ac:dyDescent="0.25"/>
    <row r="4086" s="458" customFormat="1" ht="18" x14ac:dyDescent="0.25"/>
    <row r="4087" s="458" customFormat="1" ht="18" x14ac:dyDescent="0.25"/>
    <row r="4088" s="458" customFormat="1" ht="18" x14ac:dyDescent="0.25"/>
    <row r="4089" s="458" customFormat="1" ht="18" x14ac:dyDescent="0.25"/>
    <row r="4090" s="458" customFormat="1" ht="18" x14ac:dyDescent="0.25"/>
    <row r="4091" s="458" customFormat="1" ht="18" x14ac:dyDescent="0.25"/>
    <row r="4092" s="458" customFormat="1" ht="18" x14ac:dyDescent="0.25"/>
    <row r="4093" s="458" customFormat="1" ht="18" x14ac:dyDescent="0.25"/>
    <row r="4094" s="458" customFormat="1" ht="18" x14ac:dyDescent="0.25"/>
    <row r="4095" s="458" customFormat="1" ht="18" x14ac:dyDescent="0.25"/>
    <row r="4096" s="458" customFormat="1" ht="18" x14ac:dyDescent="0.25"/>
    <row r="4097" s="458" customFormat="1" ht="18" x14ac:dyDescent="0.25"/>
    <row r="4098" s="458" customFormat="1" ht="18" x14ac:dyDescent="0.25"/>
    <row r="4099" s="458" customFormat="1" ht="18" x14ac:dyDescent="0.25"/>
    <row r="4100" s="458" customFormat="1" ht="18" x14ac:dyDescent="0.25"/>
    <row r="4101" s="458" customFormat="1" ht="18" x14ac:dyDescent="0.25"/>
    <row r="4102" s="458" customFormat="1" ht="18" x14ac:dyDescent="0.25"/>
    <row r="4103" s="458" customFormat="1" ht="18" x14ac:dyDescent="0.25"/>
    <row r="4104" s="458" customFormat="1" ht="18" x14ac:dyDescent="0.25"/>
    <row r="4105" s="458" customFormat="1" ht="18" x14ac:dyDescent="0.25"/>
    <row r="4106" s="458" customFormat="1" ht="18" x14ac:dyDescent="0.25"/>
    <row r="4107" s="458" customFormat="1" ht="18" x14ac:dyDescent="0.25"/>
    <row r="4108" s="458" customFormat="1" ht="18" x14ac:dyDescent="0.25"/>
    <row r="4109" s="458" customFormat="1" ht="18" x14ac:dyDescent="0.25"/>
    <row r="4110" s="458" customFormat="1" ht="18" x14ac:dyDescent="0.25"/>
    <row r="4111" s="458" customFormat="1" ht="18" x14ac:dyDescent="0.25"/>
    <row r="4112" s="458" customFormat="1" ht="18" x14ac:dyDescent="0.25"/>
    <row r="4113" s="458" customFormat="1" ht="18" x14ac:dyDescent="0.25"/>
    <row r="4114" s="458" customFormat="1" ht="18" x14ac:dyDescent="0.25"/>
    <row r="4115" s="458" customFormat="1" ht="18" x14ac:dyDescent="0.25"/>
    <row r="4116" s="458" customFormat="1" ht="18" x14ac:dyDescent="0.25"/>
    <row r="4117" s="458" customFormat="1" ht="18" x14ac:dyDescent="0.25"/>
    <row r="4118" s="458" customFormat="1" ht="18" x14ac:dyDescent="0.25"/>
    <row r="4119" s="458" customFormat="1" ht="18" x14ac:dyDescent="0.25"/>
    <row r="4120" s="458" customFormat="1" ht="18" x14ac:dyDescent="0.25"/>
    <row r="4121" s="458" customFormat="1" ht="18" x14ac:dyDescent="0.25"/>
    <row r="4122" s="458" customFormat="1" ht="18" x14ac:dyDescent="0.25"/>
    <row r="4123" s="458" customFormat="1" ht="18" x14ac:dyDescent="0.25"/>
    <row r="4124" s="458" customFormat="1" ht="18" x14ac:dyDescent="0.25"/>
    <row r="4125" s="458" customFormat="1" ht="18" x14ac:dyDescent="0.25"/>
    <row r="4126" s="458" customFormat="1" ht="18" x14ac:dyDescent="0.25"/>
    <row r="4127" s="458" customFormat="1" ht="18" x14ac:dyDescent="0.25"/>
    <row r="4128" s="458" customFormat="1" ht="18" x14ac:dyDescent="0.25"/>
    <row r="4129" s="458" customFormat="1" ht="18" x14ac:dyDescent="0.25"/>
    <row r="4130" s="458" customFormat="1" ht="18" x14ac:dyDescent="0.25"/>
    <row r="4131" s="458" customFormat="1" ht="18" x14ac:dyDescent="0.25"/>
    <row r="4132" s="458" customFormat="1" ht="18" x14ac:dyDescent="0.25"/>
    <row r="4133" s="458" customFormat="1" ht="18" x14ac:dyDescent="0.25"/>
    <row r="4134" s="458" customFormat="1" ht="18" x14ac:dyDescent="0.25"/>
    <row r="4135" s="458" customFormat="1" ht="18" x14ac:dyDescent="0.25"/>
    <row r="4136" s="458" customFormat="1" ht="18" x14ac:dyDescent="0.25"/>
    <row r="4137" s="458" customFormat="1" ht="18" x14ac:dyDescent="0.25"/>
    <row r="4138" s="458" customFormat="1" ht="18" x14ac:dyDescent="0.25"/>
    <row r="4139" s="458" customFormat="1" ht="18" x14ac:dyDescent="0.25"/>
    <row r="4140" s="458" customFormat="1" ht="18" x14ac:dyDescent="0.25"/>
    <row r="4141" s="458" customFormat="1" ht="18" x14ac:dyDescent="0.25"/>
    <row r="4142" s="458" customFormat="1" ht="18" x14ac:dyDescent="0.25"/>
    <row r="4143" s="458" customFormat="1" ht="18" x14ac:dyDescent="0.25"/>
    <row r="4144" s="458" customFormat="1" ht="18" x14ac:dyDescent="0.25"/>
    <row r="4145" s="458" customFormat="1" ht="18" x14ac:dyDescent="0.25"/>
    <row r="4146" s="458" customFormat="1" ht="18" x14ac:dyDescent="0.25"/>
    <row r="4147" s="458" customFormat="1" ht="18" x14ac:dyDescent="0.25"/>
    <row r="4148" s="458" customFormat="1" ht="18" x14ac:dyDescent="0.25"/>
    <row r="4149" s="458" customFormat="1" ht="18" x14ac:dyDescent="0.25"/>
    <row r="4150" s="458" customFormat="1" ht="18" x14ac:dyDescent="0.25"/>
    <row r="4151" s="458" customFormat="1" ht="18" x14ac:dyDescent="0.25"/>
    <row r="4152" s="458" customFormat="1" ht="18" x14ac:dyDescent="0.25"/>
    <row r="4153" s="458" customFormat="1" ht="18" x14ac:dyDescent="0.25"/>
    <row r="4154" s="458" customFormat="1" ht="18" x14ac:dyDescent="0.25"/>
    <row r="4155" s="458" customFormat="1" ht="18" x14ac:dyDescent="0.25"/>
    <row r="4156" s="458" customFormat="1" ht="18" x14ac:dyDescent="0.25"/>
    <row r="4157" s="458" customFormat="1" ht="18" x14ac:dyDescent="0.25"/>
    <row r="4158" s="458" customFormat="1" ht="18" x14ac:dyDescent="0.25"/>
    <row r="4159" s="458" customFormat="1" ht="18" x14ac:dyDescent="0.25"/>
    <row r="4160" s="458" customFormat="1" ht="18" x14ac:dyDescent="0.25"/>
    <row r="4161" s="458" customFormat="1" ht="18" x14ac:dyDescent="0.25"/>
    <row r="4162" s="458" customFormat="1" ht="18" x14ac:dyDescent="0.25"/>
    <row r="4163" s="458" customFormat="1" ht="18" x14ac:dyDescent="0.25"/>
    <row r="4164" s="458" customFormat="1" ht="18" x14ac:dyDescent="0.25"/>
    <row r="4165" s="458" customFormat="1" ht="18" x14ac:dyDescent="0.25"/>
    <row r="4166" s="458" customFormat="1" ht="18" x14ac:dyDescent="0.25"/>
    <row r="4167" s="458" customFormat="1" ht="18" x14ac:dyDescent="0.25"/>
    <row r="4168" s="458" customFormat="1" ht="18" x14ac:dyDescent="0.25"/>
    <row r="4169" s="458" customFormat="1" ht="18" x14ac:dyDescent="0.25"/>
    <row r="4170" s="458" customFormat="1" ht="18" x14ac:dyDescent="0.25"/>
    <row r="4171" s="458" customFormat="1" ht="18" x14ac:dyDescent="0.25"/>
    <row r="4172" s="458" customFormat="1" ht="18" x14ac:dyDescent="0.25"/>
    <row r="4173" s="458" customFormat="1" ht="18" x14ac:dyDescent="0.25"/>
    <row r="4174" s="458" customFormat="1" ht="18" x14ac:dyDescent="0.25"/>
    <row r="4175" s="458" customFormat="1" ht="18" x14ac:dyDescent="0.25"/>
    <row r="4176" s="458" customFormat="1" ht="18" x14ac:dyDescent="0.25"/>
    <row r="4177" s="458" customFormat="1" ht="18" x14ac:dyDescent="0.25"/>
    <row r="4178" s="458" customFormat="1" ht="18" x14ac:dyDescent="0.25"/>
    <row r="4179" s="458" customFormat="1" ht="18" x14ac:dyDescent="0.25"/>
    <row r="4180" s="458" customFormat="1" ht="18" x14ac:dyDescent="0.25"/>
    <row r="4181" s="458" customFormat="1" ht="18" x14ac:dyDescent="0.25"/>
    <row r="4182" s="458" customFormat="1" ht="18" x14ac:dyDescent="0.25"/>
    <row r="4183" s="458" customFormat="1" ht="18" x14ac:dyDescent="0.25"/>
    <row r="4184" s="458" customFormat="1" ht="18" x14ac:dyDescent="0.25"/>
    <row r="4185" s="458" customFormat="1" ht="18" x14ac:dyDescent="0.25"/>
    <row r="4186" s="458" customFormat="1" ht="18" x14ac:dyDescent="0.25"/>
    <row r="4187" s="458" customFormat="1" ht="18" x14ac:dyDescent="0.25"/>
    <row r="4188" s="458" customFormat="1" ht="18" x14ac:dyDescent="0.25"/>
    <row r="4189" s="458" customFormat="1" ht="18" x14ac:dyDescent="0.25"/>
    <row r="4190" s="458" customFormat="1" ht="18" x14ac:dyDescent="0.25"/>
    <row r="4191" s="458" customFormat="1" ht="18" x14ac:dyDescent="0.25"/>
    <row r="4192" s="458" customFormat="1" ht="18" x14ac:dyDescent="0.25"/>
    <row r="4193" s="458" customFormat="1" ht="18" x14ac:dyDescent="0.25"/>
    <row r="4194" s="458" customFormat="1" ht="18" x14ac:dyDescent="0.25"/>
    <row r="4195" s="458" customFormat="1" ht="18" x14ac:dyDescent="0.25"/>
    <row r="4196" s="458" customFormat="1" ht="18" x14ac:dyDescent="0.25"/>
    <row r="4197" s="458" customFormat="1" ht="18" x14ac:dyDescent="0.25"/>
    <row r="4198" s="458" customFormat="1" ht="18" x14ac:dyDescent="0.25"/>
    <row r="4199" s="458" customFormat="1" ht="18" x14ac:dyDescent="0.25"/>
    <row r="4200" s="458" customFormat="1" ht="18" x14ac:dyDescent="0.25"/>
    <row r="4201" s="458" customFormat="1" ht="18" x14ac:dyDescent="0.25"/>
    <row r="4202" s="458" customFormat="1" ht="18" x14ac:dyDescent="0.25"/>
    <row r="4203" s="458" customFormat="1" ht="18" x14ac:dyDescent="0.25"/>
    <row r="4204" s="458" customFormat="1" ht="18" x14ac:dyDescent="0.25"/>
    <row r="4205" s="458" customFormat="1" ht="18" x14ac:dyDescent="0.25"/>
    <row r="4206" s="458" customFormat="1" ht="18" x14ac:dyDescent="0.25"/>
    <row r="4207" s="458" customFormat="1" ht="18" x14ac:dyDescent="0.25"/>
    <row r="4208" s="458" customFormat="1" ht="18" x14ac:dyDescent="0.25"/>
    <row r="4209" s="458" customFormat="1" ht="18" x14ac:dyDescent="0.25"/>
    <row r="4210" s="458" customFormat="1" ht="18" x14ac:dyDescent="0.25"/>
    <row r="4211" s="458" customFormat="1" ht="18" x14ac:dyDescent="0.25"/>
    <row r="4212" s="458" customFormat="1" ht="18" x14ac:dyDescent="0.25"/>
    <row r="4213" s="458" customFormat="1" ht="18" x14ac:dyDescent="0.25"/>
    <row r="4214" s="458" customFormat="1" ht="18" x14ac:dyDescent="0.25"/>
    <row r="4215" s="458" customFormat="1" ht="18" x14ac:dyDescent="0.25"/>
    <row r="4216" s="458" customFormat="1" ht="18" x14ac:dyDescent="0.25"/>
    <row r="4217" s="458" customFormat="1" ht="18" x14ac:dyDescent="0.25"/>
    <row r="4218" s="458" customFormat="1" ht="18" x14ac:dyDescent="0.25"/>
    <row r="4219" s="458" customFormat="1" ht="18" x14ac:dyDescent="0.25"/>
    <row r="4220" s="458" customFormat="1" ht="18" x14ac:dyDescent="0.25"/>
    <row r="4221" s="458" customFormat="1" ht="18" x14ac:dyDescent="0.25"/>
    <row r="4222" s="458" customFormat="1" ht="18" x14ac:dyDescent="0.25"/>
    <row r="4223" s="458" customFormat="1" ht="18" x14ac:dyDescent="0.25"/>
    <row r="4224" s="458" customFormat="1" ht="18" x14ac:dyDescent="0.25"/>
    <row r="4225" s="458" customFormat="1" ht="18" x14ac:dyDescent="0.25"/>
    <row r="4226" s="458" customFormat="1" ht="18" x14ac:dyDescent="0.25"/>
    <row r="4227" s="458" customFormat="1" ht="18" x14ac:dyDescent="0.25"/>
    <row r="4228" s="458" customFormat="1" ht="18" x14ac:dyDescent="0.25"/>
    <row r="4229" s="458" customFormat="1" ht="18" x14ac:dyDescent="0.25"/>
    <row r="4230" s="458" customFormat="1" ht="18" x14ac:dyDescent="0.25"/>
    <row r="4231" s="458" customFormat="1" ht="18" x14ac:dyDescent="0.25"/>
    <row r="4232" s="458" customFormat="1" ht="18" x14ac:dyDescent="0.25"/>
    <row r="4233" s="458" customFormat="1" ht="18" x14ac:dyDescent="0.25"/>
    <row r="4234" s="458" customFormat="1" ht="18" x14ac:dyDescent="0.25"/>
    <row r="4235" s="458" customFormat="1" ht="18" x14ac:dyDescent="0.25"/>
    <row r="4236" s="458" customFormat="1" ht="18" x14ac:dyDescent="0.25"/>
    <row r="4237" s="458" customFormat="1" ht="18" x14ac:dyDescent="0.25"/>
    <row r="4238" s="458" customFormat="1" ht="18" x14ac:dyDescent="0.25"/>
    <row r="4239" s="458" customFormat="1" ht="18" x14ac:dyDescent="0.25"/>
    <row r="4240" s="458" customFormat="1" ht="18" x14ac:dyDescent="0.25"/>
    <row r="4241" s="458" customFormat="1" ht="18" x14ac:dyDescent="0.25"/>
    <row r="4242" s="458" customFormat="1" ht="18" x14ac:dyDescent="0.25"/>
    <row r="4243" s="458" customFormat="1" ht="18" x14ac:dyDescent="0.25"/>
    <row r="4244" s="458" customFormat="1" ht="18" x14ac:dyDescent="0.25"/>
    <row r="4245" s="458" customFormat="1" ht="18" x14ac:dyDescent="0.25"/>
    <row r="4246" s="458" customFormat="1" ht="18" x14ac:dyDescent="0.25"/>
    <row r="4247" s="458" customFormat="1" ht="18" x14ac:dyDescent="0.25"/>
    <row r="4248" s="458" customFormat="1" ht="18" x14ac:dyDescent="0.25"/>
    <row r="4249" s="458" customFormat="1" ht="18" x14ac:dyDescent="0.25"/>
    <row r="4250" s="458" customFormat="1" ht="18" x14ac:dyDescent="0.25"/>
    <row r="4251" s="458" customFormat="1" ht="18" x14ac:dyDescent="0.25"/>
    <row r="4252" s="458" customFormat="1" ht="18" x14ac:dyDescent="0.25"/>
    <row r="4253" s="458" customFormat="1" ht="18" x14ac:dyDescent="0.25"/>
    <row r="4254" s="458" customFormat="1" ht="18" x14ac:dyDescent="0.25"/>
    <row r="4255" s="458" customFormat="1" ht="18" x14ac:dyDescent="0.25"/>
    <row r="4256" s="458" customFormat="1" ht="18" x14ac:dyDescent="0.25"/>
    <row r="4257" s="458" customFormat="1" ht="18" x14ac:dyDescent="0.25"/>
    <row r="4258" s="458" customFormat="1" ht="18" x14ac:dyDescent="0.25"/>
    <row r="4259" s="458" customFormat="1" ht="18" x14ac:dyDescent="0.25"/>
    <row r="4260" s="458" customFormat="1" ht="18" x14ac:dyDescent="0.25"/>
    <row r="4261" s="458" customFormat="1" ht="18" x14ac:dyDescent="0.25"/>
    <row r="4262" s="458" customFormat="1" ht="18" x14ac:dyDescent="0.25"/>
    <row r="4263" s="458" customFormat="1" ht="18" x14ac:dyDescent="0.25"/>
    <row r="4264" s="458" customFormat="1" ht="18" x14ac:dyDescent="0.25"/>
    <row r="4265" s="458" customFormat="1" ht="18" x14ac:dyDescent="0.25"/>
    <row r="4266" s="458" customFormat="1" ht="18" x14ac:dyDescent="0.25"/>
    <row r="4267" s="458" customFormat="1" ht="18" x14ac:dyDescent="0.25"/>
    <row r="4268" s="458" customFormat="1" ht="18" x14ac:dyDescent="0.25"/>
    <row r="4269" s="458" customFormat="1" ht="18" x14ac:dyDescent="0.25"/>
    <row r="4270" s="458" customFormat="1" ht="18" x14ac:dyDescent="0.25"/>
    <row r="4271" s="458" customFormat="1" ht="18" x14ac:dyDescent="0.25"/>
    <row r="4272" s="458" customFormat="1" ht="18" x14ac:dyDescent="0.25"/>
    <row r="4273" s="458" customFormat="1" ht="18" x14ac:dyDescent="0.25"/>
    <row r="4274" s="458" customFormat="1" ht="18" x14ac:dyDescent="0.25"/>
    <row r="4275" s="458" customFormat="1" ht="18" x14ac:dyDescent="0.25"/>
    <row r="4276" s="458" customFormat="1" ht="18" x14ac:dyDescent="0.25"/>
    <row r="4277" s="458" customFormat="1" ht="18" x14ac:dyDescent="0.25"/>
    <row r="4278" s="458" customFormat="1" ht="18" x14ac:dyDescent="0.25"/>
    <row r="4279" s="458" customFormat="1" ht="18" x14ac:dyDescent="0.25"/>
    <row r="4280" s="458" customFormat="1" ht="18" x14ac:dyDescent="0.25"/>
    <row r="4281" s="458" customFormat="1" ht="18" x14ac:dyDescent="0.25"/>
    <row r="4282" s="458" customFormat="1" ht="18" x14ac:dyDescent="0.25"/>
    <row r="4283" s="458" customFormat="1" ht="18" x14ac:dyDescent="0.25"/>
    <row r="4284" s="458" customFormat="1" ht="18" x14ac:dyDescent="0.25"/>
    <row r="4285" s="458" customFormat="1" ht="18" x14ac:dyDescent="0.25"/>
    <row r="4286" s="458" customFormat="1" ht="18" x14ac:dyDescent="0.25"/>
    <row r="4287" s="458" customFormat="1" ht="18" x14ac:dyDescent="0.25"/>
    <row r="4288" s="458" customFormat="1" ht="18" x14ac:dyDescent="0.25"/>
    <row r="4289" s="458" customFormat="1" ht="18" x14ac:dyDescent="0.25"/>
    <row r="4290" s="458" customFormat="1" ht="18" x14ac:dyDescent="0.25"/>
    <row r="4291" s="458" customFormat="1" ht="18" x14ac:dyDescent="0.25"/>
    <row r="4292" s="458" customFormat="1" ht="18" x14ac:dyDescent="0.25"/>
    <row r="4293" s="458" customFormat="1" ht="18" x14ac:dyDescent="0.25"/>
    <row r="4294" s="458" customFormat="1" ht="18" x14ac:dyDescent="0.25"/>
    <row r="4295" s="458" customFormat="1" ht="18" x14ac:dyDescent="0.25"/>
    <row r="4296" s="458" customFormat="1" ht="18" x14ac:dyDescent="0.25"/>
    <row r="4297" s="458" customFormat="1" ht="18" x14ac:dyDescent="0.25"/>
    <row r="4298" s="458" customFormat="1" ht="18" x14ac:dyDescent="0.25"/>
    <row r="4299" s="458" customFormat="1" ht="18" x14ac:dyDescent="0.25"/>
    <row r="4300" s="458" customFormat="1" ht="18" x14ac:dyDescent="0.25"/>
    <row r="4301" s="458" customFormat="1" ht="18" x14ac:dyDescent="0.25"/>
    <row r="4302" s="458" customFormat="1" ht="18" x14ac:dyDescent="0.25"/>
    <row r="4303" s="458" customFormat="1" ht="18" x14ac:dyDescent="0.25"/>
    <row r="4304" s="458" customFormat="1" ht="18" x14ac:dyDescent="0.25"/>
    <row r="4305" s="458" customFormat="1" ht="18" x14ac:dyDescent="0.25"/>
    <row r="4306" s="458" customFormat="1" ht="18" x14ac:dyDescent="0.25"/>
    <row r="4307" s="458" customFormat="1" ht="18" x14ac:dyDescent="0.25"/>
    <row r="4308" s="458" customFormat="1" ht="18" x14ac:dyDescent="0.25"/>
    <row r="4309" s="458" customFormat="1" ht="18" x14ac:dyDescent="0.25"/>
    <row r="4310" s="458" customFormat="1" ht="18" x14ac:dyDescent="0.25"/>
    <row r="4311" s="458" customFormat="1" ht="18" x14ac:dyDescent="0.25"/>
    <row r="4312" s="458" customFormat="1" ht="18" x14ac:dyDescent="0.25"/>
    <row r="4313" s="458" customFormat="1" ht="18" x14ac:dyDescent="0.25"/>
    <row r="4314" s="458" customFormat="1" ht="18" x14ac:dyDescent="0.25"/>
    <row r="4315" s="458" customFormat="1" ht="18" x14ac:dyDescent="0.25"/>
    <row r="4316" s="458" customFormat="1" ht="18" x14ac:dyDescent="0.25"/>
    <row r="4317" s="458" customFormat="1" ht="18" x14ac:dyDescent="0.25"/>
    <row r="4318" s="458" customFormat="1" ht="18" x14ac:dyDescent="0.25"/>
    <row r="4319" s="458" customFormat="1" ht="18" x14ac:dyDescent="0.25"/>
    <row r="4320" s="458" customFormat="1" ht="18" x14ac:dyDescent="0.25"/>
    <row r="4321" s="458" customFormat="1" ht="18" x14ac:dyDescent="0.25"/>
    <row r="4322" s="458" customFormat="1" ht="18" x14ac:dyDescent="0.25"/>
    <row r="4323" s="458" customFormat="1" ht="18" x14ac:dyDescent="0.25"/>
    <row r="4324" s="458" customFormat="1" ht="18" x14ac:dyDescent="0.25"/>
    <row r="4325" s="458" customFormat="1" ht="18" x14ac:dyDescent="0.25"/>
    <row r="4326" s="458" customFormat="1" ht="18" x14ac:dyDescent="0.25"/>
    <row r="4327" s="458" customFormat="1" ht="18" x14ac:dyDescent="0.25"/>
    <row r="4328" s="458" customFormat="1" ht="18" x14ac:dyDescent="0.25"/>
    <row r="4329" s="458" customFormat="1" ht="18" x14ac:dyDescent="0.25"/>
    <row r="4330" s="458" customFormat="1" ht="18" x14ac:dyDescent="0.25"/>
    <row r="4331" s="458" customFormat="1" ht="18" x14ac:dyDescent="0.25"/>
    <row r="4332" s="458" customFormat="1" ht="18" x14ac:dyDescent="0.25"/>
    <row r="4333" s="458" customFormat="1" ht="18" x14ac:dyDescent="0.25"/>
    <row r="4334" s="458" customFormat="1" ht="18" x14ac:dyDescent="0.25"/>
    <row r="4335" s="458" customFormat="1" ht="18" x14ac:dyDescent="0.25"/>
    <row r="4336" s="458" customFormat="1" ht="18" x14ac:dyDescent="0.25"/>
    <row r="4337" s="458" customFormat="1" ht="18" x14ac:dyDescent="0.25"/>
    <row r="4338" s="458" customFormat="1" ht="18" x14ac:dyDescent="0.25"/>
    <row r="4339" s="458" customFormat="1" ht="18" x14ac:dyDescent="0.25"/>
    <row r="4340" s="458" customFormat="1" ht="18" x14ac:dyDescent="0.25"/>
    <row r="4341" s="458" customFormat="1" ht="18" x14ac:dyDescent="0.25"/>
    <row r="4342" s="458" customFormat="1" ht="18" x14ac:dyDescent="0.25"/>
    <row r="4343" s="458" customFormat="1" ht="18" x14ac:dyDescent="0.25"/>
    <row r="4344" s="458" customFormat="1" ht="18" x14ac:dyDescent="0.25"/>
    <row r="4345" s="458" customFormat="1" ht="18" x14ac:dyDescent="0.25"/>
    <row r="4346" s="458" customFormat="1" ht="18" x14ac:dyDescent="0.25"/>
    <row r="4347" s="458" customFormat="1" ht="18" x14ac:dyDescent="0.25"/>
    <row r="4348" s="458" customFormat="1" ht="18" x14ac:dyDescent="0.25"/>
    <row r="4349" s="458" customFormat="1" ht="18" x14ac:dyDescent="0.25"/>
    <row r="4350" s="458" customFormat="1" ht="18" x14ac:dyDescent="0.25"/>
    <row r="4351" s="458" customFormat="1" ht="18" x14ac:dyDescent="0.25"/>
    <row r="4352" s="458" customFormat="1" ht="18" x14ac:dyDescent="0.25"/>
    <row r="4353" s="458" customFormat="1" ht="18" x14ac:dyDescent="0.25"/>
    <row r="4354" s="458" customFormat="1" ht="18" x14ac:dyDescent="0.25"/>
    <row r="4355" s="458" customFormat="1" ht="18" x14ac:dyDescent="0.25"/>
    <row r="4356" s="458" customFormat="1" ht="18" x14ac:dyDescent="0.25"/>
    <row r="4357" s="458" customFormat="1" ht="18" x14ac:dyDescent="0.25"/>
    <row r="4358" s="458" customFormat="1" ht="18" x14ac:dyDescent="0.25"/>
    <row r="4359" s="458" customFormat="1" ht="18" x14ac:dyDescent="0.25"/>
    <row r="4360" s="458" customFormat="1" ht="18" x14ac:dyDescent="0.25"/>
    <row r="4361" s="458" customFormat="1" ht="18" x14ac:dyDescent="0.25"/>
    <row r="4362" s="458" customFormat="1" ht="18" x14ac:dyDescent="0.25"/>
    <row r="4363" s="458" customFormat="1" ht="18" x14ac:dyDescent="0.25"/>
    <row r="4364" s="458" customFormat="1" ht="18" x14ac:dyDescent="0.25"/>
    <row r="4365" s="458" customFormat="1" ht="18" x14ac:dyDescent="0.25"/>
    <row r="4366" s="458" customFormat="1" ht="18" x14ac:dyDescent="0.25"/>
    <row r="4367" s="458" customFormat="1" ht="18" x14ac:dyDescent="0.25"/>
    <row r="4368" s="458" customFormat="1" ht="18" x14ac:dyDescent="0.25"/>
    <row r="4369" s="458" customFormat="1" ht="18" x14ac:dyDescent="0.25"/>
    <row r="4370" s="458" customFormat="1" ht="18" x14ac:dyDescent="0.25"/>
    <row r="4371" s="458" customFormat="1" ht="18" x14ac:dyDescent="0.25"/>
    <row r="4372" s="458" customFormat="1" ht="18" x14ac:dyDescent="0.25"/>
    <row r="4373" s="458" customFormat="1" ht="18" x14ac:dyDescent="0.25"/>
    <row r="4374" s="458" customFormat="1" ht="18" x14ac:dyDescent="0.25"/>
    <row r="4375" s="458" customFormat="1" ht="18" x14ac:dyDescent="0.25"/>
    <row r="4376" s="458" customFormat="1" ht="18" x14ac:dyDescent="0.25"/>
    <row r="4377" s="458" customFormat="1" ht="18" x14ac:dyDescent="0.25"/>
    <row r="4378" s="458" customFormat="1" ht="18" x14ac:dyDescent="0.25"/>
    <row r="4379" s="458" customFormat="1" ht="18" x14ac:dyDescent="0.25"/>
    <row r="4380" s="458" customFormat="1" ht="18" x14ac:dyDescent="0.25"/>
    <row r="4381" s="458" customFormat="1" ht="18" x14ac:dyDescent="0.25"/>
    <row r="4382" s="458" customFormat="1" ht="18" x14ac:dyDescent="0.25"/>
    <row r="4383" s="458" customFormat="1" ht="18" x14ac:dyDescent="0.25"/>
    <row r="4384" s="458" customFormat="1" ht="18" x14ac:dyDescent="0.25"/>
    <row r="4385" s="458" customFormat="1" ht="18" x14ac:dyDescent="0.25"/>
    <row r="4386" s="458" customFormat="1" ht="18" x14ac:dyDescent="0.25"/>
    <row r="4387" s="458" customFormat="1" ht="18" x14ac:dyDescent="0.25"/>
    <row r="4388" s="458" customFormat="1" ht="18" x14ac:dyDescent="0.25"/>
    <row r="4389" s="458" customFormat="1" ht="18" x14ac:dyDescent="0.25"/>
    <row r="4390" s="458" customFormat="1" ht="18" x14ac:dyDescent="0.25"/>
    <row r="4391" s="458" customFormat="1" ht="18" x14ac:dyDescent="0.25"/>
    <row r="4392" s="458" customFormat="1" ht="18" x14ac:dyDescent="0.25"/>
    <row r="4393" s="458" customFormat="1" ht="18" x14ac:dyDescent="0.25"/>
    <row r="4394" s="458" customFormat="1" ht="18" x14ac:dyDescent="0.25"/>
    <row r="4395" s="458" customFormat="1" ht="18" x14ac:dyDescent="0.25"/>
    <row r="4396" s="458" customFormat="1" ht="18" x14ac:dyDescent="0.25"/>
    <row r="4397" s="458" customFormat="1" ht="18" x14ac:dyDescent="0.25"/>
    <row r="4398" s="458" customFormat="1" ht="18" x14ac:dyDescent="0.25"/>
    <row r="4399" s="458" customFormat="1" ht="18" x14ac:dyDescent="0.25"/>
    <row r="4400" s="458" customFormat="1" ht="18" x14ac:dyDescent="0.25"/>
    <row r="4401" s="458" customFormat="1" ht="18" x14ac:dyDescent="0.25"/>
    <row r="4402" s="458" customFormat="1" ht="18" x14ac:dyDescent="0.25"/>
    <row r="4403" s="458" customFormat="1" ht="18" x14ac:dyDescent="0.25"/>
    <row r="4404" s="458" customFormat="1" ht="18" x14ac:dyDescent="0.25"/>
    <row r="4405" s="458" customFormat="1" ht="18" x14ac:dyDescent="0.25"/>
    <row r="4406" s="458" customFormat="1" ht="18" x14ac:dyDescent="0.25"/>
    <row r="4407" s="458" customFormat="1" ht="18" x14ac:dyDescent="0.25"/>
    <row r="4408" s="458" customFormat="1" ht="18" x14ac:dyDescent="0.25"/>
    <row r="4409" s="458" customFormat="1" ht="18" x14ac:dyDescent="0.25"/>
    <row r="4410" s="458" customFormat="1" ht="18" x14ac:dyDescent="0.25"/>
    <row r="4411" s="458" customFormat="1" ht="18" x14ac:dyDescent="0.25"/>
    <row r="4412" s="458" customFormat="1" ht="18" x14ac:dyDescent="0.25"/>
    <row r="4413" s="458" customFormat="1" ht="18" x14ac:dyDescent="0.25"/>
    <row r="4414" s="458" customFormat="1" ht="18" x14ac:dyDescent="0.25"/>
    <row r="4415" s="458" customFormat="1" ht="18" x14ac:dyDescent="0.25"/>
    <row r="4416" s="458" customFormat="1" ht="18" x14ac:dyDescent="0.25"/>
    <row r="4417" s="458" customFormat="1" ht="18" x14ac:dyDescent="0.25"/>
    <row r="4418" s="458" customFormat="1" ht="18" x14ac:dyDescent="0.25"/>
    <row r="4419" s="458" customFormat="1" ht="18" x14ac:dyDescent="0.25"/>
    <row r="4420" s="458" customFormat="1" ht="18" x14ac:dyDescent="0.25"/>
    <row r="4421" s="458" customFormat="1" ht="18" x14ac:dyDescent="0.25"/>
    <row r="4422" s="458" customFormat="1" ht="18" x14ac:dyDescent="0.25"/>
    <row r="4423" s="458" customFormat="1" ht="18" x14ac:dyDescent="0.25"/>
    <row r="4424" s="458" customFormat="1" ht="18" x14ac:dyDescent="0.25"/>
    <row r="4425" s="458" customFormat="1" ht="18" x14ac:dyDescent="0.25"/>
    <row r="4426" s="458" customFormat="1" ht="18" x14ac:dyDescent="0.25"/>
    <row r="4427" s="458" customFormat="1" ht="18" x14ac:dyDescent="0.25"/>
    <row r="4428" s="458" customFormat="1" ht="18" x14ac:dyDescent="0.25"/>
    <row r="4429" s="458" customFormat="1" ht="18" x14ac:dyDescent="0.25"/>
    <row r="4430" s="458" customFormat="1" ht="18" x14ac:dyDescent="0.25"/>
    <row r="4431" s="458" customFormat="1" ht="18" x14ac:dyDescent="0.25"/>
    <row r="4432" s="458" customFormat="1" ht="18" x14ac:dyDescent="0.25"/>
    <row r="4433" spans="1:1" s="458" customFormat="1" ht="18" x14ac:dyDescent="0.25"/>
    <row r="4434" spans="1:1" s="458" customFormat="1" ht="18" x14ac:dyDescent="0.25"/>
    <row r="4435" spans="1:1" s="458" customFormat="1" ht="18" x14ac:dyDescent="0.25"/>
    <row r="4436" spans="1:1" s="458" customFormat="1" ht="18" x14ac:dyDescent="0.25"/>
    <row r="4437" spans="1:1" s="458" customFormat="1" ht="18" x14ac:dyDescent="0.25"/>
    <row r="4438" spans="1:1" x14ac:dyDescent="0.2">
      <c r="A4438" s="136"/>
    </row>
    <row r="4439" spans="1:1" x14ac:dyDescent="0.2">
      <c r="A4439" s="136"/>
    </row>
    <row r="4440" spans="1:1" x14ac:dyDescent="0.2">
      <c r="A4440" s="136"/>
    </row>
    <row r="4441" spans="1:1" x14ac:dyDescent="0.2">
      <c r="A4441" s="136"/>
    </row>
    <row r="4442" spans="1:1" x14ac:dyDescent="0.2">
      <c r="A4442" s="136"/>
    </row>
    <row r="4443" spans="1:1" x14ac:dyDescent="0.2">
      <c r="A4443" s="136"/>
    </row>
    <row r="4444" spans="1:1" x14ac:dyDescent="0.2">
      <c r="A4444" s="136"/>
    </row>
    <row r="4445" spans="1:1" x14ac:dyDescent="0.2">
      <c r="A4445" s="136"/>
    </row>
    <row r="4446" spans="1:1" x14ac:dyDescent="0.2">
      <c r="A4446" s="136"/>
    </row>
    <row r="4447" spans="1:1" x14ac:dyDescent="0.2">
      <c r="A4447" s="136"/>
    </row>
    <row r="4448" spans="1:1" x14ac:dyDescent="0.2">
      <c r="A4448" s="136"/>
    </row>
    <row r="4449" spans="1:1" x14ac:dyDescent="0.2">
      <c r="A4449" s="136"/>
    </row>
    <row r="4450" spans="1:1" x14ac:dyDescent="0.2">
      <c r="A4450" s="136"/>
    </row>
    <row r="4451" spans="1:1" x14ac:dyDescent="0.2">
      <c r="A4451" s="136"/>
    </row>
    <row r="4452" spans="1:1" x14ac:dyDescent="0.2">
      <c r="A4452" s="136"/>
    </row>
    <row r="4453" spans="1:1" x14ac:dyDescent="0.2">
      <c r="A4453" s="136"/>
    </row>
    <row r="4454" spans="1:1" x14ac:dyDescent="0.2">
      <c r="A4454" s="136"/>
    </row>
    <row r="4455" spans="1:1" x14ac:dyDescent="0.2">
      <c r="A4455" s="136"/>
    </row>
    <row r="4456" spans="1:1" x14ac:dyDescent="0.2">
      <c r="A4456" s="136"/>
    </row>
    <row r="4457" spans="1:1" x14ac:dyDescent="0.2">
      <c r="A4457" s="136"/>
    </row>
    <row r="4458" spans="1:1" x14ac:dyDescent="0.2">
      <c r="A4458" s="136"/>
    </row>
    <row r="4459" spans="1:1" x14ac:dyDescent="0.2">
      <c r="A4459" s="136"/>
    </row>
    <row r="4460" spans="1:1" x14ac:dyDescent="0.2">
      <c r="A4460" s="136"/>
    </row>
    <row r="4461" spans="1:1" x14ac:dyDescent="0.2">
      <c r="A4461" s="136"/>
    </row>
    <row r="4462" spans="1:1" x14ac:dyDescent="0.2">
      <c r="A4462" s="136"/>
    </row>
    <row r="4463" spans="1:1" x14ac:dyDescent="0.2">
      <c r="A4463" s="136"/>
    </row>
    <row r="4464" spans="1:1" x14ac:dyDescent="0.2">
      <c r="A4464" s="136"/>
    </row>
    <row r="4465" spans="1:1" x14ac:dyDescent="0.2">
      <c r="A4465" s="136"/>
    </row>
    <row r="4466" spans="1:1" x14ac:dyDescent="0.2">
      <c r="A4466" s="136"/>
    </row>
    <row r="4467" spans="1:1" x14ac:dyDescent="0.2">
      <c r="A4467" s="136"/>
    </row>
    <row r="4468" spans="1:1" x14ac:dyDescent="0.2">
      <c r="A4468" s="136"/>
    </row>
    <row r="4469" spans="1:1" x14ac:dyDescent="0.2">
      <c r="A4469" s="136"/>
    </row>
    <row r="4470" spans="1:1" x14ac:dyDescent="0.2">
      <c r="A4470" s="136"/>
    </row>
    <row r="4471" spans="1:1" x14ac:dyDescent="0.2">
      <c r="A4471" s="136"/>
    </row>
    <row r="4472" spans="1:1" x14ac:dyDescent="0.2">
      <c r="A4472" s="136"/>
    </row>
    <row r="4473" spans="1:1" x14ac:dyDescent="0.2">
      <c r="A4473" s="136"/>
    </row>
    <row r="4474" spans="1:1" x14ac:dyDescent="0.2">
      <c r="A4474" s="136"/>
    </row>
    <row r="4475" spans="1:1" x14ac:dyDescent="0.2">
      <c r="A4475" s="136"/>
    </row>
    <row r="4476" spans="1:1" x14ac:dyDescent="0.2">
      <c r="A4476" s="136"/>
    </row>
    <row r="4477" spans="1:1" x14ac:dyDescent="0.2">
      <c r="A4477" s="136"/>
    </row>
    <row r="4478" spans="1:1" x14ac:dyDescent="0.2">
      <c r="A4478" s="136"/>
    </row>
    <row r="4479" spans="1:1" x14ac:dyDescent="0.2">
      <c r="A4479" s="136"/>
    </row>
    <row r="4480" spans="1:1" x14ac:dyDescent="0.2">
      <c r="A4480" s="136"/>
    </row>
    <row r="4481" spans="1:1" x14ac:dyDescent="0.2">
      <c r="A4481" s="136"/>
    </row>
    <row r="4482" spans="1:1" x14ac:dyDescent="0.2">
      <c r="A4482" s="136"/>
    </row>
    <row r="4483" spans="1:1" x14ac:dyDescent="0.2">
      <c r="A4483" s="136"/>
    </row>
    <row r="4484" spans="1:1" x14ac:dyDescent="0.2">
      <c r="A4484" s="136"/>
    </row>
    <row r="4485" spans="1:1" x14ac:dyDescent="0.2">
      <c r="A4485" s="136"/>
    </row>
    <row r="4486" spans="1:1" x14ac:dyDescent="0.2">
      <c r="A4486" s="136"/>
    </row>
    <row r="4487" spans="1:1" x14ac:dyDescent="0.2">
      <c r="A4487" s="136"/>
    </row>
    <row r="4488" spans="1:1" x14ac:dyDescent="0.2">
      <c r="A4488" s="136"/>
    </row>
    <row r="4489" spans="1:1" x14ac:dyDescent="0.2">
      <c r="A4489" s="136"/>
    </row>
    <row r="4490" spans="1:1" x14ac:dyDescent="0.2">
      <c r="A4490" s="136"/>
    </row>
    <row r="4491" spans="1:1" x14ac:dyDescent="0.2">
      <c r="A4491" s="136"/>
    </row>
    <row r="4492" spans="1:1" x14ac:dyDescent="0.2">
      <c r="A4492" s="136"/>
    </row>
    <row r="4493" spans="1:1" x14ac:dyDescent="0.2">
      <c r="A4493" s="136"/>
    </row>
    <row r="4494" spans="1:1" x14ac:dyDescent="0.2">
      <c r="A4494" s="136"/>
    </row>
    <row r="4495" spans="1:1" x14ac:dyDescent="0.2">
      <c r="A4495" s="136"/>
    </row>
    <row r="4496" spans="1:1" x14ac:dyDescent="0.2">
      <c r="A4496" s="136"/>
    </row>
    <row r="4497" spans="1:1" x14ac:dyDescent="0.2">
      <c r="A4497" s="136"/>
    </row>
    <row r="4498" spans="1:1" x14ac:dyDescent="0.2">
      <c r="A4498" s="136"/>
    </row>
    <row r="4499" spans="1:1" x14ac:dyDescent="0.2">
      <c r="A4499" s="136"/>
    </row>
    <row r="4500" spans="1:1" x14ac:dyDescent="0.2">
      <c r="A4500" s="136"/>
    </row>
    <row r="4501" spans="1:1" x14ac:dyDescent="0.2">
      <c r="A4501" s="136"/>
    </row>
    <row r="4502" spans="1:1" x14ac:dyDescent="0.2">
      <c r="A4502" s="136"/>
    </row>
    <row r="4503" spans="1:1" x14ac:dyDescent="0.2">
      <c r="A4503" s="136"/>
    </row>
    <row r="4504" spans="1:1" x14ac:dyDescent="0.2">
      <c r="A4504" s="136"/>
    </row>
    <row r="4505" spans="1:1" x14ac:dyDescent="0.2">
      <c r="A4505" s="136"/>
    </row>
    <row r="4506" spans="1:1" x14ac:dyDescent="0.2">
      <c r="A4506" s="136"/>
    </row>
    <row r="4507" spans="1:1" x14ac:dyDescent="0.2">
      <c r="A4507" s="136"/>
    </row>
    <row r="4508" spans="1:1" x14ac:dyDescent="0.2">
      <c r="A4508" s="136"/>
    </row>
    <row r="4509" spans="1:1" x14ac:dyDescent="0.2">
      <c r="A4509" s="136"/>
    </row>
    <row r="4510" spans="1:1" x14ac:dyDescent="0.2">
      <c r="A4510" s="136"/>
    </row>
    <row r="4511" spans="1:1" x14ac:dyDescent="0.2">
      <c r="A4511" s="136"/>
    </row>
    <row r="4512" spans="1:1" x14ac:dyDescent="0.2">
      <c r="A4512" s="136"/>
    </row>
    <row r="4513" spans="1:1" x14ac:dyDescent="0.2">
      <c r="A4513" s="136"/>
    </row>
    <row r="4514" spans="1:1" x14ac:dyDescent="0.2">
      <c r="A4514" s="136"/>
    </row>
    <row r="4515" spans="1:1" x14ac:dyDescent="0.2">
      <c r="A4515" s="136"/>
    </row>
    <row r="4516" spans="1:1" x14ac:dyDescent="0.2">
      <c r="A4516" s="136"/>
    </row>
    <row r="4517" spans="1:1" x14ac:dyDescent="0.2">
      <c r="A4517" s="136"/>
    </row>
    <row r="4518" spans="1:1" x14ac:dyDescent="0.2">
      <c r="A4518" s="136"/>
    </row>
    <row r="4519" spans="1:1" x14ac:dyDescent="0.2">
      <c r="A4519" s="136"/>
    </row>
    <row r="4520" spans="1:1" x14ac:dyDescent="0.2">
      <c r="A4520" s="136"/>
    </row>
    <row r="4521" spans="1:1" x14ac:dyDescent="0.2">
      <c r="A4521" s="136"/>
    </row>
    <row r="4522" spans="1:1" x14ac:dyDescent="0.2">
      <c r="A4522" s="136"/>
    </row>
    <row r="4523" spans="1:1" x14ac:dyDescent="0.2">
      <c r="A4523" s="136"/>
    </row>
    <row r="4524" spans="1:1" x14ac:dyDescent="0.2">
      <c r="A4524" s="136"/>
    </row>
    <row r="4525" spans="1:1" x14ac:dyDescent="0.2">
      <c r="A4525" s="136"/>
    </row>
    <row r="4526" spans="1:1" x14ac:dyDescent="0.2">
      <c r="A4526" s="136"/>
    </row>
    <row r="4527" spans="1:1" x14ac:dyDescent="0.2">
      <c r="A4527" s="136"/>
    </row>
    <row r="4528" spans="1:1" x14ac:dyDescent="0.2">
      <c r="A4528" s="136"/>
    </row>
    <row r="4529" spans="1:1" x14ac:dyDescent="0.2">
      <c r="A4529" s="136"/>
    </row>
    <row r="4530" spans="1:1" x14ac:dyDescent="0.2">
      <c r="A4530" s="136"/>
    </row>
    <row r="4531" spans="1:1" x14ac:dyDescent="0.2">
      <c r="A4531" s="136"/>
    </row>
    <row r="4532" spans="1:1" x14ac:dyDescent="0.2">
      <c r="A4532" s="136"/>
    </row>
    <row r="4533" spans="1:1" x14ac:dyDescent="0.2">
      <c r="A4533" s="136"/>
    </row>
    <row r="4534" spans="1:1" x14ac:dyDescent="0.2">
      <c r="A4534" s="136"/>
    </row>
    <row r="4535" spans="1:1" x14ac:dyDescent="0.2">
      <c r="A4535" s="136"/>
    </row>
    <row r="4536" spans="1:1" x14ac:dyDescent="0.2">
      <c r="A4536" s="136"/>
    </row>
    <row r="4537" spans="1:1" x14ac:dyDescent="0.2">
      <c r="A4537" s="136"/>
    </row>
    <row r="4538" spans="1:1" x14ac:dyDescent="0.2">
      <c r="A4538" s="136"/>
    </row>
    <row r="4539" spans="1:1" x14ac:dyDescent="0.2">
      <c r="A4539" s="136"/>
    </row>
    <row r="4540" spans="1:1" x14ac:dyDescent="0.2">
      <c r="A4540" s="136"/>
    </row>
    <row r="4541" spans="1:1" x14ac:dyDescent="0.2">
      <c r="A4541" s="136"/>
    </row>
    <row r="4542" spans="1:1" x14ac:dyDescent="0.2">
      <c r="A4542" s="136"/>
    </row>
    <row r="4543" spans="1:1" x14ac:dyDescent="0.2">
      <c r="A4543" s="136"/>
    </row>
    <row r="4544" spans="1:1" x14ac:dyDescent="0.2">
      <c r="A4544" s="136"/>
    </row>
    <row r="4545" spans="1:1" x14ac:dyDescent="0.2">
      <c r="A4545" s="136"/>
    </row>
    <row r="4546" spans="1:1" x14ac:dyDescent="0.2">
      <c r="A4546" s="136"/>
    </row>
    <row r="4547" spans="1:1" x14ac:dyDescent="0.2">
      <c r="A4547" s="136"/>
    </row>
    <row r="4548" spans="1:1" x14ac:dyDescent="0.2">
      <c r="A4548" s="136"/>
    </row>
    <row r="4549" spans="1:1" x14ac:dyDescent="0.2">
      <c r="A4549" s="136"/>
    </row>
    <row r="4550" spans="1:1" x14ac:dyDescent="0.2">
      <c r="A4550" s="136"/>
    </row>
    <row r="4551" spans="1:1" x14ac:dyDescent="0.2">
      <c r="A4551" s="136"/>
    </row>
    <row r="4552" spans="1:1" x14ac:dyDescent="0.2">
      <c r="A4552" s="136"/>
    </row>
    <row r="4553" spans="1:1" x14ac:dyDescent="0.2">
      <c r="A4553" s="136"/>
    </row>
    <row r="4554" spans="1:1" x14ac:dyDescent="0.2">
      <c r="A4554" s="136"/>
    </row>
    <row r="4555" spans="1:1" x14ac:dyDescent="0.2">
      <c r="A4555" s="136"/>
    </row>
    <row r="4556" spans="1:1" x14ac:dyDescent="0.2">
      <c r="A4556" s="136"/>
    </row>
    <row r="4557" spans="1:1" x14ac:dyDescent="0.2">
      <c r="A4557" s="136"/>
    </row>
    <row r="4558" spans="1:1" x14ac:dyDescent="0.2">
      <c r="A4558" s="136"/>
    </row>
    <row r="4559" spans="1:1" x14ac:dyDescent="0.2">
      <c r="A4559" s="136"/>
    </row>
    <row r="4560" spans="1:1" x14ac:dyDescent="0.2">
      <c r="A4560" s="136"/>
    </row>
    <row r="4561" spans="1:1" x14ac:dyDescent="0.2">
      <c r="A4561" s="136"/>
    </row>
    <row r="4562" spans="1:1" x14ac:dyDescent="0.2">
      <c r="A4562" s="136"/>
    </row>
    <row r="4563" spans="1:1" x14ac:dyDescent="0.2">
      <c r="A4563" s="136"/>
    </row>
    <row r="4564" spans="1:1" x14ac:dyDescent="0.2">
      <c r="A4564" s="136"/>
    </row>
    <row r="4565" spans="1:1" x14ac:dyDescent="0.2">
      <c r="A4565" s="136"/>
    </row>
    <row r="4566" spans="1:1" x14ac:dyDescent="0.2">
      <c r="A4566" s="136"/>
    </row>
    <row r="4567" spans="1:1" x14ac:dyDescent="0.2">
      <c r="A4567" s="136"/>
    </row>
    <row r="4568" spans="1:1" x14ac:dyDescent="0.2">
      <c r="A4568" s="136"/>
    </row>
    <row r="4569" spans="1:1" x14ac:dyDescent="0.2">
      <c r="A4569" s="136"/>
    </row>
    <row r="4570" spans="1:1" x14ac:dyDescent="0.2">
      <c r="A4570" s="136"/>
    </row>
    <row r="4571" spans="1:1" x14ac:dyDescent="0.2">
      <c r="A4571" s="136"/>
    </row>
    <row r="4572" spans="1:1" x14ac:dyDescent="0.2">
      <c r="A4572" s="136"/>
    </row>
    <row r="4573" spans="1:1" x14ac:dyDescent="0.2">
      <c r="A4573" s="136"/>
    </row>
    <row r="4574" spans="1:1" x14ac:dyDescent="0.2">
      <c r="A4574" s="136"/>
    </row>
    <row r="4575" spans="1:1" x14ac:dyDescent="0.2">
      <c r="A4575" s="136"/>
    </row>
    <row r="4576" spans="1:1" x14ac:dyDescent="0.2">
      <c r="A4576" s="136"/>
    </row>
    <row r="4577" spans="1:1" x14ac:dyDescent="0.2">
      <c r="A4577" s="136"/>
    </row>
    <row r="4578" spans="1:1" x14ac:dyDescent="0.2">
      <c r="A4578" s="136"/>
    </row>
    <row r="4579" spans="1:1" x14ac:dyDescent="0.2">
      <c r="A4579" s="136"/>
    </row>
    <row r="4580" spans="1:1" x14ac:dyDescent="0.2">
      <c r="A4580" s="136"/>
    </row>
    <row r="4581" spans="1:1" x14ac:dyDescent="0.2">
      <c r="A4581" s="136"/>
    </row>
    <row r="4582" spans="1:1" x14ac:dyDescent="0.2">
      <c r="A4582" s="136"/>
    </row>
    <row r="4583" spans="1:1" x14ac:dyDescent="0.2">
      <c r="A4583" s="136"/>
    </row>
    <row r="4584" spans="1:1" x14ac:dyDescent="0.2">
      <c r="A4584" s="136"/>
    </row>
    <row r="4585" spans="1:1" x14ac:dyDescent="0.2">
      <c r="A4585" s="136"/>
    </row>
    <row r="4586" spans="1:1" x14ac:dyDescent="0.2">
      <c r="A4586" s="136"/>
    </row>
    <row r="4587" spans="1:1" x14ac:dyDescent="0.2">
      <c r="A4587" s="136"/>
    </row>
    <row r="4588" spans="1:1" x14ac:dyDescent="0.2">
      <c r="A4588" s="136"/>
    </row>
    <row r="4589" spans="1:1" x14ac:dyDescent="0.2">
      <c r="A4589" s="136"/>
    </row>
    <row r="4590" spans="1:1" x14ac:dyDescent="0.2">
      <c r="A4590" s="136"/>
    </row>
    <row r="4591" spans="1:1" x14ac:dyDescent="0.2">
      <c r="A4591" s="136"/>
    </row>
    <row r="4592" spans="1:1" x14ac:dyDescent="0.2">
      <c r="A4592" s="136"/>
    </row>
    <row r="4593" spans="1:1" x14ac:dyDescent="0.2">
      <c r="A4593" s="136"/>
    </row>
    <row r="4594" spans="1:1" x14ac:dyDescent="0.2">
      <c r="A4594" s="136"/>
    </row>
    <row r="4595" spans="1:1" x14ac:dyDescent="0.2">
      <c r="A4595" s="136"/>
    </row>
    <row r="4596" spans="1:1" x14ac:dyDescent="0.2">
      <c r="A4596" s="136"/>
    </row>
    <row r="4597" spans="1:1" x14ac:dyDescent="0.2">
      <c r="A4597" s="136"/>
    </row>
    <row r="4598" spans="1:1" x14ac:dyDescent="0.2">
      <c r="A4598" s="136"/>
    </row>
    <row r="4599" spans="1:1" x14ac:dyDescent="0.2">
      <c r="A4599" s="136"/>
    </row>
  </sheetData>
  <conditionalFormatting sqref="E3:CU3">
    <cfRule type="cellIs" dxfId="31" priority="12" operator="between">
      <formula>1000</formula>
      <formula>2999.99</formula>
    </cfRule>
    <cfRule type="cellIs" dxfId="30" priority="13" operator="greaterThanOrEqual">
      <formula>3000</formula>
    </cfRule>
  </conditionalFormatting>
  <conditionalFormatting sqref="E5:CU5">
    <cfRule type="cellIs" dxfId="29" priority="8" operator="between">
      <formula>1000</formula>
      <formula>2999.99</formula>
    </cfRule>
    <cfRule type="cellIs" dxfId="28" priority="9" operator="greaterThanOrEqual">
      <formula>3000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3:A8"/>
  <sheetViews>
    <sheetView workbookViewId="0">
      <selection activeCell="A3" sqref="A3:CV8"/>
    </sheetView>
  </sheetViews>
  <sheetFormatPr baseColWidth="10" defaultRowHeight="15" x14ac:dyDescent="0.25"/>
  <cols>
    <col min="1" max="1" width="15.85546875" customWidth="1"/>
    <col min="2" max="2" width="17.85546875" customWidth="1"/>
    <col min="4" max="4" width="14.5703125" customWidth="1"/>
  </cols>
  <sheetData>
    <row r="3" s="26" customFormat="1" x14ac:dyDescent="0.45"/>
    <row r="4" s="27" customFormat="1" x14ac:dyDescent="0.45"/>
    <row r="5" s="27" customFormat="1" x14ac:dyDescent="0.45"/>
    <row r="6" s="27" customFormat="1" x14ac:dyDescent="0.45"/>
    <row r="7" s="27" customFormat="1" x14ac:dyDescent="0.45"/>
    <row r="8" s="27" customFormat="1" x14ac:dyDescent="0.45"/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ReadME</vt:lpstr>
      <vt:lpstr>EPITOPIA Classe 2</vt:lpstr>
      <vt:lpstr>translator (sans deux points)</vt:lpstr>
      <vt:lpstr>translator</vt:lpstr>
      <vt:lpstr>BASE</vt:lpstr>
      <vt:lpstr>Feuil1</vt:lpstr>
      <vt:lpstr>Feuil2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Louis Celton</dc:creator>
  <cp:lastModifiedBy>Gerard Wade</cp:lastModifiedBy>
  <dcterms:created xsi:type="dcterms:W3CDTF">2018-01-09T05:15:51Z</dcterms:created>
  <dcterms:modified xsi:type="dcterms:W3CDTF">2019-08-01T14:16:06Z</dcterms:modified>
</cp:coreProperties>
</file>